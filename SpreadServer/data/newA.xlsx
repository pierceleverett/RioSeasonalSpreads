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>
    <mc:Choice Requires="x15">
      <x15ac:absPath xmlns:x15ac="http://schemas.microsoft.com/office/spreadsheetml/2010/11/ac" url="/Users/pierceleverett/RioSeasonalSpreads/SpreadServer/data/"/>
    </mc:Choice>
  </mc:AlternateContent>
  <xr:revisionPtr revIDLastSave="0" documentId="8_{E5274C1C-A6A7-F940-9945-B19503B1728A}" xr6:coauthVersionLast="47" xr6:coauthVersionMax="47" xr10:uidLastSave="{00000000-0000-0000-0000-000000000000}"/>
  <bookViews>
    <workbookView xWindow="0" yWindow="500" windowWidth="28800" windowHeight="16300" xr2:uid="{8B3CF7F3-E04F-8445-9CA8-1A06E0A7E79B}"/>
  </bookViews>
  <sheets>
    <sheet name="A PREMIUM UNLEADED GASOLINE" sheetId="1" r:id="rId1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1" l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4" i="1"/>
  <c r="T196" i="1"/>
  <c r="T197" i="1"/>
  <c r="T198" i="1"/>
  <c r="T199" i="1"/>
  <c r="T200" i="1"/>
  <c r="T201" i="1"/>
  <c r="T202" i="1"/>
  <c r="T203" i="1"/>
  <c r="T204" i="1"/>
  <c r="T205" i="1"/>
  <c r="T206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K3" i="1"/>
  <c r="L3" i="1" s="1"/>
  <c r="M3" i="1" s="1"/>
  <c r="N3" i="1" s="1"/>
  <c r="O3" i="1" s="1"/>
  <c r="P3" i="1" s="1"/>
  <c r="Q3" i="1" s="1"/>
  <c r="R3" i="1" s="1"/>
  <c r="S3" i="1" s="1"/>
  <c r="T3" i="1" s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I6" i="1"/>
  <c r="J6" i="1"/>
  <c r="K6" i="1"/>
  <c r="L6" i="1"/>
  <c r="M6" i="1"/>
  <c r="N6" i="1"/>
  <c r="O6" i="1"/>
  <c r="P6" i="1"/>
  <c r="Q6" i="1"/>
  <c r="R6" i="1"/>
  <c r="S6" i="1"/>
  <c r="I7" i="1"/>
  <c r="J7" i="1"/>
  <c r="K7" i="1"/>
  <c r="L7" i="1"/>
  <c r="M7" i="1"/>
  <c r="N7" i="1"/>
  <c r="O7" i="1"/>
  <c r="P7" i="1"/>
  <c r="Q7" i="1"/>
  <c r="R7" i="1"/>
  <c r="S7" i="1"/>
  <c r="I8" i="1"/>
  <c r="J8" i="1"/>
  <c r="K8" i="1"/>
  <c r="L8" i="1"/>
  <c r="M8" i="1"/>
  <c r="N8" i="1"/>
  <c r="O8" i="1"/>
  <c r="P8" i="1"/>
  <c r="Q8" i="1"/>
  <c r="R8" i="1"/>
  <c r="S8" i="1"/>
  <c r="I9" i="1"/>
  <c r="J9" i="1"/>
  <c r="K9" i="1"/>
  <c r="L9" i="1"/>
  <c r="M9" i="1"/>
  <c r="N9" i="1"/>
  <c r="O9" i="1"/>
  <c r="P9" i="1"/>
  <c r="Q9" i="1"/>
  <c r="R9" i="1"/>
  <c r="S9" i="1"/>
  <c r="I10" i="1"/>
  <c r="J10" i="1"/>
  <c r="K10" i="1"/>
  <c r="L10" i="1"/>
  <c r="M10" i="1"/>
  <c r="N10" i="1"/>
  <c r="O10" i="1"/>
  <c r="Z10" i="1" s="1"/>
  <c r="P10" i="1"/>
  <c r="Q10" i="1"/>
  <c r="R10" i="1"/>
  <c r="S10" i="1"/>
  <c r="I11" i="1"/>
  <c r="J11" i="1"/>
  <c r="K11" i="1"/>
  <c r="L11" i="1"/>
  <c r="M11" i="1"/>
  <c r="N11" i="1"/>
  <c r="O11" i="1"/>
  <c r="P11" i="1"/>
  <c r="Q11" i="1"/>
  <c r="R11" i="1"/>
  <c r="S11" i="1"/>
  <c r="I12" i="1"/>
  <c r="J12" i="1"/>
  <c r="K12" i="1"/>
  <c r="L12" i="1"/>
  <c r="M12" i="1"/>
  <c r="N12" i="1"/>
  <c r="O12" i="1"/>
  <c r="P12" i="1"/>
  <c r="Q12" i="1"/>
  <c r="R12" i="1"/>
  <c r="S12" i="1"/>
  <c r="I13" i="1"/>
  <c r="J13" i="1"/>
  <c r="K13" i="1"/>
  <c r="L13" i="1"/>
  <c r="M13" i="1"/>
  <c r="N13" i="1"/>
  <c r="O13" i="1"/>
  <c r="P13" i="1"/>
  <c r="Q13" i="1"/>
  <c r="R13" i="1"/>
  <c r="S13" i="1"/>
  <c r="I14" i="1"/>
  <c r="J14" i="1"/>
  <c r="K14" i="1"/>
  <c r="L14" i="1"/>
  <c r="M14" i="1"/>
  <c r="N14" i="1"/>
  <c r="O14" i="1"/>
  <c r="P14" i="1"/>
  <c r="Q14" i="1"/>
  <c r="R14" i="1"/>
  <c r="S14" i="1"/>
  <c r="I15" i="1"/>
  <c r="J15" i="1"/>
  <c r="K15" i="1"/>
  <c r="L15" i="1"/>
  <c r="M15" i="1"/>
  <c r="N15" i="1"/>
  <c r="O15" i="1"/>
  <c r="P15" i="1"/>
  <c r="Q15" i="1"/>
  <c r="R15" i="1"/>
  <c r="S15" i="1"/>
  <c r="I16" i="1"/>
  <c r="J16" i="1"/>
  <c r="K16" i="1"/>
  <c r="L16" i="1"/>
  <c r="M16" i="1"/>
  <c r="N16" i="1"/>
  <c r="O16" i="1"/>
  <c r="P16" i="1"/>
  <c r="Q16" i="1"/>
  <c r="R16" i="1"/>
  <c r="S16" i="1"/>
  <c r="I17" i="1"/>
  <c r="J17" i="1"/>
  <c r="K17" i="1"/>
  <c r="L17" i="1"/>
  <c r="M17" i="1"/>
  <c r="N17" i="1"/>
  <c r="O17" i="1"/>
  <c r="P17" i="1"/>
  <c r="Q17" i="1"/>
  <c r="R17" i="1"/>
  <c r="S17" i="1"/>
  <c r="I18" i="1"/>
  <c r="J18" i="1"/>
  <c r="K18" i="1"/>
  <c r="L18" i="1"/>
  <c r="M18" i="1"/>
  <c r="N18" i="1"/>
  <c r="O18" i="1"/>
  <c r="Z18" i="1" s="1"/>
  <c r="P18" i="1"/>
  <c r="Q18" i="1"/>
  <c r="R18" i="1"/>
  <c r="S18" i="1"/>
  <c r="I19" i="1"/>
  <c r="J19" i="1"/>
  <c r="K19" i="1"/>
  <c r="L19" i="1"/>
  <c r="M19" i="1"/>
  <c r="N19" i="1"/>
  <c r="O19" i="1"/>
  <c r="P19" i="1"/>
  <c r="Q19" i="1"/>
  <c r="R19" i="1"/>
  <c r="S19" i="1"/>
  <c r="I20" i="1"/>
  <c r="J20" i="1"/>
  <c r="K20" i="1"/>
  <c r="L20" i="1"/>
  <c r="M20" i="1"/>
  <c r="N20" i="1"/>
  <c r="O20" i="1"/>
  <c r="P20" i="1"/>
  <c r="Q20" i="1"/>
  <c r="R20" i="1"/>
  <c r="S20" i="1"/>
  <c r="I21" i="1"/>
  <c r="J21" i="1"/>
  <c r="K21" i="1"/>
  <c r="L21" i="1"/>
  <c r="M21" i="1"/>
  <c r="N21" i="1"/>
  <c r="O21" i="1"/>
  <c r="P21" i="1"/>
  <c r="Q21" i="1"/>
  <c r="R21" i="1"/>
  <c r="S21" i="1"/>
  <c r="I22" i="1"/>
  <c r="J22" i="1"/>
  <c r="K22" i="1"/>
  <c r="L22" i="1"/>
  <c r="M22" i="1"/>
  <c r="N22" i="1"/>
  <c r="O22" i="1"/>
  <c r="P22" i="1"/>
  <c r="Q22" i="1"/>
  <c r="R22" i="1"/>
  <c r="S22" i="1"/>
  <c r="I23" i="1"/>
  <c r="J23" i="1"/>
  <c r="K23" i="1"/>
  <c r="L23" i="1"/>
  <c r="M23" i="1"/>
  <c r="N23" i="1"/>
  <c r="O23" i="1"/>
  <c r="P23" i="1"/>
  <c r="Q23" i="1"/>
  <c r="R23" i="1"/>
  <c r="S23" i="1"/>
  <c r="I24" i="1"/>
  <c r="J24" i="1"/>
  <c r="K24" i="1"/>
  <c r="L24" i="1"/>
  <c r="M24" i="1"/>
  <c r="N24" i="1"/>
  <c r="O24" i="1"/>
  <c r="P24" i="1"/>
  <c r="Q24" i="1"/>
  <c r="R24" i="1"/>
  <c r="S24" i="1"/>
  <c r="I25" i="1"/>
  <c r="J25" i="1"/>
  <c r="K25" i="1"/>
  <c r="L25" i="1"/>
  <c r="M25" i="1"/>
  <c r="N25" i="1"/>
  <c r="O25" i="1"/>
  <c r="P25" i="1"/>
  <c r="Q25" i="1"/>
  <c r="R25" i="1"/>
  <c r="S25" i="1"/>
  <c r="I26" i="1"/>
  <c r="J26" i="1"/>
  <c r="K26" i="1"/>
  <c r="L26" i="1"/>
  <c r="M26" i="1"/>
  <c r="N26" i="1"/>
  <c r="O26" i="1"/>
  <c r="Z26" i="1" s="1"/>
  <c r="P26" i="1"/>
  <c r="Q26" i="1"/>
  <c r="R26" i="1"/>
  <c r="S26" i="1"/>
  <c r="I27" i="1"/>
  <c r="J27" i="1"/>
  <c r="K27" i="1"/>
  <c r="L27" i="1"/>
  <c r="M27" i="1"/>
  <c r="N27" i="1"/>
  <c r="O27" i="1"/>
  <c r="P27" i="1"/>
  <c r="Q27" i="1"/>
  <c r="R27" i="1"/>
  <c r="S27" i="1"/>
  <c r="I28" i="1"/>
  <c r="J28" i="1"/>
  <c r="K28" i="1"/>
  <c r="L28" i="1"/>
  <c r="M28" i="1"/>
  <c r="N28" i="1"/>
  <c r="O28" i="1"/>
  <c r="P28" i="1"/>
  <c r="Q28" i="1"/>
  <c r="R28" i="1"/>
  <c r="S28" i="1"/>
  <c r="I29" i="1"/>
  <c r="J29" i="1"/>
  <c r="K29" i="1"/>
  <c r="L29" i="1"/>
  <c r="M29" i="1"/>
  <c r="N29" i="1"/>
  <c r="O29" i="1"/>
  <c r="P29" i="1"/>
  <c r="Q29" i="1"/>
  <c r="R29" i="1"/>
  <c r="S29" i="1"/>
  <c r="I30" i="1"/>
  <c r="J30" i="1"/>
  <c r="K30" i="1"/>
  <c r="L30" i="1"/>
  <c r="M30" i="1"/>
  <c r="N30" i="1"/>
  <c r="O30" i="1"/>
  <c r="P30" i="1"/>
  <c r="Q30" i="1"/>
  <c r="R30" i="1"/>
  <c r="S30" i="1"/>
  <c r="I31" i="1"/>
  <c r="J31" i="1"/>
  <c r="K31" i="1"/>
  <c r="L31" i="1"/>
  <c r="M31" i="1"/>
  <c r="N31" i="1"/>
  <c r="O31" i="1"/>
  <c r="P31" i="1"/>
  <c r="Q31" i="1"/>
  <c r="R31" i="1"/>
  <c r="S31" i="1"/>
  <c r="I32" i="1"/>
  <c r="J32" i="1"/>
  <c r="K32" i="1"/>
  <c r="L32" i="1"/>
  <c r="M32" i="1"/>
  <c r="N32" i="1"/>
  <c r="O32" i="1"/>
  <c r="P32" i="1"/>
  <c r="Q32" i="1"/>
  <c r="R32" i="1"/>
  <c r="S32" i="1"/>
  <c r="I33" i="1"/>
  <c r="J33" i="1"/>
  <c r="K33" i="1"/>
  <c r="L33" i="1"/>
  <c r="M33" i="1"/>
  <c r="N33" i="1"/>
  <c r="O33" i="1"/>
  <c r="P33" i="1"/>
  <c r="Q33" i="1"/>
  <c r="R33" i="1"/>
  <c r="S33" i="1"/>
  <c r="I34" i="1"/>
  <c r="J34" i="1"/>
  <c r="K34" i="1"/>
  <c r="L34" i="1"/>
  <c r="M34" i="1"/>
  <c r="N34" i="1"/>
  <c r="O34" i="1"/>
  <c r="Z34" i="1" s="1"/>
  <c r="P34" i="1"/>
  <c r="Q34" i="1"/>
  <c r="R34" i="1"/>
  <c r="S34" i="1"/>
  <c r="I35" i="1"/>
  <c r="J35" i="1"/>
  <c r="K35" i="1"/>
  <c r="L35" i="1"/>
  <c r="M35" i="1"/>
  <c r="N35" i="1"/>
  <c r="O35" i="1"/>
  <c r="P35" i="1"/>
  <c r="Q35" i="1"/>
  <c r="R35" i="1"/>
  <c r="S35" i="1"/>
  <c r="I36" i="1"/>
  <c r="J36" i="1"/>
  <c r="K36" i="1"/>
  <c r="L36" i="1"/>
  <c r="M36" i="1"/>
  <c r="N36" i="1"/>
  <c r="O36" i="1"/>
  <c r="P36" i="1"/>
  <c r="Q36" i="1"/>
  <c r="R36" i="1"/>
  <c r="S36" i="1"/>
  <c r="I37" i="1"/>
  <c r="J37" i="1"/>
  <c r="K37" i="1"/>
  <c r="L37" i="1"/>
  <c r="M37" i="1"/>
  <c r="N37" i="1"/>
  <c r="O37" i="1"/>
  <c r="P37" i="1"/>
  <c r="Q37" i="1"/>
  <c r="R37" i="1"/>
  <c r="S37" i="1"/>
  <c r="I38" i="1"/>
  <c r="J38" i="1"/>
  <c r="K38" i="1"/>
  <c r="L38" i="1"/>
  <c r="M38" i="1"/>
  <c r="N38" i="1"/>
  <c r="O38" i="1"/>
  <c r="P38" i="1"/>
  <c r="Q38" i="1"/>
  <c r="R38" i="1"/>
  <c r="S38" i="1"/>
  <c r="I39" i="1"/>
  <c r="J39" i="1"/>
  <c r="K39" i="1"/>
  <c r="L39" i="1"/>
  <c r="M39" i="1"/>
  <c r="N39" i="1"/>
  <c r="O39" i="1"/>
  <c r="P39" i="1"/>
  <c r="Q39" i="1"/>
  <c r="R39" i="1"/>
  <c r="S39" i="1"/>
  <c r="I40" i="1"/>
  <c r="J40" i="1"/>
  <c r="K40" i="1"/>
  <c r="L40" i="1"/>
  <c r="M40" i="1"/>
  <c r="N40" i="1"/>
  <c r="O40" i="1"/>
  <c r="P40" i="1"/>
  <c r="Q40" i="1"/>
  <c r="R40" i="1"/>
  <c r="S40" i="1"/>
  <c r="I41" i="1"/>
  <c r="J41" i="1"/>
  <c r="K41" i="1"/>
  <c r="L41" i="1"/>
  <c r="M41" i="1"/>
  <c r="N41" i="1"/>
  <c r="O41" i="1"/>
  <c r="P41" i="1"/>
  <c r="Q41" i="1"/>
  <c r="R41" i="1"/>
  <c r="S41" i="1"/>
  <c r="I42" i="1"/>
  <c r="J42" i="1"/>
  <c r="K42" i="1"/>
  <c r="L42" i="1"/>
  <c r="M42" i="1"/>
  <c r="N42" i="1"/>
  <c r="O42" i="1"/>
  <c r="Z42" i="1" s="1"/>
  <c r="P42" i="1"/>
  <c r="Q42" i="1"/>
  <c r="R42" i="1"/>
  <c r="S42" i="1"/>
  <c r="I43" i="1"/>
  <c r="J43" i="1"/>
  <c r="K43" i="1"/>
  <c r="L43" i="1"/>
  <c r="M43" i="1"/>
  <c r="N43" i="1"/>
  <c r="O43" i="1"/>
  <c r="P43" i="1"/>
  <c r="Q43" i="1"/>
  <c r="R43" i="1"/>
  <c r="S43" i="1"/>
  <c r="I44" i="1"/>
  <c r="J44" i="1"/>
  <c r="K44" i="1"/>
  <c r="L44" i="1"/>
  <c r="M44" i="1"/>
  <c r="N44" i="1"/>
  <c r="O44" i="1"/>
  <c r="P44" i="1"/>
  <c r="Q44" i="1"/>
  <c r="R44" i="1"/>
  <c r="S44" i="1"/>
  <c r="I45" i="1"/>
  <c r="J45" i="1"/>
  <c r="K45" i="1"/>
  <c r="L45" i="1"/>
  <c r="M45" i="1"/>
  <c r="N45" i="1"/>
  <c r="O45" i="1"/>
  <c r="P45" i="1"/>
  <c r="Q45" i="1"/>
  <c r="R45" i="1"/>
  <c r="S45" i="1"/>
  <c r="I46" i="1"/>
  <c r="J46" i="1"/>
  <c r="K46" i="1"/>
  <c r="L46" i="1"/>
  <c r="M46" i="1"/>
  <c r="N46" i="1"/>
  <c r="O46" i="1"/>
  <c r="P46" i="1"/>
  <c r="Q46" i="1"/>
  <c r="R46" i="1"/>
  <c r="S46" i="1"/>
  <c r="I47" i="1"/>
  <c r="J47" i="1"/>
  <c r="K47" i="1"/>
  <c r="L47" i="1"/>
  <c r="M47" i="1"/>
  <c r="N47" i="1"/>
  <c r="O47" i="1"/>
  <c r="P47" i="1"/>
  <c r="Q47" i="1"/>
  <c r="R47" i="1"/>
  <c r="S47" i="1"/>
  <c r="I48" i="1"/>
  <c r="J48" i="1"/>
  <c r="K48" i="1"/>
  <c r="L48" i="1"/>
  <c r="M48" i="1"/>
  <c r="N48" i="1"/>
  <c r="O48" i="1"/>
  <c r="P48" i="1"/>
  <c r="Q48" i="1"/>
  <c r="R48" i="1"/>
  <c r="S48" i="1"/>
  <c r="Z48" i="1" s="1"/>
  <c r="I49" i="1"/>
  <c r="J49" i="1"/>
  <c r="K49" i="1"/>
  <c r="L49" i="1"/>
  <c r="M49" i="1"/>
  <c r="N49" i="1"/>
  <c r="O49" i="1"/>
  <c r="P49" i="1"/>
  <c r="Q49" i="1"/>
  <c r="R49" i="1"/>
  <c r="S49" i="1"/>
  <c r="I50" i="1"/>
  <c r="J50" i="1"/>
  <c r="K50" i="1"/>
  <c r="L50" i="1"/>
  <c r="M50" i="1"/>
  <c r="N50" i="1"/>
  <c r="O50" i="1"/>
  <c r="Z50" i="1" s="1"/>
  <c r="P50" i="1"/>
  <c r="Q50" i="1"/>
  <c r="R50" i="1"/>
  <c r="S50" i="1"/>
  <c r="I51" i="1"/>
  <c r="J51" i="1"/>
  <c r="K51" i="1"/>
  <c r="L51" i="1"/>
  <c r="M51" i="1"/>
  <c r="N51" i="1"/>
  <c r="O51" i="1"/>
  <c r="P51" i="1"/>
  <c r="Q51" i="1"/>
  <c r="R51" i="1"/>
  <c r="S51" i="1"/>
  <c r="I52" i="1"/>
  <c r="J52" i="1"/>
  <c r="K52" i="1"/>
  <c r="L52" i="1"/>
  <c r="M52" i="1"/>
  <c r="N52" i="1"/>
  <c r="O52" i="1"/>
  <c r="P52" i="1"/>
  <c r="Q52" i="1"/>
  <c r="R52" i="1"/>
  <c r="S52" i="1"/>
  <c r="I53" i="1"/>
  <c r="J53" i="1"/>
  <c r="K53" i="1"/>
  <c r="L53" i="1"/>
  <c r="M53" i="1"/>
  <c r="N53" i="1"/>
  <c r="O53" i="1"/>
  <c r="P53" i="1"/>
  <c r="Q53" i="1"/>
  <c r="R53" i="1"/>
  <c r="S53" i="1"/>
  <c r="I54" i="1"/>
  <c r="J54" i="1"/>
  <c r="K54" i="1"/>
  <c r="L54" i="1"/>
  <c r="M54" i="1"/>
  <c r="N54" i="1"/>
  <c r="O54" i="1"/>
  <c r="P54" i="1"/>
  <c r="Q54" i="1"/>
  <c r="R54" i="1"/>
  <c r="S54" i="1"/>
  <c r="I55" i="1"/>
  <c r="J55" i="1"/>
  <c r="K55" i="1"/>
  <c r="L55" i="1"/>
  <c r="M55" i="1"/>
  <c r="N55" i="1"/>
  <c r="O55" i="1"/>
  <c r="P55" i="1"/>
  <c r="Q55" i="1"/>
  <c r="R55" i="1"/>
  <c r="S55" i="1"/>
  <c r="I56" i="1"/>
  <c r="J56" i="1"/>
  <c r="K56" i="1"/>
  <c r="L56" i="1"/>
  <c r="M56" i="1"/>
  <c r="N56" i="1"/>
  <c r="O56" i="1"/>
  <c r="P56" i="1"/>
  <c r="Q56" i="1"/>
  <c r="R56" i="1"/>
  <c r="S56" i="1"/>
  <c r="I57" i="1"/>
  <c r="J57" i="1"/>
  <c r="K57" i="1"/>
  <c r="L57" i="1"/>
  <c r="M57" i="1"/>
  <c r="N57" i="1"/>
  <c r="O57" i="1"/>
  <c r="P57" i="1"/>
  <c r="Q57" i="1"/>
  <c r="R57" i="1"/>
  <c r="S57" i="1"/>
  <c r="I58" i="1"/>
  <c r="J58" i="1"/>
  <c r="K58" i="1"/>
  <c r="L58" i="1"/>
  <c r="M58" i="1"/>
  <c r="N58" i="1"/>
  <c r="O58" i="1"/>
  <c r="Z58" i="1" s="1"/>
  <c r="P58" i="1"/>
  <c r="Q58" i="1"/>
  <c r="R58" i="1"/>
  <c r="S58" i="1"/>
  <c r="I59" i="1"/>
  <c r="J59" i="1"/>
  <c r="K59" i="1"/>
  <c r="L59" i="1"/>
  <c r="M59" i="1"/>
  <c r="N59" i="1"/>
  <c r="O59" i="1"/>
  <c r="P59" i="1"/>
  <c r="Q59" i="1"/>
  <c r="R59" i="1"/>
  <c r="S59" i="1"/>
  <c r="I60" i="1"/>
  <c r="J60" i="1"/>
  <c r="K60" i="1"/>
  <c r="L60" i="1"/>
  <c r="M60" i="1"/>
  <c r="N60" i="1"/>
  <c r="O60" i="1"/>
  <c r="P60" i="1"/>
  <c r="Q60" i="1"/>
  <c r="R60" i="1"/>
  <c r="S60" i="1"/>
  <c r="I61" i="1"/>
  <c r="J61" i="1"/>
  <c r="K61" i="1"/>
  <c r="L61" i="1"/>
  <c r="M61" i="1"/>
  <c r="N61" i="1"/>
  <c r="O61" i="1"/>
  <c r="P61" i="1"/>
  <c r="Q61" i="1"/>
  <c r="R61" i="1"/>
  <c r="S61" i="1"/>
  <c r="I62" i="1"/>
  <c r="J62" i="1"/>
  <c r="K62" i="1"/>
  <c r="L62" i="1"/>
  <c r="M62" i="1"/>
  <c r="N62" i="1"/>
  <c r="O62" i="1"/>
  <c r="P62" i="1"/>
  <c r="Q62" i="1"/>
  <c r="R62" i="1"/>
  <c r="S62" i="1"/>
  <c r="I63" i="1"/>
  <c r="J63" i="1"/>
  <c r="K63" i="1"/>
  <c r="L63" i="1"/>
  <c r="M63" i="1"/>
  <c r="N63" i="1"/>
  <c r="O63" i="1"/>
  <c r="P63" i="1"/>
  <c r="Q63" i="1"/>
  <c r="R63" i="1"/>
  <c r="S63" i="1"/>
  <c r="I64" i="1"/>
  <c r="J64" i="1"/>
  <c r="K64" i="1"/>
  <c r="L64" i="1"/>
  <c r="M64" i="1"/>
  <c r="N64" i="1"/>
  <c r="O64" i="1"/>
  <c r="P64" i="1"/>
  <c r="Q64" i="1"/>
  <c r="R64" i="1"/>
  <c r="S64" i="1"/>
  <c r="I65" i="1"/>
  <c r="J65" i="1"/>
  <c r="K65" i="1"/>
  <c r="L65" i="1"/>
  <c r="M65" i="1"/>
  <c r="N65" i="1"/>
  <c r="O65" i="1"/>
  <c r="P65" i="1"/>
  <c r="Q65" i="1"/>
  <c r="R65" i="1"/>
  <c r="S65" i="1"/>
  <c r="I66" i="1"/>
  <c r="J66" i="1"/>
  <c r="K66" i="1"/>
  <c r="L66" i="1"/>
  <c r="M66" i="1"/>
  <c r="N66" i="1"/>
  <c r="O66" i="1"/>
  <c r="Z66" i="1" s="1"/>
  <c r="P66" i="1"/>
  <c r="Q66" i="1"/>
  <c r="R66" i="1"/>
  <c r="S66" i="1"/>
  <c r="I67" i="1"/>
  <c r="J67" i="1"/>
  <c r="K67" i="1"/>
  <c r="L67" i="1"/>
  <c r="M67" i="1"/>
  <c r="N67" i="1"/>
  <c r="O67" i="1"/>
  <c r="P67" i="1"/>
  <c r="Q67" i="1"/>
  <c r="R67" i="1"/>
  <c r="S67" i="1"/>
  <c r="I68" i="1"/>
  <c r="J68" i="1"/>
  <c r="K68" i="1"/>
  <c r="L68" i="1"/>
  <c r="M68" i="1"/>
  <c r="N68" i="1"/>
  <c r="O68" i="1"/>
  <c r="P68" i="1"/>
  <c r="Q68" i="1"/>
  <c r="R68" i="1"/>
  <c r="S68" i="1"/>
  <c r="I69" i="1"/>
  <c r="J69" i="1"/>
  <c r="K69" i="1"/>
  <c r="L69" i="1"/>
  <c r="M69" i="1"/>
  <c r="N69" i="1"/>
  <c r="O69" i="1"/>
  <c r="P69" i="1"/>
  <c r="Q69" i="1"/>
  <c r="R69" i="1"/>
  <c r="S69" i="1"/>
  <c r="I70" i="1"/>
  <c r="J70" i="1"/>
  <c r="K70" i="1"/>
  <c r="L70" i="1"/>
  <c r="M70" i="1"/>
  <c r="N70" i="1"/>
  <c r="O70" i="1"/>
  <c r="P70" i="1"/>
  <c r="Q70" i="1"/>
  <c r="R70" i="1"/>
  <c r="S70" i="1"/>
  <c r="I71" i="1"/>
  <c r="J71" i="1"/>
  <c r="K71" i="1"/>
  <c r="L71" i="1"/>
  <c r="M71" i="1"/>
  <c r="N71" i="1"/>
  <c r="O71" i="1"/>
  <c r="P71" i="1"/>
  <c r="Z71" i="1" s="1"/>
  <c r="Q71" i="1"/>
  <c r="R71" i="1"/>
  <c r="S71" i="1"/>
  <c r="I72" i="1"/>
  <c r="J72" i="1"/>
  <c r="K72" i="1"/>
  <c r="L72" i="1"/>
  <c r="M72" i="1"/>
  <c r="N72" i="1"/>
  <c r="O72" i="1"/>
  <c r="P72" i="1"/>
  <c r="Q72" i="1"/>
  <c r="R72" i="1"/>
  <c r="S72" i="1"/>
  <c r="I73" i="1"/>
  <c r="J73" i="1"/>
  <c r="K73" i="1"/>
  <c r="L73" i="1"/>
  <c r="M73" i="1"/>
  <c r="N73" i="1"/>
  <c r="O73" i="1"/>
  <c r="P73" i="1"/>
  <c r="Q73" i="1"/>
  <c r="R73" i="1"/>
  <c r="S73" i="1"/>
  <c r="I74" i="1"/>
  <c r="J74" i="1"/>
  <c r="K74" i="1"/>
  <c r="L74" i="1"/>
  <c r="M74" i="1"/>
  <c r="N74" i="1"/>
  <c r="O74" i="1"/>
  <c r="Z74" i="1" s="1"/>
  <c r="P74" i="1"/>
  <c r="Q74" i="1"/>
  <c r="R74" i="1"/>
  <c r="S74" i="1"/>
  <c r="I75" i="1"/>
  <c r="J75" i="1"/>
  <c r="K75" i="1"/>
  <c r="L75" i="1"/>
  <c r="M75" i="1"/>
  <c r="N75" i="1"/>
  <c r="O75" i="1"/>
  <c r="P75" i="1"/>
  <c r="Q75" i="1"/>
  <c r="R75" i="1"/>
  <c r="S75" i="1"/>
  <c r="I76" i="1"/>
  <c r="J76" i="1"/>
  <c r="K76" i="1"/>
  <c r="L76" i="1"/>
  <c r="M76" i="1"/>
  <c r="N76" i="1"/>
  <c r="O76" i="1"/>
  <c r="P76" i="1"/>
  <c r="Q76" i="1"/>
  <c r="R76" i="1"/>
  <c r="S76" i="1"/>
  <c r="I77" i="1"/>
  <c r="J77" i="1"/>
  <c r="K77" i="1"/>
  <c r="L77" i="1"/>
  <c r="M77" i="1"/>
  <c r="N77" i="1"/>
  <c r="O77" i="1"/>
  <c r="P77" i="1"/>
  <c r="Q77" i="1"/>
  <c r="R77" i="1"/>
  <c r="S77" i="1"/>
  <c r="I78" i="1"/>
  <c r="J78" i="1"/>
  <c r="K78" i="1"/>
  <c r="L78" i="1"/>
  <c r="M78" i="1"/>
  <c r="N78" i="1"/>
  <c r="O78" i="1"/>
  <c r="P78" i="1"/>
  <c r="Q78" i="1"/>
  <c r="R78" i="1"/>
  <c r="S78" i="1"/>
  <c r="I79" i="1"/>
  <c r="J79" i="1"/>
  <c r="K79" i="1"/>
  <c r="L79" i="1"/>
  <c r="M79" i="1"/>
  <c r="N79" i="1"/>
  <c r="O79" i="1"/>
  <c r="P79" i="1"/>
  <c r="Q79" i="1"/>
  <c r="R79" i="1"/>
  <c r="S79" i="1"/>
  <c r="I80" i="1"/>
  <c r="J80" i="1"/>
  <c r="K80" i="1"/>
  <c r="L80" i="1"/>
  <c r="M80" i="1"/>
  <c r="N80" i="1"/>
  <c r="O80" i="1"/>
  <c r="P80" i="1"/>
  <c r="Q80" i="1"/>
  <c r="R80" i="1"/>
  <c r="S80" i="1"/>
  <c r="I81" i="1"/>
  <c r="J81" i="1"/>
  <c r="K81" i="1"/>
  <c r="L81" i="1"/>
  <c r="M81" i="1"/>
  <c r="N81" i="1"/>
  <c r="O81" i="1"/>
  <c r="P81" i="1"/>
  <c r="Q81" i="1"/>
  <c r="R81" i="1"/>
  <c r="S81" i="1"/>
  <c r="I82" i="1"/>
  <c r="J82" i="1"/>
  <c r="K82" i="1"/>
  <c r="L82" i="1"/>
  <c r="M82" i="1"/>
  <c r="N82" i="1"/>
  <c r="O82" i="1"/>
  <c r="Z82" i="1" s="1"/>
  <c r="P82" i="1"/>
  <c r="Q82" i="1"/>
  <c r="R82" i="1"/>
  <c r="S82" i="1"/>
  <c r="I83" i="1"/>
  <c r="J83" i="1"/>
  <c r="K83" i="1"/>
  <c r="L83" i="1"/>
  <c r="M83" i="1"/>
  <c r="N83" i="1"/>
  <c r="O83" i="1"/>
  <c r="P83" i="1"/>
  <c r="Q83" i="1"/>
  <c r="R83" i="1"/>
  <c r="S83" i="1"/>
  <c r="I84" i="1"/>
  <c r="J84" i="1"/>
  <c r="K84" i="1"/>
  <c r="L84" i="1"/>
  <c r="M84" i="1"/>
  <c r="N84" i="1"/>
  <c r="O84" i="1"/>
  <c r="P84" i="1"/>
  <c r="Q84" i="1"/>
  <c r="R84" i="1"/>
  <c r="S84" i="1"/>
  <c r="I85" i="1"/>
  <c r="J85" i="1"/>
  <c r="K85" i="1"/>
  <c r="L85" i="1"/>
  <c r="M85" i="1"/>
  <c r="N85" i="1"/>
  <c r="O85" i="1"/>
  <c r="P85" i="1"/>
  <c r="Q85" i="1"/>
  <c r="R85" i="1"/>
  <c r="S85" i="1"/>
  <c r="I86" i="1"/>
  <c r="J86" i="1"/>
  <c r="K86" i="1"/>
  <c r="L86" i="1"/>
  <c r="M86" i="1"/>
  <c r="N86" i="1"/>
  <c r="O86" i="1"/>
  <c r="P86" i="1"/>
  <c r="Q86" i="1"/>
  <c r="R86" i="1"/>
  <c r="S86" i="1"/>
  <c r="I87" i="1"/>
  <c r="J87" i="1"/>
  <c r="K87" i="1"/>
  <c r="L87" i="1"/>
  <c r="M87" i="1"/>
  <c r="N87" i="1"/>
  <c r="O87" i="1"/>
  <c r="P87" i="1"/>
  <c r="Z87" i="1" s="1"/>
  <c r="Q87" i="1"/>
  <c r="R87" i="1"/>
  <c r="S87" i="1"/>
  <c r="I88" i="1"/>
  <c r="J88" i="1"/>
  <c r="K88" i="1"/>
  <c r="L88" i="1"/>
  <c r="M88" i="1"/>
  <c r="N88" i="1"/>
  <c r="O88" i="1"/>
  <c r="P88" i="1"/>
  <c r="Q88" i="1"/>
  <c r="R88" i="1"/>
  <c r="S88" i="1"/>
  <c r="I89" i="1"/>
  <c r="J89" i="1"/>
  <c r="K89" i="1"/>
  <c r="L89" i="1"/>
  <c r="M89" i="1"/>
  <c r="N89" i="1"/>
  <c r="O89" i="1"/>
  <c r="P89" i="1"/>
  <c r="Q89" i="1"/>
  <c r="R89" i="1"/>
  <c r="S89" i="1"/>
  <c r="I90" i="1"/>
  <c r="J90" i="1"/>
  <c r="K90" i="1"/>
  <c r="L90" i="1"/>
  <c r="M90" i="1"/>
  <c r="N90" i="1"/>
  <c r="O90" i="1"/>
  <c r="Z90" i="1" s="1"/>
  <c r="P90" i="1"/>
  <c r="Q90" i="1"/>
  <c r="R90" i="1"/>
  <c r="S90" i="1"/>
  <c r="I91" i="1"/>
  <c r="J91" i="1"/>
  <c r="K91" i="1"/>
  <c r="L91" i="1"/>
  <c r="M91" i="1"/>
  <c r="N91" i="1"/>
  <c r="O91" i="1"/>
  <c r="P91" i="1"/>
  <c r="Q91" i="1"/>
  <c r="R91" i="1"/>
  <c r="S91" i="1"/>
  <c r="I92" i="1"/>
  <c r="J92" i="1"/>
  <c r="K92" i="1"/>
  <c r="L92" i="1"/>
  <c r="M92" i="1"/>
  <c r="N92" i="1"/>
  <c r="O92" i="1"/>
  <c r="P92" i="1"/>
  <c r="Q92" i="1"/>
  <c r="R92" i="1"/>
  <c r="S92" i="1"/>
  <c r="I93" i="1"/>
  <c r="J93" i="1"/>
  <c r="K93" i="1"/>
  <c r="L93" i="1"/>
  <c r="M93" i="1"/>
  <c r="N93" i="1"/>
  <c r="O93" i="1"/>
  <c r="P93" i="1"/>
  <c r="Q93" i="1"/>
  <c r="R93" i="1"/>
  <c r="S93" i="1"/>
  <c r="I94" i="1"/>
  <c r="J94" i="1"/>
  <c r="K94" i="1"/>
  <c r="L94" i="1"/>
  <c r="M94" i="1"/>
  <c r="N94" i="1"/>
  <c r="O94" i="1"/>
  <c r="P94" i="1"/>
  <c r="Q94" i="1"/>
  <c r="R94" i="1"/>
  <c r="S94" i="1"/>
  <c r="I95" i="1"/>
  <c r="J95" i="1"/>
  <c r="K95" i="1"/>
  <c r="L95" i="1"/>
  <c r="M95" i="1"/>
  <c r="N95" i="1"/>
  <c r="O95" i="1"/>
  <c r="P95" i="1"/>
  <c r="Q95" i="1"/>
  <c r="R95" i="1"/>
  <c r="S95" i="1"/>
  <c r="I96" i="1"/>
  <c r="J96" i="1"/>
  <c r="K96" i="1"/>
  <c r="L96" i="1"/>
  <c r="M96" i="1"/>
  <c r="N96" i="1"/>
  <c r="O96" i="1"/>
  <c r="P96" i="1"/>
  <c r="Q96" i="1"/>
  <c r="R96" i="1"/>
  <c r="S96" i="1"/>
  <c r="I97" i="1"/>
  <c r="J97" i="1"/>
  <c r="K97" i="1"/>
  <c r="L97" i="1"/>
  <c r="M97" i="1"/>
  <c r="N97" i="1"/>
  <c r="O97" i="1"/>
  <c r="P97" i="1"/>
  <c r="Q97" i="1"/>
  <c r="R97" i="1"/>
  <c r="S97" i="1"/>
  <c r="I98" i="1"/>
  <c r="J98" i="1"/>
  <c r="K98" i="1"/>
  <c r="L98" i="1"/>
  <c r="M98" i="1"/>
  <c r="N98" i="1"/>
  <c r="O98" i="1"/>
  <c r="P98" i="1"/>
  <c r="Q98" i="1"/>
  <c r="R98" i="1"/>
  <c r="S98" i="1"/>
  <c r="I99" i="1"/>
  <c r="J99" i="1"/>
  <c r="K99" i="1"/>
  <c r="L99" i="1"/>
  <c r="M99" i="1"/>
  <c r="N99" i="1"/>
  <c r="O99" i="1"/>
  <c r="P99" i="1"/>
  <c r="Q99" i="1"/>
  <c r="R99" i="1"/>
  <c r="S99" i="1"/>
  <c r="I100" i="1"/>
  <c r="J100" i="1"/>
  <c r="K100" i="1"/>
  <c r="L100" i="1"/>
  <c r="M100" i="1"/>
  <c r="N100" i="1"/>
  <c r="O100" i="1"/>
  <c r="P100" i="1"/>
  <c r="Q100" i="1"/>
  <c r="R100" i="1"/>
  <c r="S100" i="1"/>
  <c r="I101" i="1"/>
  <c r="J101" i="1"/>
  <c r="K101" i="1"/>
  <c r="L101" i="1"/>
  <c r="M101" i="1"/>
  <c r="N101" i="1"/>
  <c r="O101" i="1"/>
  <c r="P101" i="1"/>
  <c r="Q101" i="1"/>
  <c r="R101" i="1"/>
  <c r="S101" i="1"/>
  <c r="I102" i="1"/>
  <c r="J102" i="1"/>
  <c r="K102" i="1"/>
  <c r="L102" i="1"/>
  <c r="M102" i="1"/>
  <c r="N102" i="1"/>
  <c r="O102" i="1"/>
  <c r="P102" i="1"/>
  <c r="Q102" i="1"/>
  <c r="R102" i="1"/>
  <c r="S102" i="1"/>
  <c r="I103" i="1"/>
  <c r="J103" i="1"/>
  <c r="K103" i="1"/>
  <c r="L103" i="1"/>
  <c r="M103" i="1"/>
  <c r="N103" i="1"/>
  <c r="O103" i="1"/>
  <c r="P103" i="1"/>
  <c r="Z103" i="1" s="1"/>
  <c r="Q103" i="1"/>
  <c r="R103" i="1"/>
  <c r="S103" i="1"/>
  <c r="I104" i="1"/>
  <c r="J104" i="1"/>
  <c r="K104" i="1"/>
  <c r="L104" i="1"/>
  <c r="M104" i="1"/>
  <c r="N104" i="1"/>
  <c r="O104" i="1"/>
  <c r="P104" i="1"/>
  <c r="Q104" i="1"/>
  <c r="R104" i="1"/>
  <c r="S104" i="1"/>
  <c r="I105" i="1"/>
  <c r="J105" i="1"/>
  <c r="K105" i="1"/>
  <c r="L105" i="1"/>
  <c r="M105" i="1"/>
  <c r="N105" i="1"/>
  <c r="O105" i="1"/>
  <c r="P105" i="1"/>
  <c r="Q105" i="1"/>
  <c r="R105" i="1"/>
  <c r="S105" i="1"/>
  <c r="I106" i="1"/>
  <c r="J106" i="1"/>
  <c r="K106" i="1"/>
  <c r="L106" i="1"/>
  <c r="M106" i="1"/>
  <c r="N106" i="1"/>
  <c r="O106" i="1"/>
  <c r="Z106" i="1" s="1"/>
  <c r="P106" i="1"/>
  <c r="Q106" i="1"/>
  <c r="R106" i="1"/>
  <c r="S106" i="1"/>
  <c r="I107" i="1"/>
  <c r="J107" i="1"/>
  <c r="K107" i="1"/>
  <c r="L107" i="1"/>
  <c r="M107" i="1"/>
  <c r="N107" i="1"/>
  <c r="O107" i="1"/>
  <c r="P107" i="1"/>
  <c r="Q107" i="1"/>
  <c r="R107" i="1"/>
  <c r="S107" i="1"/>
  <c r="I108" i="1"/>
  <c r="J108" i="1"/>
  <c r="K108" i="1"/>
  <c r="L108" i="1"/>
  <c r="M108" i="1"/>
  <c r="N108" i="1"/>
  <c r="O108" i="1"/>
  <c r="P108" i="1"/>
  <c r="Q108" i="1"/>
  <c r="R108" i="1"/>
  <c r="S108" i="1"/>
  <c r="I109" i="1"/>
  <c r="J109" i="1"/>
  <c r="K109" i="1"/>
  <c r="L109" i="1"/>
  <c r="M109" i="1"/>
  <c r="N109" i="1"/>
  <c r="O109" i="1"/>
  <c r="P109" i="1"/>
  <c r="Q109" i="1"/>
  <c r="R109" i="1"/>
  <c r="S109" i="1"/>
  <c r="I110" i="1"/>
  <c r="J110" i="1"/>
  <c r="K110" i="1"/>
  <c r="L110" i="1"/>
  <c r="M110" i="1"/>
  <c r="N110" i="1"/>
  <c r="O110" i="1"/>
  <c r="P110" i="1"/>
  <c r="Q110" i="1"/>
  <c r="R110" i="1"/>
  <c r="S110" i="1"/>
  <c r="I111" i="1"/>
  <c r="J111" i="1"/>
  <c r="K111" i="1"/>
  <c r="L111" i="1"/>
  <c r="M111" i="1"/>
  <c r="N111" i="1"/>
  <c r="O111" i="1"/>
  <c r="P111" i="1"/>
  <c r="Q111" i="1"/>
  <c r="R111" i="1"/>
  <c r="S111" i="1"/>
  <c r="I112" i="1"/>
  <c r="J112" i="1"/>
  <c r="K112" i="1"/>
  <c r="L112" i="1"/>
  <c r="M112" i="1"/>
  <c r="N112" i="1"/>
  <c r="O112" i="1"/>
  <c r="P112" i="1"/>
  <c r="Q112" i="1"/>
  <c r="R112" i="1"/>
  <c r="S112" i="1"/>
  <c r="I113" i="1"/>
  <c r="J113" i="1"/>
  <c r="K113" i="1"/>
  <c r="L113" i="1"/>
  <c r="M113" i="1"/>
  <c r="N113" i="1"/>
  <c r="O113" i="1"/>
  <c r="P113" i="1"/>
  <c r="Q113" i="1"/>
  <c r="R113" i="1"/>
  <c r="S113" i="1"/>
  <c r="I114" i="1"/>
  <c r="J114" i="1"/>
  <c r="K114" i="1"/>
  <c r="L114" i="1"/>
  <c r="M114" i="1"/>
  <c r="N114" i="1"/>
  <c r="O114" i="1"/>
  <c r="Z114" i="1" s="1"/>
  <c r="P114" i="1"/>
  <c r="Q114" i="1"/>
  <c r="R114" i="1"/>
  <c r="S114" i="1"/>
  <c r="I115" i="1"/>
  <c r="J115" i="1"/>
  <c r="K115" i="1"/>
  <c r="L115" i="1"/>
  <c r="M115" i="1"/>
  <c r="N115" i="1"/>
  <c r="O115" i="1"/>
  <c r="P115" i="1"/>
  <c r="Q115" i="1"/>
  <c r="R115" i="1"/>
  <c r="S115" i="1"/>
  <c r="I116" i="1"/>
  <c r="J116" i="1"/>
  <c r="K116" i="1"/>
  <c r="L116" i="1"/>
  <c r="M116" i="1"/>
  <c r="N116" i="1"/>
  <c r="O116" i="1"/>
  <c r="P116" i="1"/>
  <c r="Q116" i="1"/>
  <c r="R116" i="1"/>
  <c r="S116" i="1"/>
  <c r="I117" i="1"/>
  <c r="J117" i="1"/>
  <c r="K117" i="1"/>
  <c r="L117" i="1"/>
  <c r="M117" i="1"/>
  <c r="N117" i="1"/>
  <c r="O117" i="1"/>
  <c r="P117" i="1"/>
  <c r="Q117" i="1"/>
  <c r="R117" i="1"/>
  <c r="S117" i="1"/>
  <c r="I118" i="1"/>
  <c r="J118" i="1"/>
  <c r="K118" i="1"/>
  <c r="L118" i="1"/>
  <c r="M118" i="1"/>
  <c r="N118" i="1"/>
  <c r="O118" i="1"/>
  <c r="P118" i="1"/>
  <c r="Q118" i="1"/>
  <c r="R118" i="1"/>
  <c r="S118" i="1"/>
  <c r="I119" i="1"/>
  <c r="J119" i="1"/>
  <c r="K119" i="1"/>
  <c r="L119" i="1"/>
  <c r="M119" i="1"/>
  <c r="N119" i="1"/>
  <c r="O119" i="1"/>
  <c r="P119" i="1"/>
  <c r="Z119" i="1" s="1"/>
  <c r="Q119" i="1"/>
  <c r="R119" i="1"/>
  <c r="S119" i="1"/>
  <c r="I120" i="1"/>
  <c r="J120" i="1"/>
  <c r="K120" i="1"/>
  <c r="L120" i="1"/>
  <c r="M120" i="1"/>
  <c r="N120" i="1"/>
  <c r="O120" i="1"/>
  <c r="P120" i="1"/>
  <c r="Q120" i="1"/>
  <c r="R120" i="1"/>
  <c r="S120" i="1"/>
  <c r="I121" i="1"/>
  <c r="J121" i="1"/>
  <c r="K121" i="1"/>
  <c r="L121" i="1"/>
  <c r="M121" i="1"/>
  <c r="N121" i="1"/>
  <c r="O121" i="1"/>
  <c r="P121" i="1"/>
  <c r="Q121" i="1"/>
  <c r="R121" i="1"/>
  <c r="S121" i="1"/>
  <c r="I122" i="1"/>
  <c r="J122" i="1"/>
  <c r="K122" i="1"/>
  <c r="L122" i="1"/>
  <c r="M122" i="1"/>
  <c r="N122" i="1"/>
  <c r="O122" i="1"/>
  <c r="Z122" i="1" s="1"/>
  <c r="P122" i="1"/>
  <c r="Q122" i="1"/>
  <c r="R122" i="1"/>
  <c r="S122" i="1"/>
  <c r="I123" i="1"/>
  <c r="J123" i="1"/>
  <c r="K123" i="1"/>
  <c r="L123" i="1"/>
  <c r="M123" i="1"/>
  <c r="N123" i="1"/>
  <c r="O123" i="1"/>
  <c r="P123" i="1"/>
  <c r="Q123" i="1"/>
  <c r="R123" i="1"/>
  <c r="S123" i="1"/>
  <c r="I124" i="1"/>
  <c r="J124" i="1"/>
  <c r="K124" i="1"/>
  <c r="L124" i="1"/>
  <c r="M124" i="1"/>
  <c r="N124" i="1"/>
  <c r="O124" i="1"/>
  <c r="P124" i="1"/>
  <c r="Q124" i="1"/>
  <c r="R124" i="1"/>
  <c r="S124" i="1"/>
  <c r="I125" i="1"/>
  <c r="J125" i="1"/>
  <c r="K125" i="1"/>
  <c r="L125" i="1"/>
  <c r="M125" i="1"/>
  <c r="N125" i="1"/>
  <c r="O125" i="1"/>
  <c r="P125" i="1"/>
  <c r="Q125" i="1"/>
  <c r="R125" i="1"/>
  <c r="S125" i="1"/>
  <c r="I126" i="1"/>
  <c r="J126" i="1"/>
  <c r="K126" i="1"/>
  <c r="L126" i="1"/>
  <c r="M126" i="1"/>
  <c r="N126" i="1"/>
  <c r="O126" i="1"/>
  <c r="P126" i="1"/>
  <c r="Q126" i="1"/>
  <c r="R126" i="1"/>
  <c r="S126" i="1"/>
  <c r="I127" i="1"/>
  <c r="J127" i="1"/>
  <c r="K127" i="1"/>
  <c r="L127" i="1"/>
  <c r="M127" i="1"/>
  <c r="N127" i="1"/>
  <c r="O127" i="1"/>
  <c r="P127" i="1"/>
  <c r="Q127" i="1"/>
  <c r="R127" i="1"/>
  <c r="S127" i="1"/>
  <c r="I128" i="1"/>
  <c r="J128" i="1"/>
  <c r="K128" i="1"/>
  <c r="L128" i="1"/>
  <c r="M128" i="1"/>
  <c r="N128" i="1"/>
  <c r="O128" i="1"/>
  <c r="P128" i="1"/>
  <c r="Q128" i="1"/>
  <c r="R128" i="1"/>
  <c r="S128" i="1"/>
  <c r="I129" i="1"/>
  <c r="J129" i="1"/>
  <c r="K129" i="1"/>
  <c r="L129" i="1"/>
  <c r="M129" i="1"/>
  <c r="N129" i="1"/>
  <c r="O129" i="1"/>
  <c r="P129" i="1"/>
  <c r="Q129" i="1"/>
  <c r="R129" i="1"/>
  <c r="S129" i="1"/>
  <c r="I130" i="1"/>
  <c r="J130" i="1"/>
  <c r="K130" i="1"/>
  <c r="L130" i="1"/>
  <c r="M130" i="1"/>
  <c r="N130" i="1"/>
  <c r="O130" i="1"/>
  <c r="P130" i="1"/>
  <c r="Q130" i="1"/>
  <c r="R130" i="1"/>
  <c r="S130" i="1"/>
  <c r="I131" i="1"/>
  <c r="J131" i="1"/>
  <c r="K131" i="1"/>
  <c r="L131" i="1"/>
  <c r="M131" i="1"/>
  <c r="N131" i="1"/>
  <c r="O131" i="1"/>
  <c r="P131" i="1"/>
  <c r="Q131" i="1"/>
  <c r="R131" i="1"/>
  <c r="S131" i="1"/>
  <c r="I132" i="1"/>
  <c r="J132" i="1"/>
  <c r="K132" i="1"/>
  <c r="L132" i="1"/>
  <c r="M132" i="1"/>
  <c r="N132" i="1"/>
  <c r="O132" i="1"/>
  <c r="P132" i="1"/>
  <c r="Q132" i="1"/>
  <c r="R132" i="1"/>
  <c r="S132" i="1"/>
  <c r="I133" i="1"/>
  <c r="J133" i="1"/>
  <c r="K133" i="1"/>
  <c r="L133" i="1"/>
  <c r="M133" i="1"/>
  <c r="N133" i="1"/>
  <c r="O133" i="1"/>
  <c r="P133" i="1"/>
  <c r="Q133" i="1"/>
  <c r="R133" i="1"/>
  <c r="S133" i="1"/>
  <c r="I134" i="1"/>
  <c r="J134" i="1"/>
  <c r="K134" i="1"/>
  <c r="L134" i="1"/>
  <c r="M134" i="1"/>
  <c r="N134" i="1"/>
  <c r="O134" i="1"/>
  <c r="P134" i="1"/>
  <c r="Q134" i="1"/>
  <c r="R134" i="1"/>
  <c r="S134" i="1"/>
  <c r="I135" i="1"/>
  <c r="J135" i="1"/>
  <c r="K135" i="1"/>
  <c r="L135" i="1"/>
  <c r="M135" i="1"/>
  <c r="N135" i="1"/>
  <c r="O135" i="1"/>
  <c r="P135" i="1"/>
  <c r="Z135" i="1" s="1"/>
  <c r="Q135" i="1"/>
  <c r="R135" i="1"/>
  <c r="S135" i="1"/>
  <c r="I136" i="1"/>
  <c r="J136" i="1"/>
  <c r="K136" i="1"/>
  <c r="L136" i="1"/>
  <c r="M136" i="1"/>
  <c r="N136" i="1"/>
  <c r="O136" i="1"/>
  <c r="P136" i="1"/>
  <c r="Q136" i="1"/>
  <c r="R136" i="1"/>
  <c r="S136" i="1"/>
  <c r="I137" i="1"/>
  <c r="J137" i="1"/>
  <c r="K137" i="1"/>
  <c r="L137" i="1"/>
  <c r="M137" i="1"/>
  <c r="N137" i="1"/>
  <c r="O137" i="1"/>
  <c r="P137" i="1"/>
  <c r="Q137" i="1"/>
  <c r="R137" i="1"/>
  <c r="S137" i="1"/>
  <c r="I138" i="1"/>
  <c r="J138" i="1"/>
  <c r="K138" i="1"/>
  <c r="L138" i="1"/>
  <c r="M138" i="1"/>
  <c r="N138" i="1"/>
  <c r="O138" i="1"/>
  <c r="Z138" i="1" s="1"/>
  <c r="P138" i="1"/>
  <c r="Q138" i="1"/>
  <c r="R138" i="1"/>
  <c r="S138" i="1"/>
  <c r="I139" i="1"/>
  <c r="J139" i="1"/>
  <c r="K139" i="1"/>
  <c r="L139" i="1"/>
  <c r="M139" i="1"/>
  <c r="N139" i="1"/>
  <c r="O139" i="1"/>
  <c r="P139" i="1"/>
  <c r="Q139" i="1"/>
  <c r="R139" i="1"/>
  <c r="S139" i="1"/>
  <c r="I140" i="1"/>
  <c r="J140" i="1"/>
  <c r="K140" i="1"/>
  <c r="L140" i="1"/>
  <c r="M140" i="1"/>
  <c r="N140" i="1"/>
  <c r="O140" i="1"/>
  <c r="P140" i="1"/>
  <c r="Q140" i="1"/>
  <c r="R140" i="1"/>
  <c r="S140" i="1"/>
  <c r="I141" i="1"/>
  <c r="J141" i="1"/>
  <c r="K141" i="1"/>
  <c r="L141" i="1"/>
  <c r="M141" i="1"/>
  <c r="N141" i="1"/>
  <c r="O141" i="1"/>
  <c r="P141" i="1"/>
  <c r="Q141" i="1"/>
  <c r="R141" i="1"/>
  <c r="S141" i="1"/>
  <c r="I142" i="1"/>
  <c r="J142" i="1"/>
  <c r="K142" i="1"/>
  <c r="L142" i="1"/>
  <c r="M142" i="1"/>
  <c r="N142" i="1"/>
  <c r="O142" i="1"/>
  <c r="P142" i="1"/>
  <c r="Q142" i="1"/>
  <c r="R142" i="1"/>
  <c r="S142" i="1"/>
  <c r="I143" i="1"/>
  <c r="J143" i="1"/>
  <c r="K143" i="1"/>
  <c r="L143" i="1"/>
  <c r="M143" i="1"/>
  <c r="N143" i="1"/>
  <c r="O143" i="1"/>
  <c r="P143" i="1"/>
  <c r="Q143" i="1"/>
  <c r="R143" i="1"/>
  <c r="S143" i="1"/>
  <c r="I144" i="1"/>
  <c r="J144" i="1"/>
  <c r="K144" i="1"/>
  <c r="L144" i="1"/>
  <c r="M144" i="1"/>
  <c r="N144" i="1"/>
  <c r="O144" i="1"/>
  <c r="P144" i="1"/>
  <c r="Q144" i="1"/>
  <c r="R144" i="1"/>
  <c r="S144" i="1"/>
  <c r="I145" i="1"/>
  <c r="J145" i="1"/>
  <c r="K145" i="1"/>
  <c r="L145" i="1"/>
  <c r="M145" i="1"/>
  <c r="N145" i="1"/>
  <c r="O145" i="1"/>
  <c r="P145" i="1"/>
  <c r="Q145" i="1"/>
  <c r="R145" i="1"/>
  <c r="S145" i="1"/>
  <c r="I146" i="1"/>
  <c r="J146" i="1"/>
  <c r="K146" i="1"/>
  <c r="L146" i="1"/>
  <c r="M146" i="1"/>
  <c r="N146" i="1"/>
  <c r="O146" i="1"/>
  <c r="P146" i="1"/>
  <c r="Q146" i="1"/>
  <c r="R146" i="1"/>
  <c r="S146" i="1"/>
  <c r="I147" i="1"/>
  <c r="J147" i="1"/>
  <c r="K147" i="1"/>
  <c r="L147" i="1"/>
  <c r="M147" i="1"/>
  <c r="N147" i="1"/>
  <c r="O147" i="1"/>
  <c r="P147" i="1"/>
  <c r="Q147" i="1"/>
  <c r="R147" i="1"/>
  <c r="S147" i="1"/>
  <c r="I148" i="1"/>
  <c r="J148" i="1"/>
  <c r="K148" i="1"/>
  <c r="L148" i="1"/>
  <c r="M148" i="1"/>
  <c r="N148" i="1"/>
  <c r="O148" i="1"/>
  <c r="P148" i="1"/>
  <c r="Q148" i="1"/>
  <c r="R148" i="1"/>
  <c r="S148" i="1"/>
  <c r="I149" i="1"/>
  <c r="J149" i="1"/>
  <c r="K149" i="1"/>
  <c r="L149" i="1"/>
  <c r="M149" i="1"/>
  <c r="N149" i="1"/>
  <c r="O149" i="1"/>
  <c r="P149" i="1"/>
  <c r="Q149" i="1"/>
  <c r="R149" i="1"/>
  <c r="S149" i="1"/>
  <c r="I150" i="1"/>
  <c r="J150" i="1"/>
  <c r="K150" i="1"/>
  <c r="L150" i="1"/>
  <c r="M150" i="1"/>
  <c r="N150" i="1"/>
  <c r="O150" i="1"/>
  <c r="P150" i="1"/>
  <c r="Q150" i="1"/>
  <c r="R150" i="1"/>
  <c r="S150" i="1"/>
  <c r="I151" i="1"/>
  <c r="J151" i="1"/>
  <c r="K151" i="1"/>
  <c r="L151" i="1"/>
  <c r="M151" i="1"/>
  <c r="N151" i="1"/>
  <c r="O151" i="1"/>
  <c r="P151" i="1"/>
  <c r="Z151" i="1" s="1"/>
  <c r="Q151" i="1"/>
  <c r="R151" i="1"/>
  <c r="S151" i="1"/>
  <c r="I152" i="1"/>
  <c r="J152" i="1"/>
  <c r="K152" i="1"/>
  <c r="L152" i="1"/>
  <c r="M152" i="1"/>
  <c r="N152" i="1"/>
  <c r="O152" i="1"/>
  <c r="P152" i="1"/>
  <c r="Q152" i="1"/>
  <c r="R152" i="1"/>
  <c r="S152" i="1"/>
  <c r="I153" i="1"/>
  <c r="J153" i="1"/>
  <c r="K153" i="1"/>
  <c r="L153" i="1"/>
  <c r="M153" i="1"/>
  <c r="N153" i="1"/>
  <c r="O153" i="1"/>
  <c r="P153" i="1"/>
  <c r="Q153" i="1"/>
  <c r="R153" i="1"/>
  <c r="S153" i="1"/>
  <c r="I154" i="1"/>
  <c r="J154" i="1"/>
  <c r="K154" i="1"/>
  <c r="L154" i="1"/>
  <c r="M154" i="1"/>
  <c r="N154" i="1"/>
  <c r="O154" i="1"/>
  <c r="Z154" i="1" s="1"/>
  <c r="P154" i="1"/>
  <c r="Q154" i="1"/>
  <c r="R154" i="1"/>
  <c r="S154" i="1"/>
  <c r="I155" i="1"/>
  <c r="J155" i="1"/>
  <c r="K155" i="1"/>
  <c r="L155" i="1"/>
  <c r="M155" i="1"/>
  <c r="N155" i="1"/>
  <c r="O155" i="1"/>
  <c r="P155" i="1"/>
  <c r="Q155" i="1"/>
  <c r="R155" i="1"/>
  <c r="S155" i="1"/>
  <c r="I156" i="1"/>
  <c r="J156" i="1"/>
  <c r="K156" i="1"/>
  <c r="L156" i="1"/>
  <c r="M156" i="1"/>
  <c r="N156" i="1"/>
  <c r="O156" i="1"/>
  <c r="P156" i="1"/>
  <c r="Q156" i="1"/>
  <c r="R156" i="1"/>
  <c r="S156" i="1"/>
  <c r="I157" i="1"/>
  <c r="J157" i="1"/>
  <c r="K157" i="1"/>
  <c r="L157" i="1"/>
  <c r="M157" i="1"/>
  <c r="N157" i="1"/>
  <c r="O157" i="1"/>
  <c r="P157" i="1"/>
  <c r="Q157" i="1"/>
  <c r="R157" i="1"/>
  <c r="S157" i="1"/>
  <c r="I158" i="1"/>
  <c r="J158" i="1"/>
  <c r="K158" i="1"/>
  <c r="L158" i="1"/>
  <c r="M158" i="1"/>
  <c r="N158" i="1"/>
  <c r="O158" i="1"/>
  <c r="P158" i="1"/>
  <c r="Q158" i="1"/>
  <c r="R158" i="1"/>
  <c r="S158" i="1"/>
  <c r="I159" i="1"/>
  <c r="J159" i="1"/>
  <c r="K159" i="1"/>
  <c r="L159" i="1"/>
  <c r="M159" i="1"/>
  <c r="N159" i="1"/>
  <c r="O159" i="1"/>
  <c r="P159" i="1"/>
  <c r="Q159" i="1"/>
  <c r="R159" i="1"/>
  <c r="S159" i="1"/>
  <c r="I160" i="1"/>
  <c r="J160" i="1"/>
  <c r="K160" i="1"/>
  <c r="L160" i="1"/>
  <c r="M160" i="1"/>
  <c r="N160" i="1"/>
  <c r="O160" i="1"/>
  <c r="P160" i="1"/>
  <c r="Q160" i="1"/>
  <c r="R160" i="1"/>
  <c r="S160" i="1"/>
  <c r="I161" i="1"/>
  <c r="J161" i="1"/>
  <c r="K161" i="1"/>
  <c r="L161" i="1"/>
  <c r="M161" i="1"/>
  <c r="N161" i="1"/>
  <c r="O161" i="1"/>
  <c r="P161" i="1"/>
  <c r="Q161" i="1"/>
  <c r="R161" i="1"/>
  <c r="S161" i="1"/>
  <c r="I162" i="1"/>
  <c r="J162" i="1"/>
  <c r="K162" i="1"/>
  <c r="L162" i="1"/>
  <c r="M162" i="1"/>
  <c r="N162" i="1"/>
  <c r="O162" i="1"/>
  <c r="P162" i="1"/>
  <c r="Q162" i="1"/>
  <c r="R162" i="1"/>
  <c r="S162" i="1"/>
  <c r="I163" i="1"/>
  <c r="J163" i="1"/>
  <c r="K163" i="1"/>
  <c r="L163" i="1"/>
  <c r="M163" i="1"/>
  <c r="N163" i="1"/>
  <c r="O163" i="1"/>
  <c r="P163" i="1"/>
  <c r="Q163" i="1"/>
  <c r="R163" i="1"/>
  <c r="S163" i="1"/>
  <c r="I164" i="1"/>
  <c r="J164" i="1"/>
  <c r="K164" i="1"/>
  <c r="L164" i="1"/>
  <c r="M164" i="1"/>
  <c r="N164" i="1"/>
  <c r="O164" i="1"/>
  <c r="P164" i="1"/>
  <c r="Q164" i="1"/>
  <c r="R164" i="1"/>
  <c r="S164" i="1"/>
  <c r="I165" i="1"/>
  <c r="J165" i="1"/>
  <c r="K165" i="1"/>
  <c r="L165" i="1"/>
  <c r="M165" i="1"/>
  <c r="N165" i="1"/>
  <c r="O165" i="1"/>
  <c r="P165" i="1"/>
  <c r="Q165" i="1"/>
  <c r="R165" i="1"/>
  <c r="S165" i="1"/>
  <c r="I166" i="1"/>
  <c r="J166" i="1"/>
  <c r="K166" i="1"/>
  <c r="L166" i="1"/>
  <c r="M166" i="1"/>
  <c r="N166" i="1"/>
  <c r="O166" i="1"/>
  <c r="P166" i="1"/>
  <c r="Q166" i="1"/>
  <c r="R166" i="1"/>
  <c r="S166" i="1"/>
  <c r="I167" i="1"/>
  <c r="J167" i="1"/>
  <c r="K167" i="1"/>
  <c r="L167" i="1"/>
  <c r="M167" i="1"/>
  <c r="N167" i="1"/>
  <c r="O167" i="1"/>
  <c r="P167" i="1"/>
  <c r="Q167" i="1"/>
  <c r="R167" i="1"/>
  <c r="S167" i="1"/>
  <c r="I168" i="1"/>
  <c r="J168" i="1"/>
  <c r="K168" i="1"/>
  <c r="L168" i="1"/>
  <c r="M168" i="1"/>
  <c r="N168" i="1"/>
  <c r="O168" i="1"/>
  <c r="P168" i="1"/>
  <c r="Q168" i="1"/>
  <c r="R168" i="1"/>
  <c r="S168" i="1"/>
  <c r="I169" i="1"/>
  <c r="J169" i="1"/>
  <c r="K169" i="1"/>
  <c r="L169" i="1"/>
  <c r="M169" i="1"/>
  <c r="N169" i="1"/>
  <c r="O169" i="1"/>
  <c r="P169" i="1"/>
  <c r="Q169" i="1"/>
  <c r="R169" i="1"/>
  <c r="S169" i="1"/>
  <c r="I170" i="1"/>
  <c r="J170" i="1"/>
  <c r="K170" i="1"/>
  <c r="L170" i="1"/>
  <c r="M170" i="1"/>
  <c r="N170" i="1"/>
  <c r="O170" i="1"/>
  <c r="Z170" i="1" s="1"/>
  <c r="P170" i="1"/>
  <c r="Q170" i="1"/>
  <c r="R170" i="1"/>
  <c r="S170" i="1"/>
  <c r="I171" i="1"/>
  <c r="J171" i="1"/>
  <c r="K171" i="1"/>
  <c r="L171" i="1"/>
  <c r="M171" i="1"/>
  <c r="N171" i="1"/>
  <c r="O171" i="1"/>
  <c r="P171" i="1"/>
  <c r="Q171" i="1"/>
  <c r="R171" i="1"/>
  <c r="S171" i="1"/>
  <c r="I172" i="1"/>
  <c r="J172" i="1"/>
  <c r="K172" i="1"/>
  <c r="L172" i="1"/>
  <c r="M172" i="1"/>
  <c r="N172" i="1"/>
  <c r="O172" i="1"/>
  <c r="P172" i="1"/>
  <c r="Q172" i="1"/>
  <c r="R172" i="1"/>
  <c r="S172" i="1"/>
  <c r="I173" i="1"/>
  <c r="J173" i="1"/>
  <c r="K173" i="1"/>
  <c r="L173" i="1"/>
  <c r="M173" i="1"/>
  <c r="N173" i="1"/>
  <c r="O173" i="1"/>
  <c r="P173" i="1"/>
  <c r="Q173" i="1"/>
  <c r="R173" i="1"/>
  <c r="S173" i="1"/>
  <c r="I174" i="1"/>
  <c r="J174" i="1"/>
  <c r="K174" i="1"/>
  <c r="L174" i="1"/>
  <c r="M174" i="1"/>
  <c r="N174" i="1"/>
  <c r="O174" i="1"/>
  <c r="P174" i="1"/>
  <c r="Q174" i="1"/>
  <c r="R174" i="1"/>
  <c r="S174" i="1"/>
  <c r="I175" i="1"/>
  <c r="J175" i="1"/>
  <c r="K175" i="1"/>
  <c r="L175" i="1"/>
  <c r="M175" i="1"/>
  <c r="N175" i="1"/>
  <c r="O175" i="1"/>
  <c r="P175" i="1"/>
  <c r="Q175" i="1"/>
  <c r="R175" i="1"/>
  <c r="S175" i="1"/>
  <c r="I176" i="1"/>
  <c r="J176" i="1"/>
  <c r="K176" i="1"/>
  <c r="L176" i="1"/>
  <c r="M176" i="1"/>
  <c r="N176" i="1"/>
  <c r="O176" i="1"/>
  <c r="P176" i="1"/>
  <c r="Q176" i="1"/>
  <c r="R176" i="1"/>
  <c r="S176" i="1"/>
  <c r="I177" i="1"/>
  <c r="J177" i="1"/>
  <c r="K177" i="1"/>
  <c r="L177" i="1"/>
  <c r="M177" i="1"/>
  <c r="N177" i="1"/>
  <c r="O177" i="1"/>
  <c r="P177" i="1"/>
  <c r="Q177" i="1"/>
  <c r="R177" i="1"/>
  <c r="S177" i="1"/>
  <c r="I178" i="1"/>
  <c r="J178" i="1"/>
  <c r="K178" i="1"/>
  <c r="L178" i="1"/>
  <c r="M178" i="1"/>
  <c r="N178" i="1"/>
  <c r="O178" i="1"/>
  <c r="Z178" i="1" s="1"/>
  <c r="P178" i="1"/>
  <c r="Q178" i="1"/>
  <c r="R178" i="1"/>
  <c r="S178" i="1"/>
  <c r="I179" i="1"/>
  <c r="J179" i="1"/>
  <c r="K179" i="1"/>
  <c r="L179" i="1"/>
  <c r="M179" i="1"/>
  <c r="N179" i="1"/>
  <c r="O179" i="1"/>
  <c r="P179" i="1"/>
  <c r="Q179" i="1"/>
  <c r="R179" i="1"/>
  <c r="S179" i="1"/>
  <c r="I180" i="1"/>
  <c r="J180" i="1"/>
  <c r="K180" i="1"/>
  <c r="L180" i="1"/>
  <c r="M180" i="1"/>
  <c r="N180" i="1"/>
  <c r="O180" i="1"/>
  <c r="P180" i="1"/>
  <c r="Q180" i="1"/>
  <c r="R180" i="1"/>
  <c r="S180" i="1"/>
  <c r="I181" i="1"/>
  <c r="J181" i="1"/>
  <c r="K181" i="1"/>
  <c r="L181" i="1"/>
  <c r="M181" i="1"/>
  <c r="N181" i="1"/>
  <c r="O181" i="1"/>
  <c r="P181" i="1"/>
  <c r="Q181" i="1"/>
  <c r="R181" i="1"/>
  <c r="S181" i="1"/>
  <c r="I182" i="1"/>
  <c r="J182" i="1"/>
  <c r="K182" i="1"/>
  <c r="L182" i="1"/>
  <c r="M182" i="1"/>
  <c r="N182" i="1"/>
  <c r="O182" i="1"/>
  <c r="P182" i="1"/>
  <c r="Q182" i="1"/>
  <c r="R182" i="1"/>
  <c r="S182" i="1"/>
  <c r="I183" i="1"/>
  <c r="J183" i="1"/>
  <c r="K183" i="1"/>
  <c r="L183" i="1"/>
  <c r="M183" i="1"/>
  <c r="N183" i="1"/>
  <c r="O183" i="1"/>
  <c r="P183" i="1"/>
  <c r="Q183" i="1"/>
  <c r="R183" i="1"/>
  <c r="S183" i="1"/>
  <c r="I184" i="1"/>
  <c r="J184" i="1"/>
  <c r="K184" i="1"/>
  <c r="L184" i="1"/>
  <c r="M184" i="1"/>
  <c r="N184" i="1"/>
  <c r="O184" i="1"/>
  <c r="P184" i="1"/>
  <c r="Q184" i="1"/>
  <c r="R184" i="1"/>
  <c r="S184" i="1"/>
  <c r="I185" i="1"/>
  <c r="J185" i="1"/>
  <c r="K185" i="1"/>
  <c r="L185" i="1"/>
  <c r="M185" i="1"/>
  <c r="N185" i="1"/>
  <c r="O185" i="1"/>
  <c r="P185" i="1"/>
  <c r="Q185" i="1"/>
  <c r="R185" i="1"/>
  <c r="S185" i="1"/>
  <c r="I186" i="1"/>
  <c r="J186" i="1"/>
  <c r="K186" i="1"/>
  <c r="L186" i="1"/>
  <c r="M186" i="1"/>
  <c r="N186" i="1"/>
  <c r="O186" i="1"/>
  <c r="Z186" i="1" s="1"/>
  <c r="P186" i="1"/>
  <c r="Q186" i="1"/>
  <c r="R186" i="1"/>
  <c r="S186" i="1"/>
  <c r="I187" i="1"/>
  <c r="J187" i="1"/>
  <c r="K187" i="1"/>
  <c r="L187" i="1"/>
  <c r="M187" i="1"/>
  <c r="N187" i="1"/>
  <c r="O187" i="1"/>
  <c r="P187" i="1"/>
  <c r="Q187" i="1"/>
  <c r="R187" i="1"/>
  <c r="S187" i="1"/>
  <c r="I188" i="1"/>
  <c r="J188" i="1"/>
  <c r="K188" i="1"/>
  <c r="L188" i="1"/>
  <c r="M188" i="1"/>
  <c r="N188" i="1"/>
  <c r="O188" i="1"/>
  <c r="P188" i="1"/>
  <c r="Q188" i="1"/>
  <c r="R188" i="1"/>
  <c r="S188" i="1"/>
  <c r="I189" i="1"/>
  <c r="J189" i="1"/>
  <c r="K189" i="1"/>
  <c r="L189" i="1"/>
  <c r="M189" i="1"/>
  <c r="N189" i="1"/>
  <c r="O189" i="1"/>
  <c r="P189" i="1"/>
  <c r="Q189" i="1"/>
  <c r="R189" i="1"/>
  <c r="S189" i="1"/>
  <c r="I190" i="1"/>
  <c r="J190" i="1"/>
  <c r="K190" i="1"/>
  <c r="L190" i="1"/>
  <c r="M190" i="1"/>
  <c r="N190" i="1"/>
  <c r="O190" i="1"/>
  <c r="P190" i="1"/>
  <c r="Q190" i="1"/>
  <c r="R190" i="1"/>
  <c r="S190" i="1"/>
  <c r="I191" i="1"/>
  <c r="J191" i="1"/>
  <c r="K191" i="1"/>
  <c r="L191" i="1"/>
  <c r="M191" i="1"/>
  <c r="N191" i="1"/>
  <c r="O191" i="1"/>
  <c r="P191" i="1"/>
  <c r="Z191" i="1" s="1"/>
  <c r="Q191" i="1"/>
  <c r="R191" i="1"/>
  <c r="S191" i="1"/>
  <c r="I192" i="1"/>
  <c r="J192" i="1"/>
  <c r="K192" i="1"/>
  <c r="L192" i="1"/>
  <c r="M192" i="1"/>
  <c r="N192" i="1"/>
  <c r="O192" i="1"/>
  <c r="P192" i="1"/>
  <c r="Q192" i="1"/>
  <c r="R192" i="1"/>
  <c r="S192" i="1"/>
  <c r="I193" i="1"/>
  <c r="J193" i="1"/>
  <c r="K193" i="1"/>
  <c r="L193" i="1"/>
  <c r="M193" i="1"/>
  <c r="N193" i="1"/>
  <c r="O193" i="1"/>
  <c r="P193" i="1"/>
  <c r="Q193" i="1"/>
  <c r="R193" i="1"/>
  <c r="S193" i="1"/>
  <c r="I194" i="1"/>
  <c r="J194" i="1"/>
  <c r="K194" i="1"/>
  <c r="L194" i="1"/>
  <c r="M194" i="1"/>
  <c r="N194" i="1"/>
  <c r="O194" i="1"/>
  <c r="Z194" i="1" s="1"/>
  <c r="P194" i="1"/>
  <c r="Q194" i="1"/>
  <c r="R194" i="1"/>
  <c r="S194" i="1"/>
  <c r="I195" i="1"/>
  <c r="J195" i="1"/>
  <c r="K195" i="1"/>
  <c r="L195" i="1"/>
  <c r="M195" i="1"/>
  <c r="N195" i="1"/>
  <c r="O195" i="1"/>
  <c r="P195" i="1"/>
  <c r="Q195" i="1"/>
  <c r="R195" i="1"/>
  <c r="S195" i="1"/>
  <c r="I196" i="1"/>
  <c r="J196" i="1"/>
  <c r="K196" i="1"/>
  <c r="L196" i="1"/>
  <c r="M196" i="1"/>
  <c r="N196" i="1"/>
  <c r="O196" i="1"/>
  <c r="P196" i="1"/>
  <c r="Q196" i="1"/>
  <c r="R196" i="1"/>
  <c r="S196" i="1"/>
  <c r="I197" i="1"/>
  <c r="J197" i="1"/>
  <c r="K197" i="1"/>
  <c r="L197" i="1"/>
  <c r="M197" i="1"/>
  <c r="N197" i="1"/>
  <c r="O197" i="1"/>
  <c r="P197" i="1"/>
  <c r="Q197" i="1"/>
  <c r="R197" i="1"/>
  <c r="S197" i="1"/>
  <c r="I198" i="1"/>
  <c r="J198" i="1"/>
  <c r="K198" i="1"/>
  <c r="L198" i="1"/>
  <c r="M198" i="1"/>
  <c r="N198" i="1"/>
  <c r="O198" i="1"/>
  <c r="P198" i="1"/>
  <c r="Q198" i="1"/>
  <c r="R198" i="1"/>
  <c r="S198" i="1"/>
  <c r="I199" i="1"/>
  <c r="J199" i="1"/>
  <c r="K199" i="1"/>
  <c r="L199" i="1"/>
  <c r="M199" i="1"/>
  <c r="N199" i="1"/>
  <c r="O199" i="1"/>
  <c r="P199" i="1"/>
  <c r="Q199" i="1"/>
  <c r="R199" i="1"/>
  <c r="S199" i="1"/>
  <c r="I200" i="1"/>
  <c r="J200" i="1"/>
  <c r="K200" i="1"/>
  <c r="L200" i="1"/>
  <c r="M200" i="1"/>
  <c r="N200" i="1"/>
  <c r="O200" i="1"/>
  <c r="P200" i="1"/>
  <c r="Q200" i="1"/>
  <c r="R200" i="1"/>
  <c r="S200" i="1"/>
  <c r="I201" i="1"/>
  <c r="J201" i="1"/>
  <c r="K201" i="1"/>
  <c r="L201" i="1"/>
  <c r="M201" i="1"/>
  <c r="N201" i="1"/>
  <c r="O201" i="1"/>
  <c r="P201" i="1"/>
  <c r="Q201" i="1"/>
  <c r="R201" i="1"/>
  <c r="S201" i="1"/>
  <c r="I202" i="1"/>
  <c r="J202" i="1"/>
  <c r="K202" i="1"/>
  <c r="L202" i="1"/>
  <c r="M202" i="1"/>
  <c r="N202" i="1"/>
  <c r="O202" i="1"/>
  <c r="Z202" i="1" s="1"/>
  <c r="P202" i="1"/>
  <c r="Q202" i="1"/>
  <c r="R202" i="1"/>
  <c r="S202" i="1"/>
  <c r="I203" i="1"/>
  <c r="J203" i="1"/>
  <c r="K203" i="1"/>
  <c r="L203" i="1"/>
  <c r="M203" i="1"/>
  <c r="N203" i="1"/>
  <c r="O203" i="1"/>
  <c r="P203" i="1"/>
  <c r="Q203" i="1"/>
  <c r="R203" i="1"/>
  <c r="S203" i="1"/>
  <c r="I204" i="1"/>
  <c r="J204" i="1"/>
  <c r="K204" i="1"/>
  <c r="L204" i="1"/>
  <c r="M204" i="1"/>
  <c r="N204" i="1"/>
  <c r="O204" i="1"/>
  <c r="P204" i="1"/>
  <c r="Q204" i="1"/>
  <c r="R204" i="1"/>
  <c r="S204" i="1"/>
  <c r="I205" i="1"/>
  <c r="J205" i="1"/>
  <c r="K205" i="1"/>
  <c r="L205" i="1"/>
  <c r="M205" i="1"/>
  <c r="N205" i="1"/>
  <c r="O205" i="1"/>
  <c r="P205" i="1"/>
  <c r="Q205" i="1"/>
  <c r="R205" i="1"/>
  <c r="S205" i="1"/>
  <c r="I206" i="1"/>
  <c r="J206" i="1"/>
  <c r="K206" i="1"/>
  <c r="L206" i="1"/>
  <c r="M206" i="1"/>
  <c r="N206" i="1"/>
  <c r="O206" i="1"/>
  <c r="P206" i="1"/>
  <c r="Q206" i="1"/>
  <c r="R206" i="1"/>
  <c r="S206" i="1"/>
  <c r="I207" i="1"/>
  <c r="J207" i="1"/>
  <c r="K207" i="1"/>
  <c r="L207" i="1"/>
  <c r="M207" i="1"/>
  <c r="N207" i="1"/>
  <c r="O207" i="1"/>
  <c r="P207" i="1"/>
  <c r="Q207" i="1"/>
  <c r="R207" i="1"/>
  <c r="S207" i="1"/>
  <c r="I208" i="1"/>
  <c r="J208" i="1"/>
  <c r="K208" i="1"/>
  <c r="L208" i="1"/>
  <c r="M208" i="1"/>
  <c r="N208" i="1"/>
  <c r="O208" i="1"/>
  <c r="P208" i="1"/>
  <c r="Q208" i="1"/>
  <c r="R208" i="1"/>
  <c r="S208" i="1"/>
  <c r="I209" i="1"/>
  <c r="J209" i="1"/>
  <c r="K209" i="1"/>
  <c r="L209" i="1"/>
  <c r="M209" i="1"/>
  <c r="N209" i="1"/>
  <c r="O209" i="1"/>
  <c r="P209" i="1"/>
  <c r="Q209" i="1"/>
  <c r="R209" i="1"/>
  <c r="S209" i="1"/>
  <c r="I210" i="1"/>
  <c r="J210" i="1"/>
  <c r="K210" i="1"/>
  <c r="L210" i="1"/>
  <c r="M210" i="1"/>
  <c r="N210" i="1"/>
  <c r="O210" i="1"/>
  <c r="Z210" i="1" s="1"/>
  <c r="P210" i="1"/>
  <c r="Q210" i="1"/>
  <c r="R210" i="1"/>
  <c r="S210" i="1"/>
  <c r="I211" i="1"/>
  <c r="J211" i="1"/>
  <c r="K211" i="1"/>
  <c r="L211" i="1"/>
  <c r="M211" i="1"/>
  <c r="N211" i="1"/>
  <c r="O211" i="1"/>
  <c r="P211" i="1"/>
  <c r="Q211" i="1"/>
  <c r="R211" i="1"/>
  <c r="S211" i="1"/>
  <c r="I212" i="1"/>
  <c r="J212" i="1"/>
  <c r="K212" i="1"/>
  <c r="L212" i="1"/>
  <c r="M212" i="1"/>
  <c r="N212" i="1"/>
  <c r="O212" i="1"/>
  <c r="P212" i="1"/>
  <c r="Q212" i="1"/>
  <c r="R212" i="1"/>
  <c r="S212" i="1"/>
  <c r="I213" i="1"/>
  <c r="J213" i="1"/>
  <c r="K213" i="1"/>
  <c r="L213" i="1"/>
  <c r="M213" i="1"/>
  <c r="N213" i="1"/>
  <c r="O213" i="1"/>
  <c r="P213" i="1"/>
  <c r="Q213" i="1"/>
  <c r="R213" i="1"/>
  <c r="S213" i="1"/>
  <c r="I214" i="1"/>
  <c r="J214" i="1"/>
  <c r="K214" i="1"/>
  <c r="L214" i="1"/>
  <c r="M214" i="1"/>
  <c r="N214" i="1"/>
  <c r="O214" i="1"/>
  <c r="P214" i="1"/>
  <c r="Q214" i="1"/>
  <c r="R214" i="1"/>
  <c r="S214" i="1"/>
  <c r="I215" i="1"/>
  <c r="J215" i="1"/>
  <c r="K215" i="1"/>
  <c r="L215" i="1"/>
  <c r="M215" i="1"/>
  <c r="N215" i="1"/>
  <c r="O215" i="1"/>
  <c r="P215" i="1"/>
  <c r="Q215" i="1"/>
  <c r="R215" i="1"/>
  <c r="S215" i="1"/>
  <c r="I216" i="1"/>
  <c r="J216" i="1"/>
  <c r="K216" i="1"/>
  <c r="L216" i="1"/>
  <c r="M216" i="1"/>
  <c r="N216" i="1"/>
  <c r="O216" i="1"/>
  <c r="P216" i="1"/>
  <c r="Q216" i="1"/>
  <c r="R216" i="1"/>
  <c r="S216" i="1"/>
  <c r="I217" i="1"/>
  <c r="J217" i="1"/>
  <c r="K217" i="1"/>
  <c r="L217" i="1"/>
  <c r="M217" i="1"/>
  <c r="N217" i="1"/>
  <c r="O217" i="1"/>
  <c r="P217" i="1"/>
  <c r="Q217" i="1"/>
  <c r="R217" i="1"/>
  <c r="S217" i="1"/>
  <c r="I218" i="1"/>
  <c r="J218" i="1"/>
  <c r="K218" i="1"/>
  <c r="L218" i="1"/>
  <c r="M218" i="1"/>
  <c r="N218" i="1"/>
  <c r="O218" i="1"/>
  <c r="Z218" i="1" s="1"/>
  <c r="P218" i="1"/>
  <c r="Q218" i="1"/>
  <c r="R218" i="1"/>
  <c r="S218" i="1"/>
  <c r="I219" i="1"/>
  <c r="J219" i="1"/>
  <c r="K219" i="1"/>
  <c r="L219" i="1"/>
  <c r="M219" i="1"/>
  <c r="N219" i="1"/>
  <c r="O219" i="1"/>
  <c r="P219" i="1"/>
  <c r="Q219" i="1"/>
  <c r="R219" i="1"/>
  <c r="S219" i="1"/>
  <c r="I220" i="1"/>
  <c r="J220" i="1"/>
  <c r="K220" i="1"/>
  <c r="L220" i="1"/>
  <c r="M220" i="1"/>
  <c r="N220" i="1"/>
  <c r="O220" i="1"/>
  <c r="P220" i="1"/>
  <c r="Q220" i="1"/>
  <c r="R220" i="1"/>
  <c r="S220" i="1"/>
  <c r="I221" i="1"/>
  <c r="J221" i="1"/>
  <c r="K221" i="1"/>
  <c r="L221" i="1"/>
  <c r="M221" i="1"/>
  <c r="N221" i="1"/>
  <c r="O221" i="1"/>
  <c r="P221" i="1"/>
  <c r="Q221" i="1"/>
  <c r="R221" i="1"/>
  <c r="S221" i="1"/>
  <c r="I222" i="1"/>
  <c r="J222" i="1"/>
  <c r="K222" i="1"/>
  <c r="AA222" i="1" s="1"/>
  <c r="L222" i="1"/>
  <c r="M222" i="1"/>
  <c r="N222" i="1"/>
  <c r="O222" i="1"/>
  <c r="P222" i="1"/>
  <c r="Q222" i="1"/>
  <c r="R222" i="1"/>
  <c r="S222" i="1"/>
  <c r="I223" i="1"/>
  <c r="J223" i="1"/>
  <c r="K223" i="1"/>
  <c r="L223" i="1"/>
  <c r="M223" i="1"/>
  <c r="N223" i="1"/>
  <c r="O223" i="1"/>
  <c r="P223" i="1"/>
  <c r="Q223" i="1"/>
  <c r="R223" i="1"/>
  <c r="S223" i="1"/>
  <c r="I224" i="1"/>
  <c r="J224" i="1"/>
  <c r="K224" i="1"/>
  <c r="L224" i="1"/>
  <c r="M224" i="1"/>
  <c r="N224" i="1"/>
  <c r="O224" i="1"/>
  <c r="P224" i="1"/>
  <c r="Q224" i="1"/>
  <c r="R224" i="1"/>
  <c r="S224" i="1"/>
  <c r="I225" i="1"/>
  <c r="J225" i="1"/>
  <c r="K225" i="1"/>
  <c r="L225" i="1"/>
  <c r="M225" i="1"/>
  <c r="N225" i="1"/>
  <c r="O225" i="1"/>
  <c r="P225" i="1"/>
  <c r="Q225" i="1"/>
  <c r="R225" i="1"/>
  <c r="S225" i="1"/>
  <c r="I226" i="1"/>
  <c r="J226" i="1"/>
  <c r="K226" i="1"/>
  <c r="L226" i="1"/>
  <c r="M226" i="1"/>
  <c r="N226" i="1"/>
  <c r="O226" i="1"/>
  <c r="P226" i="1"/>
  <c r="Q226" i="1"/>
  <c r="R226" i="1"/>
  <c r="S226" i="1"/>
  <c r="I227" i="1"/>
  <c r="J227" i="1"/>
  <c r="K227" i="1"/>
  <c r="L227" i="1"/>
  <c r="M227" i="1"/>
  <c r="N227" i="1"/>
  <c r="O227" i="1"/>
  <c r="P227" i="1"/>
  <c r="Q227" i="1"/>
  <c r="R227" i="1"/>
  <c r="S227" i="1"/>
  <c r="I228" i="1"/>
  <c r="J228" i="1"/>
  <c r="K228" i="1"/>
  <c r="L228" i="1"/>
  <c r="M228" i="1"/>
  <c r="N228" i="1"/>
  <c r="O228" i="1"/>
  <c r="P228" i="1"/>
  <c r="Q228" i="1"/>
  <c r="R228" i="1"/>
  <c r="S228" i="1"/>
  <c r="I229" i="1"/>
  <c r="J229" i="1"/>
  <c r="K229" i="1"/>
  <c r="L229" i="1"/>
  <c r="M229" i="1"/>
  <c r="N229" i="1"/>
  <c r="O229" i="1"/>
  <c r="P229" i="1"/>
  <c r="Q229" i="1"/>
  <c r="R229" i="1"/>
  <c r="S229" i="1"/>
  <c r="I230" i="1"/>
  <c r="J230" i="1"/>
  <c r="K230" i="1"/>
  <c r="L230" i="1"/>
  <c r="M230" i="1"/>
  <c r="N230" i="1"/>
  <c r="O230" i="1"/>
  <c r="P230" i="1"/>
  <c r="Q230" i="1"/>
  <c r="R230" i="1"/>
  <c r="S230" i="1"/>
  <c r="I231" i="1"/>
  <c r="J231" i="1"/>
  <c r="K231" i="1"/>
  <c r="L231" i="1"/>
  <c r="M231" i="1"/>
  <c r="N231" i="1"/>
  <c r="O231" i="1"/>
  <c r="P231" i="1"/>
  <c r="Q231" i="1"/>
  <c r="R231" i="1"/>
  <c r="S231" i="1"/>
  <c r="I232" i="1"/>
  <c r="J232" i="1"/>
  <c r="K232" i="1"/>
  <c r="L232" i="1"/>
  <c r="M232" i="1"/>
  <c r="N232" i="1"/>
  <c r="O232" i="1"/>
  <c r="P232" i="1"/>
  <c r="Q232" i="1"/>
  <c r="R232" i="1"/>
  <c r="S232" i="1"/>
  <c r="I233" i="1"/>
  <c r="J233" i="1"/>
  <c r="K233" i="1"/>
  <c r="L233" i="1"/>
  <c r="M233" i="1"/>
  <c r="N233" i="1"/>
  <c r="O233" i="1"/>
  <c r="P233" i="1"/>
  <c r="Q233" i="1"/>
  <c r="R233" i="1"/>
  <c r="S233" i="1"/>
  <c r="I234" i="1"/>
  <c r="J234" i="1"/>
  <c r="K234" i="1"/>
  <c r="L234" i="1"/>
  <c r="M234" i="1"/>
  <c r="N234" i="1"/>
  <c r="O234" i="1"/>
  <c r="Z234" i="1" s="1"/>
  <c r="P234" i="1"/>
  <c r="Q234" i="1"/>
  <c r="R234" i="1"/>
  <c r="S234" i="1"/>
  <c r="I235" i="1"/>
  <c r="J235" i="1"/>
  <c r="K235" i="1"/>
  <c r="L235" i="1"/>
  <c r="M235" i="1"/>
  <c r="N235" i="1"/>
  <c r="O235" i="1"/>
  <c r="P235" i="1"/>
  <c r="Q235" i="1"/>
  <c r="R235" i="1"/>
  <c r="S235" i="1"/>
  <c r="I236" i="1"/>
  <c r="J236" i="1"/>
  <c r="K236" i="1"/>
  <c r="L236" i="1"/>
  <c r="M236" i="1"/>
  <c r="N236" i="1"/>
  <c r="O236" i="1"/>
  <c r="P236" i="1"/>
  <c r="Q236" i="1"/>
  <c r="R236" i="1"/>
  <c r="S236" i="1"/>
  <c r="I237" i="1"/>
  <c r="J237" i="1"/>
  <c r="K237" i="1"/>
  <c r="L237" i="1"/>
  <c r="M237" i="1"/>
  <c r="N237" i="1"/>
  <c r="O237" i="1"/>
  <c r="P237" i="1"/>
  <c r="Q237" i="1"/>
  <c r="R237" i="1"/>
  <c r="S237" i="1"/>
  <c r="I238" i="1"/>
  <c r="J238" i="1"/>
  <c r="K238" i="1"/>
  <c r="L238" i="1"/>
  <c r="M238" i="1"/>
  <c r="N238" i="1"/>
  <c r="O238" i="1"/>
  <c r="P238" i="1"/>
  <c r="Q238" i="1"/>
  <c r="R238" i="1"/>
  <c r="S238" i="1"/>
  <c r="I239" i="1"/>
  <c r="J239" i="1"/>
  <c r="K239" i="1"/>
  <c r="L239" i="1"/>
  <c r="M239" i="1"/>
  <c r="N239" i="1"/>
  <c r="O239" i="1"/>
  <c r="P239" i="1"/>
  <c r="Q239" i="1"/>
  <c r="R239" i="1"/>
  <c r="S239" i="1"/>
  <c r="I240" i="1"/>
  <c r="J240" i="1"/>
  <c r="K240" i="1"/>
  <c r="L240" i="1"/>
  <c r="M240" i="1"/>
  <c r="N240" i="1"/>
  <c r="O240" i="1"/>
  <c r="P240" i="1"/>
  <c r="Q240" i="1"/>
  <c r="R240" i="1"/>
  <c r="S240" i="1"/>
  <c r="I241" i="1"/>
  <c r="J241" i="1"/>
  <c r="K241" i="1"/>
  <c r="L241" i="1"/>
  <c r="M241" i="1"/>
  <c r="N241" i="1"/>
  <c r="O241" i="1"/>
  <c r="P241" i="1"/>
  <c r="Q241" i="1"/>
  <c r="R241" i="1"/>
  <c r="S241" i="1"/>
  <c r="I242" i="1"/>
  <c r="J242" i="1"/>
  <c r="K242" i="1"/>
  <c r="L242" i="1"/>
  <c r="M242" i="1"/>
  <c r="N242" i="1"/>
  <c r="O242" i="1"/>
  <c r="Z242" i="1" s="1"/>
  <c r="P242" i="1"/>
  <c r="Q242" i="1"/>
  <c r="R242" i="1"/>
  <c r="S242" i="1"/>
  <c r="I243" i="1"/>
  <c r="J243" i="1"/>
  <c r="K243" i="1"/>
  <c r="L243" i="1"/>
  <c r="M243" i="1"/>
  <c r="N243" i="1"/>
  <c r="O243" i="1"/>
  <c r="P243" i="1"/>
  <c r="Q243" i="1"/>
  <c r="R243" i="1"/>
  <c r="S243" i="1"/>
  <c r="I244" i="1"/>
  <c r="J244" i="1"/>
  <c r="K244" i="1"/>
  <c r="L244" i="1"/>
  <c r="M244" i="1"/>
  <c r="N244" i="1"/>
  <c r="O244" i="1"/>
  <c r="P244" i="1"/>
  <c r="Q244" i="1"/>
  <c r="R244" i="1"/>
  <c r="S244" i="1"/>
  <c r="I245" i="1"/>
  <c r="J245" i="1"/>
  <c r="K245" i="1"/>
  <c r="L245" i="1"/>
  <c r="M245" i="1"/>
  <c r="N245" i="1"/>
  <c r="O245" i="1"/>
  <c r="P245" i="1"/>
  <c r="Q245" i="1"/>
  <c r="R245" i="1"/>
  <c r="S245" i="1"/>
  <c r="I246" i="1"/>
  <c r="J246" i="1"/>
  <c r="K246" i="1"/>
  <c r="L246" i="1"/>
  <c r="M246" i="1"/>
  <c r="N246" i="1"/>
  <c r="O246" i="1"/>
  <c r="P246" i="1"/>
  <c r="Q246" i="1"/>
  <c r="R246" i="1"/>
  <c r="S246" i="1"/>
  <c r="I247" i="1"/>
  <c r="J247" i="1"/>
  <c r="K247" i="1"/>
  <c r="L247" i="1"/>
  <c r="M247" i="1"/>
  <c r="N247" i="1"/>
  <c r="O247" i="1"/>
  <c r="P247" i="1"/>
  <c r="Q247" i="1"/>
  <c r="R247" i="1"/>
  <c r="S247" i="1"/>
  <c r="I248" i="1"/>
  <c r="J248" i="1"/>
  <c r="K248" i="1"/>
  <c r="L248" i="1"/>
  <c r="M248" i="1"/>
  <c r="N248" i="1"/>
  <c r="O248" i="1"/>
  <c r="P248" i="1"/>
  <c r="Q248" i="1"/>
  <c r="R248" i="1"/>
  <c r="S248" i="1"/>
  <c r="I249" i="1"/>
  <c r="J249" i="1"/>
  <c r="K249" i="1"/>
  <c r="L249" i="1"/>
  <c r="M249" i="1"/>
  <c r="N249" i="1"/>
  <c r="O249" i="1"/>
  <c r="P249" i="1"/>
  <c r="Q249" i="1"/>
  <c r="R249" i="1"/>
  <c r="S249" i="1"/>
  <c r="I250" i="1"/>
  <c r="J250" i="1"/>
  <c r="K250" i="1"/>
  <c r="L250" i="1"/>
  <c r="M250" i="1"/>
  <c r="N250" i="1"/>
  <c r="O250" i="1"/>
  <c r="Z250" i="1" s="1"/>
  <c r="P250" i="1"/>
  <c r="Q250" i="1"/>
  <c r="R250" i="1"/>
  <c r="S250" i="1"/>
  <c r="I251" i="1"/>
  <c r="J251" i="1"/>
  <c r="K251" i="1"/>
  <c r="L251" i="1"/>
  <c r="M251" i="1"/>
  <c r="N251" i="1"/>
  <c r="O251" i="1"/>
  <c r="P251" i="1"/>
  <c r="Q251" i="1"/>
  <c r="R251" i="1"/>
  <c r="S251" i="1"/>
  <c r="I252" i="1"/>
  <c r="J252" i="1"/>
  <c r="K252" i="1"/>
  <c r="L252" i="1"/>
  <c r="M252" i="1"/>
  <c r="N252" i="1"/>
  <c r="O252" i="1"/>
  <c r="P252" i="1"/>
  <c r="Q252" i="1"/>
  <c r="R252" i="1"/>
  <c r="S252" i="1"/>
  <c r="I253" i="1"/>
  <c r="J253" i="1"/>
  <c r="K253" i="1"/>
  <c r="L253" i="1"/>
  <c r="M253" i="1"/>
  <c r="N253" i="1"/>
  <c r="O253" i="1"/>
  <c r="P253" i="1"/>
  <c r="Q253" i="1"/>
  <c r="R253" i="1"/>
  <c r="S253" i="1"/>
  <c r="I254" i="1"/>
  <c r="J254" i="1"/>
  <c r="K254" i="1"/>
  <c r="L254" i="1"/>
  <c r="M254" i="1"/>
  <c r="N254" i="1"/>
  <c r="O254" i="1"/>
  <c r="P254" i="1"/>
  <c r="Q254" i="1"/>
  <c r="R254" i="1"/>
  <c r="S254" i="1"/>
  <c r="I255" i="1"/>
  <c r="J255" i="1"/>
  <c r="K255" i="1"/>
  <c r="L255" i="1"/>
  <c r="M255" i="1"/>
  <c r="N255" i="1"/>
  <c r="O255" i="1"/>
  <c r="P255" i="1"/>
  <c r="Z255" i="1" s="1"/>
  <c r="Q255" i="1"/>
  <c r="R255" i="1"/>
  <c r="S255" i="1"/>
  <c r="I256" i="1"/>
  <c r="J256" i="1"/>
  <c r="K256" i="1"/>
  <c r="L256" i="1"/>
  <c r="M256" i="1"/>
  <c r="N256" i="1"/>
  <c r="O256" i="1"/>
  <c r="P256" i="1"/>
  <c r="Q256" i="1"/>
  <c r="R256" i="1"/>
  <c r="S256" i="1"/>
  <c r="I257" i="1"/>
  <c r="J257" i="1"/>
  <c r="K257" i="1"/>
  <c r="L257" i="1"/>
  <c r="M257" i="1"/>
  <c r="N257" i="1"/>
  <c r="O257" i="1"/>
  <c r="P257" i="1"/>
  <c r="Q257" i="1"/>
  <c r="R257" i="1"/>
  <c r="S257" i="1"/>
  <c r="I258" i="1"/>
  <c r="J258" i="1"/>
  <c r="K258" i="1"/>
  <c r="L258" i="1"/>
  <c r="M258" i="1"/>
  <c r="N258" i="1"/>
  <c r="O258" i="1"/>
  <c r="Z258" i="1" s="1"/>
  <c r="P258" i="1"/>
  <c r="Q258" i="1"/>
  <c r="R258" i="1"/>
  <c r="S258" i="1"/>
  <c r="I259" i="1"/>
  <c r="J259" i="1"/>
  <c r="K259" i="1"/>
  <c r="L259" i="1"/>
  <c r="M259" i="1"/>
  <c r="N259" i="1"/>
  <c r="O259" i="1"/>
  <c r="P259" i="1"/>
  <c r="Q259" i="1"/>
  <c r="R259" i="1"/>
  <c r="S259" i="1"/>
  <c r="I260" i="1"/>
  <c r="J260" i="1"/>
  <c r="K260" i="1"/>
  <c r="L260" i="1"/>
  <c r="M260" i="1"/>
  <c r="N260" i="1"/>
  <c r="O260" i="1"/>
  <c r="P260" i="1"/>
  <c r="Q260" i="1"/>
  <c r="R260" i="1"/>
  <c r="S260" i="1"/>
  <c r="I261" i="1"/>
  <c r="J261" i="1"/>
  <c r="K261" i="1"/>
  <c r="L261" i="1"/>
  <c r="M261" i="1"/>
  <c r="N261" i="1"/>
  <c r="O261" i="1"/>
  <c r="P261" i="1"/>
  <c r="Q261" i="1"/>
  <c r="R261" i="1"/>
  <c r="S261" i="1"/>
  <c r="I262" i="1"/>
  <c r="J262" i="1"/>
  <c r="K262" i="1"/>
  <c r="L262" i="1"/>
  <c r="M262" i="1"/>
  <c r="N262" i="1"/>
  <c r="O262" i="1"/>
  <c r="P262" i="1"/>
  <c r="Q262" i="1"/>
  <c r="R262" i="1"/>
  <c r="S262" i="1"/>
  <c r="I263" i="1"/>
  <c r="J263" i="1"/>
  <c r="K263" i="1"/>
  <c r="L263" i="1"/>
  <c r="M263" i="1"/>
  <c r="N263" i="1"/>
  <c r="O263" i="1"/>
  <c r="P263" i="1"/>
  <c r="Q263" i="1"/>
  <c r="R263" i="1"/>
  <c r="S263" i="1"/>
  <c r="I264" i="1"/>
  <c r="J264" i="1"/>
  <c r="K264" i="1"/>
  <c r="L264" i="1"/>
  <c r="M264" i="1"/>
  <c r="N264" i="1"/>
  <c r="O264" i="1"/>
  <c r="P264" i="1"/>
  <c r="Q264" i="1"/>
  <c r="R264" i="1"/>
  <c r="S264" i="1"/>
  <c r="I265" i="1"/>
  <c r="J265" i="1"/>
  <c r="K265" i="1"/>
  <c r="L265" i="1"/>
  <c r="M265" i="1"/>
  <c r="N265" i="1"/>
  <c r="O265" i="1"/>
  <c r="P265" i="1"/>
  <c r="Q265" i="1"/>
  <c r="R265" i="1"/>
  <c r="S265" i="1"/>
  <c r="I266" i="1"/>
  <c r="J266" i="1"/>
  <c r="K266" i="1"/>
  <c r="L266" i="1"/>
  <c r="M266" i="1"/>
  <c r="N266" i="1"/>
  <c r="O266" i="1"/>
  <c r="Z266" i="1" s="1"/>
  <c r="P266" i="1"/>
  <c r="Q266" i="1"/>
  <c r="R266" i="1"/>
  <c r="S266" i="1"/>
  <c r="I267" i="1"/>
  <c r="J267" i="1"/>
  <c r="K267" i="1"/>
  <c r="L267" i="1"/>
  <c r="M267" i="1"/>
  <c r="N267" i="1"/>
  <c r="O267" i="1"/>
  <c r="P267" i="1"/>
  <c r="Q267" i="1"/>
  <c r="R267" i="1"/>
  <c r="S267" i="1"/>
  <c r="I268" i="1"/>
  <c r="J268" i="1"/>
  <c r="K268" i="1"/>
  <c r="L268" i="1"/>
  <c r="M268" i="1"/>
  <c r="N268" i="1"/>
  <c r="O268" i="1"/>
  <c r="P268" i="1"/>
  <c r="Q268" i="1"/>
  <c r="R268" i="1"/>
  <c r="S268" i="1"/>
  <c r="I269" i="1"/>
  <c r="J269" i="1"/>
  <c r="K269" i="1"/>
  <c r="L269" i="1"/>
  <c r="M269" i="1"/>
  <c r="N269" i="1"/>
  <c r="O269" i="1"/>
  <c r="P269" i="1"/>
  <c r="Q269" i="1"/>
  <c r="R269" i="1"/>
  <c r="S269" i="1"/>
  <c r="I270" i="1"/>
  <c r="J270" i="1"/>
  <c r="K270" i="1"/>
  <c r="L270" i="1"/>
  <c r="M270" i="1"/>
  <c r="N270" i="1"/>
  <c r="O270" i="1"/>
  <c r="P270" i="1"/>
  <c r="Q270" i="1"/>
  <c r="R270" i="1"/>
  <c r="S270" i="1"/>
  <c r="I271" i="1"/>
  <c r="J271" i="1"/>
  <c r="K271" i="1"/>
  <c r="L271" i="1"/>
  <c r="M271" i="1"/>
  <c r="N271" i="1"/>
  <c r="O271" i="1"/>
  <c r="P271" i="1"/>
  <c r="Q271" i="1"/>
  <c r="R271" i="1"/>
  <c r="S271" i="1"/>
  <c r="I272" i="1"/>
  <c r="J272" i="1"/>
  <c r="K272" i="1"/>
  <c r="L272" i="1"/>
  <c r="M272" i="1"/>
  <c r="N272" i="1"/>
  <c r="O272" i="1"/>
  <c r="P272" i="1"/>
  <c r="Q272" i="1"/>
  <c r="R272" i="1"/>
  <c r="S272" i="1"/>
  <c r="I273" i="1"/>
  <c r="J273" i="1"/>
  <c r="K273" i="1"/>
  <c r="L273" i="1"/>
  <c r="M273" i="1"/>
  <c r="N273" i="1"/>
  <c r="O273" i="1"/>
  <c r="P273" i="1"/>
  <c r="Q273" i="1"/>
  <c r="R273" i="1"/>
  <c r="S273" i="1"/>
  <c r="I274" i="1"/>
  <c r="J274" i="1"/>
  <c r="K274" i="1"/>
  <c r="L274" i="1"/>
  <c r="M274" i="1"/>
  <c r="N274" i="1"/>
  <c r="O274" i="1"/>
  <c r="Z274" i="1" s="1"/>
  <c r="P274" i="1"/>
  <c r="Q274" i="1"/>
  <c r="R274" i="1"/>
  <c r="S274" i="1"/>
  <c r="I275" i="1"/>
  <c r="J275" i="1"/>
  <c r="K275" i="1"/>
  <c r="L275" i="1"/>
  <c r="M275" i="1"/>
  <c r="N275" i="1"/>
  <c r="O275" i="1"/>
  <c r="P275" i="1"/>
  <c r="Q275" i="1"/>
  <c r="R275" i="1"/>
  <c r="S275" i="1"/>
  <c r="I276" i="1"/>
  <c r="J276" i="1"/>
  <c r="K276" i="1"/>
  <c r="L276" i="1"/>
  <c r="M276" i="1"/>
  <c r="N276" i="1"/>
  <c r="O276" i="1"/>
  <c r="P276" i="1"/>
  <c r="Q276" i="1"/>
  <c r="R276" i="1"/>
  <c r="S276" i="1"/>
  <c r="I277" i="1"/>
  <c r="J277" i="1"/>
  <c r="K277" i="1"/>
  <c r="L277" i="1"/>
  <c r="M277" i="1"/>
  <c r="N277" i="1"/>
  <c r="O277" i="1"/>
  <c r="P277" i="1"/>
  <c r="Q277" i="1"/>
  <c r="R277" i="1"/>
  <c r="S277" i="1"/>
  <c r="I278" i="1"/>
  <c r="J278" i="1"/>
  <c r="K278" i="1"/>
  <c r="L278" i="1"/>
  <c r="M278" i="1"/>
  <c r="N278" i="1"/>
  <c r="O278" i="1"/>
  <c r="P278" i="1"/>
  <c r="Q278" i="1"/>
  <c r="R278" i="1"/>
  <c r="S278" i="1"/>
  <c r="I279" i="1"/>
  <c r="J279" i="1"/>
  <c r="K279" i="1"/>
  <c r="L279" i="1"/>
  <c r="M279" i="1"/>
  <c r="N279" i="1"/>
  <c r="O279" i="1"/>
  <c r="P279" i="1"/>
  <c r="Q279" i="1"/>
  <c r="R279" i="1"/>
  <c r="S279" i="1"/>
  <c r="I280" i="1"/>
  <c r="J280" i="1"/>
  <c r="K280" i="1"/>
  <c r="L280" i="1"/>
  <c r="M280" i="1"/>
  <c r="N280" i="1"/>
  <c r="O280" i="1"/>
  <c r="P280" i="1"/>
  <c r="Q280" i="1"/>
  <c r="R280" i="1"/>
  <c r="S280" i="1"/>
  <c r="I281" i="1"/>
  <c r="J281" i="1"/>
  <c r="K281" i="1"/>
  <c r="L281" i="1"/>
  <c r="M281" i="1"/>
  <c r="N281" i="1"/>
  <c r="O281" i="1"/>
  <c r="P281" i="1"/>
  <c r="Q281" i="1"/>
  <c r="R281" i="1"/>
  <c r="S281" i="1"/>
  <c r="I282" i="1"/>
  <c r="J282" i="1"/>
  <c r="K282" i="1"/>
  <c r="L282" i="1"/>
  <c r="M282" i="1"/>
  <c r="N282" i="1"/>
  <c r="O282" i="1"/>
  <c r="Z282" i="1" s="1"/>
  <c r="P282" i="1"/>
  <c r="Q282" i="1"/>
  <c r="R282" i="1"/>
  <c r="S282" i="1"/>
  <c r="I283" i="1"/>
  <c r="J283" i="1"/>
  <c r="K283" i="1"/>
  <c r="L283" i="1"/>
  <c r="M283" i="1"/>
  <c r="N283" i="1"/>
  <c r="O283" i="1"/>
  <c r="P283" i="1"/>
  <c r="Q283" i="1"/>
  <c r="R283" i="1"/>
  <c r="S283" i="1"/>
  <c r="I284" i="1"/>
  <c r="J284" i="1"/>
  <c r="K284" i="1"/>
  <c r="L284" i="1"/>
  <c r="M284" i="1"/>
  <c r="N284" i="1"/>
  <c r="O284" i="1"/>
  <c r="P284" i="1"/>
  <c r="Q284" i="1"/>
  <c r="R284" i="1"/>
  <c r="S284" i="1"/>
  <c r="I285" i="1"/>
  <c r="J285" i="1"/>
  <c r="K285" i="1"/>
  <c r="L285" i="1"/>
  <c r="M285" i="1"/>
  <c r="N285" i="1"/>
  <c r="O285" i="1"/>
  <c r="P285" i="1"/>
  <c r="Q285" i="1"/>
  <c r="R285" i="1"/>
  <c r="S285" i="1"/>
  <c r="I286" i="1"/>
  <c r="J286" i="1"/>
  <c r="K286" i="1"/>
  <c r="L286" i="1"/>
  <c r="M286" i="1"/>
  <c r="N286" i="1"/>
  <c r="O286" i="1"/>
  <c r="P286" i="1"/>
  <c r="Q286" i="1"/>
  <c r="R286" i="1"/>
  <c r="S286" i="1"/>
  <c r="I287" i="1"/>
  <c r="J287" i="1"/>
  <c r="K287" i="1"/>
  <c r="L287" i="1"/>
  <c r="M287" i="1"/>
  <c r="N287" i="1"/>
  <c r="O287" i="1"/>
  <c r="P287" i="1"/>
  <c r="Q287" i="1"/>
  <c r="R287" i="1"/>
  <c r="S287" i="1"/>
  <c r="I288" i="1"/>
  <c r="J288" i="1"/>
  <c r="K288" i="1"/>
  <c r="L288" i="1"/>
  <c r="M288" i="1"/>
  <c r="N288" i="1"/>
  <c r="O288" i="1"/>
  <c r="P288" i="1"/>
  <c r="Q288" i="1"/>
  <c r="R288" i="1"/>
  <c r="S288" i="1"/>
  <c r="I289" i="1"/>
  <c r="J289" i="1"/>
  <c r="K289" i="1"/>
  <c r="L289" i="1"/>
  <c r="M289" i="1"/>
  <c r="N289" i="1"/>
  <c r="O289" i="1"/>
  <c r="P289" i="1"/>
  <c r="Q289" i="1"/>
  <c r="R289" i="1"/>
  <c r="S289" i="1"/>
  <c r="I290" i="1"/>
  <c r="J290" i="1"/>
  <c r="K290" i="1"/>
  <c r="L290" i="1"/>
  <c r="M290" i="1"/>
  <c r="N290" i="1"/>
  <c r="O290" i="1"/>
  <c r="P290" i="1"/>
  <c r="Q290" i="1"/>
  <c r="R290" i="1"/>
  <c r="S290" i="1"/>
  <c r="I291" i="1"/>
  <c r="J291" i="1"/>
  <c r="K291" i="1"/>
  <c r="L291" i="1"/>
  <c r="M291" i="1"/>
  <c r="N291" i="1"/>
  <c r="O291" i="1"/>
  <c r="P291" i="1"/>
  <c r="Q291" i="1"/>
  <c r="R291" i="1"/>
  <c r="S291" i="1"/>
  <c r="I292" i="1"/>
  <c r="J292" i="1"/>
  <c r="K292" i="1"/>
  <c r="L292" i="1"/>
  <c r="M292" i="1"/>
  <c r="N292" i="1"/>
  <c r="O292" i="1"/>
  <c r="P292" i="1"/>
  <c r="Q292" i="1"/>
  <c r="R292" i="1"/>
  <c r="S292" i="1"/>
  <c r="I293" i="1"/>
  <c r="J293" i="1"/>
  <c r="K293" i="1"/>
  <c r="L293" i="1"/>
  <c r="M293" i="1"/>
  <c r="N293" i="1"/>
  <c r="O293" i="1"/>
  <c r="P293" i="1"/>
  <c r="Q293" i="1"/>
  <c r="R293" i="1"/>
  <c r="S293" i="1"/>
  <c r="I294" i="1"/>
  <c r="J294" i="1"/>
  <c r="K294" i="1"/>
  <c r="L294" i="1"/>
  <c r="M294" i="1"/>
  <c r="N294" i="1"/>
  <c r="O294" i="1"/>
  <c r="P294" i="1"/>
  <c r="Q294" i="1"/>
  <c r="R294" i="1"/>
  <c r="S294" i="1"/>
  <c r="I295" i="1"/>
  <c r="J295" i="1"/>
  <c r="K295" i="1"/>
  <c r="L295" i="1"/>
  <c r="M295" i="1"/>
  <c r="N295" i="1"/>
  <c r="O295" i="1"/>
  <c r="P295" i="1"/>
  <c r="Q295" i="1"/>
  <c r="R295" i="1"/>
  <c r="S295" i="1"/>
  <c r="I296" i="1"/>
  <c r="J296" i="1"/>
  <c r="K296" i="1"/>
  <c r="L296" i="1"/>
  <c r="M296" i="1"/>
  <c r="N296" i="1"/>
  <c r="O296" i="1"/>
  <c r="P296" i="1"/>
  <c r="Q296" i="1"/>
  <c r="R296" i="1"/>
  <c r="S296" i="1"/>
  <c r="I297" i="1"/>
  <c r="J297" i="1"/>
  <c r="K297" i="1"/>
  <c r="L297" i="1"/>
  <c r="M297" i="1"/>
  <c r="N297" i="1"/>
  <c r="O297" i="1"/>
  <c r="P297" i="1"/>
  <c r="Q297" i="1"/>
  <c r="R297" i="1"/>
  <c r="S297" i="1"/>
  <c r="I298" i="1"/>
  <c r="J298" i="1"/>
  <c r="K298" i="1"/>
  <c r="L298" i="1"/>
  <c r="M298" i="1"/>
  <c r="N298" i="1"/>
  <c r="O298" i="1"/>
  <c r="Z298" i="1" s="1"/>
  <c r="P298" i="1"/>
  <c r="Q298" i="1"/>
  <c r="R298" i="1"/>
  <c r="S298" i="1"/>
  <c r="I299" i="1"/>
  <c r="J299" i="1"/>
  <c r="K299" i="1"/>
  <c r="L299" i="1"/>
  <c r="M299" i="1"/>
  <c r="N299" i="1"/>
  <c r="O299" i="1"/>
  <c r="P299" i="1"/>
  <c r="Q299" i="1"/>
  <c r="R299" i="1"/>
  <c r="S299" i="1"/>
  <c r="I300" i="1"/>
  <c r="J300" i="1"/>
  <c r="K300" i="1"/>
  <c r="L300" i="1"/>
  <c r="M300" i="1"/>
  <c r="N300" i="1"/>
  <c r="O300" i="1"/>
  <c r="P300" i="1"/>
  <c r="Q300" i="1"/>
  <c r="R300" i="1"/>
  <c r="S300" i="1"/>
  <c r="I301" i="1"/>
  <c r="J301" i="1"/>
  <c r="K301" i="1"/>
  <c r="L301" i="1"/>
  <c r="M301" i="1"/>
  <c r="N301" i="1"/>
  <c r="O301" i="1"/>
  <c r="P301" i="1"/>
  <c r="Q301" i="1"/>
  <c r="R301" i="1"/>
  <c r="S301" i="1"/>
  <c r="I302" i="1"/>
  <c r="J302" i="1"/>
  <c r="K302" i="1"/>
  <c r="L302" i="1"/>
  <c r="M302" i="1"/>
  <c r="N302" i="1"/>
  <c r="O302" i="1"/>
  <c r="P302" i="1"/>
  <c r="Q302" i="1"/>
  <c r="R302" i="1"/>
  <c r="S302" i="1"/>
  <c r="I303" i="1"/>
  <c r="J303" i="1"/>
  <c r="K303" i="1"/>
  <c r="L303" i="1"/>
  <c r="M303" i="1"/>
  <c r="N303" i="1"/>
  <c r="O303" i="1"/>
  <c r="P303" i="1"/>
  <c r="Q303" i="1"/>
  <c r="R303" i="1"/>
  <c r="S303" i="1"/>
  <c r="I304" i="1"/>
  <c r="J304" i="1"/>
  <c r="K304" i="1"/>
  <c r="L304" i="1"/>
  <c r="M304" i="1"/>
  <c r="N304" i="1"/>
  <c r="O304" i="1"/>
  <c r="P304" i="1"/>
  <c r="Q304" i="1"/>
  <c r="R304" i="1"/>
  <c r="S304" i="1"/>
  <c r="I305" i="1"/>
  <c r="J305" i="1"/>
  <c r="K305" i="1"/>
  <c r="L305" i="1"/>
  <c r="M305" i="1"/>
  <c r="N305" i="1"/>
  <c r="O305" i="1"/>
  <c r="P305" i="1"/>
  <c r="Q305" i="1"/>
  <c r="R305" i="1"/>
  <c r="S305" i="1"/>
  <c r="I306" i="1"/>
  <c r="J306" i="1"/>
  <c r="K306" i="1"/>
  <c r="L306" i="1"/>
  <c r="M306" i="1"/>
  <c r="N306" i="1"/>
  <c r="O306" i="1"/>
  <c r="Z306" i="1" s="1"/>
  <c r="P306" i="1"/>
  <c r="Q306" i="1"/>
  <c r="R306" i="1"/>
  <c r="S306" i="1"/>
  <c r="I307" i="1"/>
  <c r="J307" i="1"/>
  <c r="K307" i="1"/>
  <c r="L307" i="1"/>
  <c r="M307" i="1"/>
  <c r="N307" i="1"/>
  <c r="O307" i="1"/>
  <c r="P307" i="1"/>
  <c r="Q307" i="1"/>
  <c r="R307" i="1"/>
  <c r="S307" i="1"/>
  <c r="I308" i="1"/>
  <c r="J308" i="1"/>
  <c r="K308" i="1"/>
  <c r="L308" i="1"/>
  <c r="M308" i="1"/>
  <c r="N308" i="1"/>
  <c r="O308" i="1"/>
  <c r="P308" i="1"/>
  <c r="Q308" i="1"/>
  <c r="R308" i="1"/>
  <c r="S308" i="1"/>
  <c r="I309" i="1"/>
  <c r="J309" i="1"/>
  <c r="K309" i="1"/>
  <c r="L309" i="1"/>
  <c r="M309" i="1"/>
  <c r="N309" i="1"/>
  <c r="O309" i="1"/>
  <c r="P309" i="1"/>
  <c r="Q309" i="1"/>
  <c r="R309" i="1"/>
  <c r="S309" i="1"/>
  <c r="I310" i="1"/>
  <c r="J310" i="1"/>
  <c r="K310" i="1"/>
  <c r="L310" i="1"/>
  <c r="M310" i="1"/>
  <c r="N310" i="1"/>
  <c r="O310" i="1"/>
  <c r="P310" i="1"/>
  <c r="Q310" i="1"/>
  <c r="R310" i="1"/>
  <c r="S310" i="1"/>
  <c r="I311" i="1"/>
  <c r="J311" i="1"/>
  <c r="K311" i="1"/>
  <c r="L311" i="1"/>
  <c r="M311" i="1"/>
  <c r="N311" i="1"/>
  <c r="O311" i="1"/>
  <c r="P311" i="1"/>
  <c r="Z311" i="1" s="1"/>
  <c r="Q311" i="1"/>
  <c r="R311" i="1"/>
  <c r="S311" i="1"/>
  <c r="I312" i="1"/>
  <c r="J312" i="1"/>
  <c r="K312" i="1"/>
  <c r="L312" i="1"/>
  <c r="M312" i="1"/>
  <c r="N312" i="1"/>
  <c r="O312" i="1"/>
  <c r="P312" i="1"/>
  <c r="Q312" i="1"/>
  <c r="R312" i="1"/>
  <c r="S312" i="1"/>
  <c r="I313" i="1"/>
  <c r="J313" i="1"/>
  <c r="K313" i="1"/>
  <c r="L313" i="1"/>
  <c r="M313" i="1"/>
  <c r="N313" i="1"/>
  <c r="O313" i="1"/>
  <c r="P313" i="1"/>
  <c r="Q313" i="1"/>
  <c r="R313" i="1"/>
  <c r="S313" i="1"/>
  <c r="I314" i="1"/>
  <c r="J314" i="1"/>
  <c r="K314" i="1"/>
  <c r="L314" i="1"/>
  <c r="M314" i="1"/>
  <c r="N314" i="1"/>
  <c r="O314" i="1"/>
  <c r="Z314" i="1" s="1"/>
  <c r="P314" i="1"/>
  <c r="Q314" i="1"/>
  <c r="R314" i="1"/>
  <c r="S314" i="1"/>
  <c r="I315" i="1"/>
  <c r="J315" i="1"/>
  <c r="K315" i="1"/>
  <c r="L315" i="1"/>
  <c r="M315" i="1"/>
  <c r="N315" i="1"/>
  <c r="O315" i="1"/>
  <c r="P315" i="1"/>
  <c r="Q315" i="1"/>
  <c r="R315" i="1"/>
  <c r="S315" i="1"/>
  <c r="I316" i="1"/>
  <c r="J316" i="1"/>
  <c r="K316" i="1"/>
  <c r="L316" i="1"/>
  <c r="M316" i="1"/>
  <c r="N316" i="1"/>
  <c r="O316" i="1"/>
  <c r="P316" i="1"/>
  <c r="Q316" i="1"/>
  <c r="R316" i="1"/>
  <c r="S316" i="1"/>
  <c r="I317" i="1"/>
  <c r="J317" i="1"/>
  <c r="K317" i="1"/>
  <c r="L317" i="1"/>
  <c r="M317" i="1"/>
  <c r="N317" i="1"/>
  <c r="O317" i="1"/>
  <c r="P317" i="1"/>
  <c r="Q317" i="1"/>
  <c r="R317" i="1"/>
  <c r="S317" i="1"/>
  <c r="I318" i="1"/>
  <c r="J318" i="1"/>
  <c r="K318" i="1"/>
  <c r="L318" i="1"/>
  <c r="M318" i="1"/>
  <c r="N318" i="1"/>
  <c r="O318" i="1"/>
  <c r="P318" i="1"/>
  <c r="Q318" i="1"/>
  <c r="R318" i="1"/>
  <c r="S318" i="1"/>
  <c r="I319" i="1"/>
  <c r="J319" i="1"/>
  <c r="K319" i="1"/>
  <c r="L319" i="1"/>
  <c r="M319" i="1"/>
  <c r="N319" i="1"/>
  <c r="O319" i="1"/>
  <c r="P319" i="1"/>
  <c r="Q319" i="1"/>
  <c r="R319" i="1"/>
  <c r="S319" i="1"/>
  <c r="I320" i="1"/>
  <c r="J320" i="1"/>
  <c r="K320" i="1"/>
  <c r="L320" i="1"/>
  <c r="M320" i="1"/>
  <c r="N320" i="1"/>
  <c r="O320" i="1"/>
  <c r="P320" i="1"/>
  <c r="Q320" i="1"/>
  <c r="R320" i="1"/>
  <c r="S320" i="1"/>
  <c r="I321" i="1"/>
  <c r="J321" i="1"/>
  <c r="K321" i="1"/>
  <c r="L321" i="1"/>
  <c r="M321" i="1"/>
  <c r="N321" i="1"/>
  <c r="O321" i="1"/>
  <c r="P321" i="1"/>
  <c r="Q321" i="1"/>
  <c r="R321" i="1"/>
  <c r="S321" i="1"/>
  <c r="I322" i="1"/>
  <c r="J322" i="1"/>
  <c r="K322" i="1"/>
  <c r="L322" i="1"/>
  <c r="M322" i="1"/>
  <c r="N322" i="1"/>
  <c r="O322" i="1"/>
  <c r="Z322" i="1" s="1"/>
  <c r="P322" i="1"/>
  <c r="Q322" i="1"/>
  <c r="R322" i="1"/>
  <c r="S322" i="1"/>
  <c r="I323" i="1"/>
  <c r="J323" i="1"/>
  <c r="K323" i="1"/>
  <c r="L323" i="1"/>
  <c r="M323" i="1"/>
  <c r="N323" i="1"/>
  <c r="O323" i="1"/>
  <c r="P323" i="1"/>
  <c r="Q323" i="1"/>
  <c r="R323" i="1"/>
  <c r="S323" i="1"/>
  <c r="I324" i="1"/>
  <c r="J324" i="1"/>
  <c r="K324" i="1"/>
  <c r="L324" i="1"/>
  <c r="M324" i="1"/>
  <c r="N324" i="1"/>
  <c r="O324" i="1"/>
  <c r="P324" i="1"/>
  <c r="Q324" i="1"/>
  <c r="R324" i="1"/>
  <c r="S324" i="1"/>
  <c r="I325" i="1"/>
  <c r="J325" i="1"/>
  <c r="K325" i="1"/>
  <c r="L325" i="1"/>
  <c r="M325" i="1"/>
  <c r="N325" i="1"/>
  <c r="O325" i="1"/>
  <c r="P325" i="1"/>
  <c r="Q325" i="1"/>
  <c r="R325" i="1"/>
  <c r="S325" i="1"/>
  <c r="I326" i="1"/>
  <c r="J326" i="1"/>
  <c r="K326" i="1"/>
  <c r="L326" i="1"/>
  <c r="M326" i="1"/>
  <c r="N326" i="1"/>
  <c r="O326" i="1"/>
  <c r="P326" i="1"/>
  <c r="Q326" i="1"/>
  <c r="R326" i="1"/>
  <c r="S326" i="1"/>
  <c r="I327" i="1"/>
  <c r="J327" i="1"/>
  <c r="K327" i="1"/>
  <c r="L327" i="1"/>
  <c r="M327" i="1"/>
  <c r="N327" i="1"/>
  <c r="O327" i="1"/>
  <c r="P327" i="1"/>
  <c r="Q327" i="1"/>
  <c r="R327" i="1"/>
  <c r="S327" i="1"/>
  <c r="I328" i="1"/>
  <c r="J328" i="1"/>
  <c r="K328" i="1"/>
  <c r="L328" i="1"/>
  <c r="M328" i="1"/>
  <c r="N328" i="1"/>
  <c r="O328" i="1"/>
  <c r="P328" i="1"/>
  <c r="Q328" i="1"/>
  <c r="R328" i="1"/>
  <c r="S328" i="1"/>
  <c r="I329" i="1"/>
  <c r="J329" i="1"/>
  <c r="K329" i="1"/>
  <c r="L329" i="1"/>
  <c r="M329" i="1"/>
  <c r="N329" i="1"/>
  <c r="O329" i="1"/>
  <c r="P329" i="1"/>
  <c r="Q329" i="1"/>
  <c r="R329" i="1"/>
  <c r="S329" i="1"/>
  <c r="I330" i="1"/>
  <c r="J330" i="1"/>
  <c r="K330" i="1"/>
  <c r="L330" i="1"/>
  <c r="M330" i="1"/>
  <c r="N330" i="1"/>
  <c r="O330" i="1"/>
  <c r="Z330" i="1" s="1"/>
  <c r="P330" i="1"/>
  <c r="Q330" i="1"/>
  <c r="R330" i="1"/>
  <c r="S330" i="1"/>
  <c r="I331" i="1"/>
  <c r="J331" i="1"/>
  <c r="K331" i="1"/>
  <c r="L331" i="1"/>
  <c r="M331" i="1"/>
  <c r="N331" i="1"/>
  <c r="O331" i="1"/>
  <c r="P331" i="1"/>
  <c r="Q331" i="1"/>
  <c r="R331" i="1"/>
  <c r="S331" i="1"/>
  <c r="I332" i="1"/>
  <c r="J332" i="1"/>
  <c r="K332" i="1"/>
  <c r="L332" i="1"/>
  <c r="M332" i="1"/>
  <c r="N332" i="1"/>
  <c r="O332" i="1"/>
  <c r="P332" i="1"/>
  <c r="Q332" i="1"/>
  <c r="R332" i="1"/>
  <c r="S332" i="1"/>
  <c r="I333" i="1"/>
  <c r="J333" i="1"/>
  <c r="K333" i="1"/>
  <c r="L333" i="1"/>
  <c r="M333" i="1"/>
  <c r="N333" i="1"/>
  <c r="O333" i="1"/>
  <c r="P333" i="1"/>
  <c r="Q333" i="1"/>
  <c r="R333" i="1"/>
  <c r="S333" i="1"/>
  <c r="I334" i="1"/>
  <c r="J334" i="1"/>
  <c r="K334" i="1"/>
  <c r="L334" i="1"/>
  <c r="M334" i="1"/>
  <c r="N334" i="1"/>
  <c r="O334" i="1"/>
  <c r="P334" i="1"/>
  <c r="Q334" i="1"/>
  <c r="R334" i="1"/>
  <c r="S334" i="1"/>
  <c r="I335" i="1"/>
  <c r="J335" i="1"/>
  <c r="K335" i="1"/>
  <c r="L335" i="1"/>
  <c r="M335" i="1"/>
  <c r="N335" i="1"/>
  <c r="O335" i="1"/>
  <c r="P335" i="1"/>
  <c r="Q335" i="1"/>
  <c r="R335" i="1"/>
  <c r="S335" i="1"/>
  <c r="I336" i="1"/>
  <c r="J336" i="1"/>
  <c r="K336" i="1"/>
  <c r="L336" i="1"/>
  <c r="M336" i="1"/>
  <c r="N336" i="1"/>
  <c r="O336" i="1"/>
  <c r="P336" i="1"/>
  <c r="Q336" i="1"/>
  <c r="R336" i="1"/>
  <c r="S336" i="1"/>
  <c r="I337" i="1"/>
  <c r="J337" i="1"/>
  <c r="K337" i="1"/>
  <c r="L337" i="1"/>
  <c r="M337" i="1"/>
  <c r="N337" i="1"/>
  <c r="O337" i="1"/>
  <c r="P337" i="1"/>
  <c r="Q337" i="1"/>
  <c r="R337" i="1"/>
  <c r="S337" i="1"/>
  <c r="I338" i="1"/>
  <c r="J338" i="1"/>
  <c r="K338" i="1"/>
  <c r="L338" i="1"/>
  <c r="M338" i="1"/>
  <c r="N338" i="1"/>
  <c r="O338" i="1"/>
  <c r="Z338" i="1" s="1"/>
  <c r="P338" i="1"/>
  <c r="Q338" i="1"/>
  <c r="R338" i="1"/>
  <c r="S338" i="1"/>
  <c r="I339" i="1"/>
  <c r="J339" i="1"/>
  <c r="K339" i="1"/>
  <c r="L339" i="1"/>
  <c r="M339" i="1"/>
  <c r="N339" i="1"/>
  <c r="O339" i="1"/>
  <c r="P339" i="1"/>
  <c r="Q339" i="1"/>
  <c r="R339" i="1"/>
  <c r="S339" i="1"/>
  <c r="I340" i="1"/>
  <c r="J340" i="1"/>
  <c r="K340" i="1"/>
  <c r="L340" i="1"/>
  <c r="M340" i="1"/>
  <c r="N340" i="1"/>
  <c r="O340" i="1"/>
  <c r="P340" i="1"/>
  <c r="Q340" i="1"/>
  <c r="R340" i="1"/>
  <c r="S340" i="1"/>
  <c r="I341" i="1"/>
  <c r="J341" i="1"/>
  <c r="K341" i="1"/>
  <c r="L341" i="1"/>
  <c r="M341" i="1"/>
  <c r="N341" i="1"/>
  <c r="O341" i="1"/>
  <c r="P341" i="1"/>
  <c r="Q341" i="1"/>
  <c r="R341" i="1"/>
  <c r="S341" i="1"/>
  <c r="I342" i="1"/>
  <c r="J342" i="1"/>
  <c r="K342" i="1"/>
  <c r="L342" i="1"/>
  <c r="M342" i="1"/>
  <c r="N342" i="1"/>
  <c r="O342" i="1"/>
  <c r="P342" i="1"/>
  <c r="Q342" i="1"/>
  <c r="R342" i="1"/>
  <c r="S342" i="1"/>
  <c r="I343" i="1"/>
  <c r="J343" i="1"/>
  <c r="K343" i="1"/>
  <c r="L343" i="1"/>
  <c r="M343" i="1"/>
  <c r="N343" i="1"/>
  <c r="O343" i="1"/>
  <c r="P343" i="1"/>
  <c r="Z343" i="1" s="1"/>
  <c r="Q343" i="1"/>
  <c r="R343" i="1"/>
  <c r="S343" i="1"/>
  <c r="I344" i="1"/>
  <c r="J344" i="1"/>
  <c r="K344" i="1"/>
  <c r="L344" i="1"/>
  <c r="M344" i="1"/>
  <c r="N344" i="1"/>
  <c r="O344" i="1"/>
  <c r="P344" i="1"/>
  <c r="Q344" i="1"/>
  <c r="R344" i="1"/>
  <c r="S344" i="1"/>
  <c r="I345" i="1"/>
  <c r="J345" i="1"/>
  <c r="K345" i="1"/>
  <c r="L345" i="1"/>
  <c r="M345" i="1"/>
  <c r="N345" i="1"/>
  <c r="O345" i="1"/>
  <c r="P345" i="1"/>
  <c r="Q345" i="1"/>
  <c r="R345" i="1"/>
  <c r="S345" i="1"/>
  <c r="I346" i="1"/>
  <c r="J346" i="1"/>
  <c r="K346" i="1"/>
  <c r="L346" i="1"/>
  <c r="M346" i="1"/>
  <c r="N346" i="1"/>
  <c r="O346" i="1"/>
  <c r="Z346" i="1" s="1"/>
  <c r="P346" i="1"/>
  <c r="Q346" i="1"/>
  <c r="R346" i="1"/>
  <c r="S346" i="1"/>
  <c r="I347" i="1"/>
  <c r="J347" i="1"/>
  <c r="K347" i="1"/>
  <c r="L347" i="1"/>
  <c r="M347" i="1"/>
  <c r="N347" i="1"/>
  <c r="O347" i="1"/>
  <c r="P347" i="1"/>
  <c r="Q347" i="1"/>
  <c r="R347" i="1"/>
  <c r="S347" i="1"/>
  <c r="I348" i="1"/>
  <c r="J348" i="1"/>
  <c r="K348" i="1"/>
  <c r="L348" i="1"/>
  <c r="M348" i="1"/>
  <c r="N348" i="1"/>
  <c r="O348" i="1"/>
  <c r="P348" i="1"/>
  <c r="Q348" i="1"/>
  <c r="R348" i="1"/>
  <c r="S348" i="1"/>
  <c r="I349" i="1"/>
  <c r="J349" i="1"/>
  <c r="K349" i="1"/>
  <c r="L349" i="1"/>
  <c r="M349" i="1"/>
  <c r="N349" i="1"/>
  <c r="O349" i="1"/>
  <c r="P349" i="1"/>
  <c r="Q349" i="1"/>
  <c r="R349" i="1"/>
  <c r="S349" i="1"/>
  <c r="I350" i="1"/>
  <c r="J350" i="1"/>
  <c r="K350" i="1"/>
  <c r="L350" i="1"/>
  <c r="M350" i="1"/>
  <c r="N350" i="1"/>
  <c r="O350" i="1"/>
  <c r="P350" i="1"/>
  <c r="Q350" i="1"/>
  <c r="R350" i="1"/>
  <c r="S350" i="1"/>
  <c r="I351" i="1"/>
  <c r="J351" i="1"/>
  <c r="K351" i="1"/>
  <c r="L351" i="1"/>
  <c r="M351" i="1"/>
  <c r="N351" i="1"/>
  <c r="O351" i="1"/>
  <c r="P351" i="1"/>
  <c r="Q351" i="1"/>
  <c r="R351" i="1"/>
  <c r="S351" i="1"/>
  <c r="I352" i="1"/>
  <c r="J352" i="1"/>
  <c r="K352" i="1"/>
  <c r="L352" i="1"/>
  <c r="M352" i="1"/>
  <c r="N352" i="1"/>
  <c r="O352" i="1"/>
  <c r="P352" i="1"/>
  <c r="Q352" i="1"/>
  <c r="R352" i="1"/>
  <c r="S352" i="1"/>
  <c r="I353" i="1"/>
  <c r="J353" i="1"/>
  <c r="K353" i="1"/>
  <c r="L353" i="1"/>
  <c r="M353" i="1"/>
  <c r="N353" i="1"/>
  <c r="O353" i="1"/>
  <c r="P353" i="1"/>
  <c r="Q353" i="1"/>
  <c r="R353" i="1"/>
  <c r="S353" i="1"/>
  <c r="I354" i="1"/>
  <c r="J354" i="1"/>
  <c r="K354" i="1"/>
  <c r="L354" i="1"/>
  <c r="M354" i="1"/>
  <c r="N354" i="1"/>
  <c r="O354" i="1"/>
  <c r="Z354" i="1" s="1"/>
  <c r="P354" i="1"/>
  <c r="Q354" i="1"/>
  <c r="R354" i="1"/>
  <c r="S354" i="1"/>
  <c r="I355" i="1"/>
  <c r="J355" i="1"/>
  <c r="K355" i="1"/>
  <c r="L355" i="1"/>
  <c r="M355" i="1"/>
  <c r="N355" i="1"/>
  <c r="O355" i="1"/>
  <c r="P355" i="1"/>
  <c r="Q355" i="1"/>
  <c r="R355" i="1"/>
  <c r="S355" i="1"/>
  <c r="I356" i="1"/>
  <c r="J356" i="1"/>
  <c r="K356" i="1"/>
  <c r="L356" i="1"/>
  <c r="M356" i="1"/>
  <c r="N356" i="1"/>
  <c r="O356" i="1"/>
  <c r="P356" i="1"/>
  <c r="Q356" i="1"/>
  <c r="R356" i="1"/>
  <c r="S356" i="1"/>
  <c r="I357" i="1"/>
  <c r="J357" i="1"/>
  <c r="K357" i="1"/>
  <c r="L357" i="1"/>
  <c r="M357" i="1"/>
  <c r="N357" i="1"/>
  <c r="O357" i="1"/>
  <c r="P357" i="1"/>
  <c r="Q357" i="1"/>
  <c r="R357" i="1"/>
  <c r="S357" i="1"/>
  <c r="I358" i="1"/>
  <c r="J358" i="1"/>
  <c r="K358" i="1"/>
  <c r="L358" i="1"/>
  <c r="M358" i="1"/>
  <c r="N358" i="1"/>
  <c r="O358" i="1"/>
  <c r="P358" i="1"/>
  <c r="Q358" i="1"/>
  <c r="R358" i="1"/>
  <c r="S358" i="1"/>
  <c r="I359" i="1"/>
  <c r="J359" i="1"/>
  <c r="K359" i="1"/>
  <c r="L359" i="1"/>
  <c r="M359" i="1"/>
  <c r="N359" i="1"/>
  <c r="O359" i="1"/>
  <c r="P359" i="1"/>
  <c r="Q359" i="1"/>
  <c r="R359" i="1"/>
  <c r="S359" i="1"/>
  <c r="I360" i="1"/>
  <c r="J360" i="1"/>
  <c r="K360" i="1"/>
  <c r="L360" i="1"/>
  <c r="M360" i="1"/>
  <c r="N360" i="1"/>
  <c r="O360" i="1"/>
  <c r="P360" i="1"/>
  <c r="Q360" i="1"/>
  <c r="R360" i="1"/>
  <c r="S360" i="1"/>
  <c r="I361" i="1"/>
  <c r="J361" i="1"/>
  <c r="K361" i="1"/>
  <c r="L361" i="1"/>
  <c r="M361" i="1"/>
  <c r="N361" i="1"/>
  <c r="O361" i="1"/>
  <c r="P361" i="1"/>
  <c r="Q361" i="1"/>
  <c r="R361" i="1"/>
  <c r="S361" i="1"/>
  <c r="I362" i="1"/>
  <c r="J362" i="1"/>
  <c r="K362" i="1"/>
  <c r="L362" i="1"/>
  <c r="M362" i="1"/>
  <c r="N362" i="1"/>
  <c r="O362" i="1"/>
  <c r="Z362" i="1" s="1"/>
  <c r="P362" i="1"/>
  <c r="Q362" i="1"/>
  <c r="R362" i="1"/>
  <c r="S362" i="1"/>
  <c r="I363" i="1"/>
  <c r="J363" i="1"/>
  <c r="K363" i="1"/>
  <c r="L363" i="1"/>
  <c r="M363" i="1"/>
  <c r="N363" i="1"/>
  <c r="O363" i="1"/>
  <c r="P363" i="1"/>
  <c r="Q363" i="1"/>
  <c r="R363" i="1"/>
  <c r="S363" i="1"/>
  <c r="I364" i="1"/>
  <c r="J364" i="1"/>
  <c r="K364" i="1"/>
  <c r="L364" i="1"/>
  <c r="M364" i="1"/>
  <c r="N364" i="1"/>
  <c r="O364" i="1"/>
  <c r="P364" i="1"/>
  <c r="Q364" i="1"/>
  <c r="R364" i="1"/>
  <c r="S364" i="1"/>
  <c r="I365" i="1"/>
  <c r="J365" i="1"/>
  <c r="K365" i="1"/>
  <c r="L365" i="1"/>
  <c r="M365" i="1"/>
  <c r="N365" i="1"/>
  <c r="O365" i="1"/>
  <c r="P365" i="1"/>
  <c r="Q365" i="1"/>
  <c r="R365" i="1"/>
  <c r="S365" i="1"/>
  <c r="I366" i="1"/>
  <c r="J366" i="1"/>
  <c r="K366" i="1"/>
  <c r="L366" i="1"/>
  <c r="M366" i="1"/>
  <c r="N366" i="1"/>
  <c r="O366" i="1"/>
  <c r="P366" i="1"/>
  <c r="Q366" i="1"/>
  <c r="R366" i="1"/>
  <c r="S366" i="1"/>
  <c r="I367" i="1"/>
  <c r="J367" i="1"/>
  <c r="K367" i="1"/>
  <c r="L367" i="1"/>
  <c r="M367" i="1"/>
  <c r="N367" i="1"/>
  <c r="O367" i="1"/>
  <c r="P367" i="1"/>
  <c r="Q367" i="1"/>
  <c r="R367" i="1"/>
  <c r="S367" i="1"/>
  <c r="I368" i="1"/>
  <c r="J368" i="1"/>
  <c r="K368" i="1"/>
  <c r="L368" i="1"/>
  <c r="M368" i="1"/>
  <c r="N368" i="1"/>
  <c r="O368" i="1"/>
  <c r="P368" i="1"/>
  <c r="Q368" i="1"/>
  <c r="R368" i="1"/>
  <c r="S368" i="1"/>
  <c r="Z7" i="1" l="1"/>
  <c r="Z68" i="1"/>
  <c r="Z44" i="1"/>
  <c r="Z9" i="1"/>
  <c r="Z302" i="1"/>
  <c r="AA241" i="1"/>
  <c r="Z5" i="1"/>
  <c r="Z60" i="1"/>
  <c r="Z173" i="1"/>
  <c r="Z53" i="1"/>
  <c r="Z45" i="1"/>
  <c r="Z24" i="1"/>
  <c r="Z52" i="1"/>
  <c r="Z217" i="1"/>
  <c r="Z364" i="1"/>
  <c r="Z356" i="1"/>
  <c r="Z340" i="1"/>
  <c r="Z334" i="1"/>
  <c r="Z305" i="1"/>
  <c r="Z294" i="1"/>
  <c r="Z273" i="1"/>
  <c r="Z257" i="1"/>
  <c r="Z249" i="1"/>
  <c r="Z225" i="1"/>
  <c r="Z350" i="1"/>
  <c r="Z318" i="1"/>
  <c r="Z363" i="1"/>
  <c r="AA354" i="1"/>
  <c r="Z315" i="1"/>
  <c r="Z307" i="1"/>
  <c r="Z299" i="1"/>
  <c r="AA290" i="1"/>
  <c r="Z283" i="1"/>
  <c r="Z267" i="1"/>
  <c r="AA258" i="1"/>
  <c r="AA210" i="1"/>
  <c r="AA202" i="1"/>
  <c r="Z35" i="1"/>
  <c r="Z19" i="1"/>
  <c r="Z284" i="1"/>
  <c r="Z260" i="1"/>
  <c r="Z244" i="1"/>
  <c r="Z361" i="1"/>
  <c r="Z353" i="1"/>
  <c r="Z326" i="1"/>
  <c r="Z321" i="1"/>
  <c r="Z297" i="1"/>
  <c r="Z289" i="1"/>
  <c r="Z281" i="1"/>
  <c r="AA269" i="1"/>
  <c r="Z230" i="1"/>
  <c r="Z331" i="1"/>
  <c r="Z323" i="1"/>
  <c r="AA322" i="1"/>
  <c r="Z290" i="1"/>
  <c r="Z253" i="1"/>
  <c r="Z245" i="1"/>
  <c r="Z239" i="1"/>
  <c r="Z237" i="1"/>
  <c r="AA236" i="1"/>
  <c r="Z229" i="1"/>
  <c r="AA228" i="1"/>
  <c r="Z226" i="1"/>
  <c r="Z221" i="1"/>
  <c r="Z213" i="1"/>
  <c r="Z205" i="1"/>
  <c r="Z197" i="1"/>
  <c r="Z189" i="1"/>
  <c r="Z181" i="1"/>
  <c r="Z175" i="1"/>
  <c r="AA172" i="1"/>
  <c r="Z165" i="1"/>
  <c r="AA164" i="1"/>
  <c r="Z162" i="1"/>
  <c r="Z157" i="1"/>
  <c r="Z146" i="1"/>
  <c r="Z130" i="1"/>
  <c r="AA100" i="1"/>
  <c r="Z98" i="1"/>
  <c r="Z56" i="1"/>
  <c r="Z13" i="1"/>
  <c r="Z316" i="1"/>
  <c r="Z265" i="1"/>
  <c r="Z220" i="1"/>
  <c r="Z358" i="1"/>
  <c r="Z337" i="1"/>
  <c r="Z241" i="1"/>
  <c r="Z233" i="1"/>
  <c r="Z342" i="1"/>
  <c r="Z310" i="1"/>
  <c r="Z355" i="1"/>
  <c r="Z347" i="1"/>
  <c r="Z339" i="1"/>
  <c r="Z328" i="1"/>
  <c r="AA252" i="1"/>
  <c r="Z365" i="1"/>
  <c r="Z357" i="1"/>
  <c r="Z349" i="1"/>
  <c r="Z341" i="1"/>
  <c r="Z333" i="1"/>
  <c r="Z325" i="1"/>
  <c r="Z317" i="1"/>
  <c r="Z309" i="1"/>
  <c r="Z301" i="1"/>
  <c r="Z293" i="1"/>
  <c r="Z285" i="1"/>
  <c r="Z277" i="1"/>
  <c r="Z269" i="1"/>
  <c r="Z261" i="1"/>
  <c r="Z141" i="1"/>
  <c r="Z125" i="1"/>
  <c r="Z367" i="1"/>
  <c r="Z359" i="1"/>
  <c r="AA358" i="1"/>
  <c r="Z351" i="1"/>
  <c r="Z335" i="1"/>
  <c r="Z327" i="1"/>
  <c r="AA326" i="1"/>
  <c r="Z319" i="1"/>
  <c r="Z303" i="1"/>
  <c r="Z295" i="1"/>
  <c r="AA294" i="1"/>
  <c r="Z287" i="1"/>
  <c r="Z279" i="1"/>
  <c r="Z271" i="1"/>
  <c r="Z263" i="1"/>
  <c r="Z247" i="1"/>
  <c r="Z231" i="1"/>
  <c r="Z223" i="1"/>
  <c r="Z215" i="1"/>
  <c r="Z207" i="1"/>
  <c r="Z199" i="1"/>
  <c r="Z183" i="1"/>
  <c r="Z167" i="1"/>
  <c r="Z159" i="1"/>
  <c r="AA158" i="1"/>
  <c r="AA150" i="1"/>
  <c r="Z143" i="1"/>
  <c r="Z127" i="1"/>
  <c r="Z111" i="1"/>
  <c r="Z95" i="1"/>
  <c r="Z79" i="1"/>
  <c r="Z63" i="1"/>
  <c r="Z47" i="1"/>
  <c r="Z39" i="1"/>
  <c r="Z300" i="1"/>
  <c r="Z268" i="1"/>
  <c r="Z252" i="1"/>
  <c r="Z212" i="1"/>
  <c r="Z204" i="1"/>
  <c r="Z201" i="1"/>
  <c r="Z196" i="1"/>
  <c r="Z188" i="1"/>
  <c r="Z180" i="1"/>
  <c r="Z172" i="1"/>
  <c r="Z164" i="1"/>
  <c r="Z156" i="1"/>
  <c r="Z148" i="1"/>
  <c r="Z140" i="1"/>
  <c r="Z132" i="1"/>
  <c r="Z124" i="1"/>
  <c r="Z116" i="1"/>
  <c r="Z108" i="1"/>
  <c r="Z100" i="1"/>
  <c r="Z92" i="1"/>
  <c r="Z84" i="1"/>
  <c r="Z76" i="1"/>
  <c r="Z36" i="1"/>
  <c r="Z30" i="1"/>
  <c r="Z28" i="1"/>
  <c r="Z20" i="1"/>
  <c r="Z14" i="1"/>
  <c r="Z12" i="1"/>
  <c r="Z8" i="1"/>
  <c r="AA6" i="1"/>
  <c r="Z4" i="1"/>
  <c r="Z366" i="1"/>
  <c r="Z348" i="1"/>
  <c r="Z209" i="1"/>
  <c r="Z193" i="1"/>
  <c r="Z185" i="1"/>
  <c r="Z177" i="1"/>
  <c r="Z169" i="1"/>
  <c r="Z166" i="1"/>
  <c r="Z161" i="1"/>
  <c r="Z153" i="1"/>
  <c r="Z145" i="1"/>
  <c r="Z137" i="1"/>
  <c r="Z129" i="1"/>
  <c r="Z121" i="1"/>
  <c r="Z113" i="1"/>
  <c r="Z105" i="1"/>
  <c r="Z97" i="1"/>
  <c r="Z89" i="1"/>
  <c r="Z81" i="1"/>
  <c r="Z73" i="1"/>
  <c r="Z65" i="1"/>
  <c r="Z54" i="1"/>
  <c r="Z345" i="1"/>
  <c r="Z332" i="1"/>
  <c r="Z324" i="1"/>
  <c r="Z313" i="1"/>
  <c r="Z308" i="1"/>
  <c r="Z292" i="1"/>
  <c r="Z278" i="1"/>
  <c r="Z276" i="1"/>
  <c r="Z236" i="1"/>
  <c r="Z228" i="1"/>
  <c r="Z214" i="1"/>
  <c r="Z329" i="1"/>
  <c r="Z286" i="1"/>
  <c r="Z270" i="1"/>
  <c r="Z262" i="1"/>
  <c r="Z254" i="1"/>
  <c r="Z246" i="1"/>
  <c r="Z238" i="1"/>
  <c r="Z222" i="1"/>
  <c r="Z206" i="1"/>
  <c r="Z198" i="1"/>
  <c r="Z190" i="1"/>
  <c r="Z182" i="1"/>
  <c r="Z174" i="1"/>
  <c r="Z158" i="1"/>
  <c r="Z150" i="1"/>
  <c r="Z142" i="1"/>
  <c r="Z134" i="1"/>
  <c r="Z126" i="1"/>
  <c r="Z118" i="1"/>
  <c r="Z110" i="1"/>
  <c r="Z102" i="1"/>
  <c r="Z94" i="1"/>
  <c r="Z86" i="1"/>
  <c r="Z78" i="1"/>
  <c r="Z70" i="1"/>
  <c r="Z62" i="1"/>
  <c r="Z38" i="1"/>
  <c r="Z6" i="1"/>
  <c r="AB323" i="1" a="1"/>
  <c r="AB323" i="1" s="1"/>
  <c r="AC323" i="1" a="1"/>
  <c r="AC323" i="1" s="1"/>
  <c r="AA323" i="1"/>
  <c r="AB315" i="1" a="1"/>
  <c r="AB315" i="1" s="1"/>
  <c r="AC315" i="1" a="1"/>
  <c r="AC315" i="1" s="1"/>
  <c r="AA315" i="1"/>
  <c r="AB291" i="1" a="1"/>
  <c r="AB291" i="1" s="1"/>
  <c r="AC291" i="1" a="1"/>
  <c r="AC291" i="1" s="1"/>
  <c r="AA291" i="1"/>
  <c r="AB283" i="1" a="1"/>
  <c r="AB283" i="1" s="1"/>
  <c r="AA283" i="1"/>
  <c r="AC283" i="1" a="1"/>
  <c r="AC283" i="1" s="1"/>
  <c r="AC251" i="1" a="1"/>
  <c r="AC251" i="1" s="1"/>
  <c r="AB251" i="1" a="1"/>
  <c r="AB251" i="1" s="1"/>
  <c r="AA251" i="1"/>
  <c r="AB195" i="1" a="1"/>
  <c r="AB195" i="1" s="1"/>
  <c r="AC195" i="1" a="1"/>
  <c r="AC195" i="1" s="1"/>
  <c r="AA195" i="1"/>
  <c r="AB187" i="1" a="1"/>
  <c r="AB187" i="1" s="1"/>
  <c r="AC187" i="1" a="1"/>
  <c r="AC187" i="1" s="1"/>
  <c r="AA187" i="1"/>
  <c r="AC179" i="1" a="1"/>
  <c r="AC179" i="1" s="1"/>
  <c r="AA179" i="1"/>
  <c r="AB179" i="1" a="1"/>
  <c r="AB179" i="1" s="1"/>
  <c r="AB171" i="1" a="1"/>
  <c r="AB171" i="1" s="1"/>
  <c r="AC171" i="1" a="1"/>
  <c r="AC171" i="1" s="1"/>
  <c r="AA171" i="1"/>
  <c r="AC123" i="1" a="1"/>
  <c r="AC123" i="1" s="1"/>
  <c r="AB123" i="1" a="1"/>
  <c r="AB123" i="1" s="1"/>
  <c r="AA123" i="1"/>
  <c r="AC107" i="1" a="1"/>
  <c r="AC107" i="1" s="1"/>
  <c r="AA107" i="1"/>
  <c r="AB107" i="1" a="1"/>
  <c r="AB107" i="1" s="1"/>
  <c r="AB99" i="1" a="1"/>
  <c r="AB99" i="1" s="1"/>
  <c r="AC99" i="1" a="1"/>
  <c r="AC99" i="1" s="1"/>
  <c r="AA99" i="1"/>
  <c r="AB83" i="1" a="1"/>
  <c r="AB83" i="1" s="1"/>
  <c r="AC83" i="1" a="1"/>
  <c r="AC83" i="1" s="1"/>
  <c r="AA83" i="1"/>
  <c r="AB368" i="1" a="1"/>
  <c r="AB368" i="1" s="1"/>
  <c r="AC368" i="1" a="1"/>
  <c r="AC368" i="1" s="1"/>
  <c r="AA368" i="1"/>
  <c r="AB360" i="1" a="1"/>
  <c r="AB360" i="1" s="1"/>
  <c r="AC360" i="1" a="1"/>
  <c r="AC360" i="1" s="1"/>
  <c r="AB352" i="1" a="1"/>
  <c r="AB352" i="1" s="1"/>
  <c r="AC352" i="1" a="1"/>
  <c r="AC352" i="1" s="1"/>
  <c r="AA352" i="1"/>
  <c r="AC344" i="1" a="1"/>
  <c r="AC344" i="1" s="1"/>
  <c r="AB344" i="1" a="1"/>
  <c r="AB344" i="1" s="1"/>
  <c r="AB336" i="1" a="1"/>
  <c r="AB336" i="1" s="1"/>
  <c r="AC336" i="1" a="1"/>
  <c r="AC336" i="1" s="1"/>
  <c r="AA336" i="1"/>
  <c r="AB328" i="1" a="1"/>
  <c r="AB328" i="1" s="1"/>
  <c r="AC328" i="1" a="1"/>
  <c r="AC328" i="1" s="1"/>
  <c r="AC320" i="1" a="1"/>
  <c r="AC320" i="1" s="1"/>
  <c r="AB320" i="1" a="1"/>
  <c r="AB320" i="1" s="1"/>
  <c r="AA320" i="1"/>
  <c r="AB312" i="1" a="1"/>
  <c r="AB312" i="1" s="1"/>
  <c r="AC312" i="1" a="1"/>
  <c r="AC312" i="1" s="1"/>
  <c r="AB304" i="1" a="1"/>
  <c r="AB304" i="1" s="1"/>
  <c r="AC304" i="1" a="1"/>
  <c r="AC304" i="1" s="1"/>
  <c r="AA304" i="1"/>
  <c r="AC296" i="1" a="1"/>
  <c r="AC296" i="1" s="1"/>
  <c r="AB296" i="1" a="1"/>
  <c r="AB296" i="1" s="1"/>
  <c r="AA296" i="1"/>
  <c r="AB288" i="1" a="1"/>
  <c r="AB288" i="1" s="1"/>
  <c r="AC288" i="1" a="1"/>
  <c r="AC288" i="1" s="1"/>
  <c r="AA288" i="1"/>
  <c r="AB280" i="1" a="1"/>
  <c r="AB280" i="1" s="1"/>
  <c r="AC280" i="1" a="1"/>
  <c r="AC280" i="1" s="1"/>
  <c r="AC272" i="1" a="1"/>
  <c r="AC272" i="1" s="1"/>
  <c r="AB272" i="1" a="1"/>
  <c r="AB272" i="1" s="1"/>
  <c r="AA272" i="1"/>
  <c r="AB264" i="1" a="1"/>
  <c r="AB264" i="1" s="1"/>
  <c r="AC264" i="1" a="1"/>
  <c r="AC264" i="1" s="1"/>
  <c r="AA264" i="1"/>
  <c r="AB256" i="1" a="1"/>
  <c r="AB256" i="1" s="1"/>
  <c r="AC256" i="1" a="1"/>
  <c r="AC256" i="1" s="1"/>
  <c r="AA256" i="1"/>
  <c r="AB248" i="1" a="1"/>
  <c r="AB248" i="1" s="1"/>
  <c r="AC248" i="1" a="1"/>
  <c r="AC248" i="1" s="1"/>
  <c r="AB240" i="1" a="1"/>
  <c r="AB240" i="1" s="1"/>
  <c r="AA240" i="1"/>
  <c r="AC240" i="1" a="1"/>
  <c r="AC240" i="1" s="1"/>
  <c r="AB232" i="1" a="1"/>
  <c r="AB232" i="1" s="1"/>
  <c r="AA232" i="1"/>
  <c r="AC232" i="1" a="1"/>
  <c r="AC232" i="1" s="1"/>
  <c r="AA224" i="1"/>
  <c r="AC224" i="1" a="1"/>
  <c r="AC224" i="1" s="1"/>
  <c r="AB224" i="1" a="1"/>
  <c r="AB224" i="1" s="1"/>
  <c r="AC216" i="1" a="1"/>
  <c r="AC216" i="1" s="1"/>
  <c r="AA216" i="1"/>
  <c r="AB216" i="1" a="1"/>
  <c r="AB216" i="1" s="1"/>
  <c r="AB208" i="1" a="1"/>
  <c r="AB208" i="1" s="1"/>
  <c r="AA208" i="1"/>
  <c r="AC208" i="1" a="1"/>
  <c r="AC208" i="1" s="1"/>
  <c r="AB200" i="1" a="1"/>
  <c r="AB200" i="1" s="1"/>
  <c r="AA200" i="1"/>
  <c r="AC200" i="1" a="1"/>
  <c r="AC200" i="1" s="1"/>
  <c r="AC192" i="1" a="1"/>
  <c r="AC192" i="1" s="1"/>
  <c r="AA192" i="1"/>
  <c r="AB192" i="1" a="1"/>
  <c r="AB192" i="1" s="1"/>
  <c r="AB184" i="1" a="1"/>
  <c r="AB184" i="1" s="1"/>
  <c r="AA184" i="1"/>
  <c r="AC184" i="1" a="1"/>
  <c r="AC184" i="1" s="1"/>
  <c r="AB176" i="1" a="1"/>
  <c r="AB176" i="1" s="1"/>
  <c r="AC176" i="1" a="1"/>
  <c r="AC176" i="1" s="1"/>
  <c r="AA176" i="1"/>
  <c r="AB168" i="1" a="1"/>
  <c r="AB168" i="1" s="1"/>
  <c r="AC168" i="1" a="1"/>
  <c r="AC168" i="1" s="1"/>
  <c r="AA168" i="1"/>
  <c r="AB160" i="1" a="1"/>
  <c r="AB160" i="1" s="1"/>
  <c r="AA160" i="1"/>
  <c r="AC160" i="1" a="1"/>
  <c r="AC160" i="1" s="1"/>
  <c r="AA152" i="1"/>
  <c r="AB152" i="1" a="1"/>
  <c r="AB152" i="1" s="1"/>
  <c r="AC152" i="1" a="1"/>
  <c r="AC152" i="1" s="1"/>
  <c r="AC144" i="1" a="1"/>
  <c r="AC144" i="1" s="1"/>
  <c r="AA144" i="1"/>
  <c r="AB144" i="1" a="1"/>
  <c r="AB144" i="1" s="1"/>
  <c r="AC136" i="1" a="1"/>
  <c r="AC136" i="1" s="1"/>
  <c r="AB136" i="1" a="1"/>
  <c r="AB136" i="1" s="1"/>
  <c r="AA136" i="1"/>
  <c r="AB128" i="1" a="1"/>
  <c r="AB128" i="1" s="1"/>
  <c r="AC128" i="1" a="1"/>
  <c r="AC128" i="1" s="1"/>
  <c r="AA128" i="1"/>
  <c r="AC120" i="1" a="1"/>
  <c r="AC120" i="1" s="1"/>
  <c r="AB120" i="1" a="1"/>
  <c r="AB120" i="1" s="1"/>
  <c r="AA120" i="1"/>
  <c r="AB112" i="1" a="1"/>
  <c r="AB112" i="1" s="1"/>
  <c r="AC112" i="1" a="1"/>
  <c r="AC112" i="1" s="1"/>
  <c r="AA112" i="1"/>
  <c r="AB104" i="1" a="1"/>
  <c r="AB104" i="1" s="1"/>
  <c r="AA104" i="1"/>
  <c r="AC104" i="1" a="1"/>
  <c r="AC104" i="1" s="1"/>
  <c r="AB96" i="1" a="1"/>
  <c r="AB96" i="1" s="1"/>
  <c r="AC96" i="1" a="1"/>
  <c r="AC96" i="1" s="1"/>
  <c r="AA96" i="1"/>
  <c r="AC88" i="1" a="1"/>
  <c r="AC88" i="1" s="1"/>
  <c r="AB88" i="1" a="1"/>
  <c r="AB88" i="1" s="1"/>
  <c r="AA88" i="1"/>
  <c r="AB80" i="1" a="1"/>
  <c r="AB80" i="1" s="1"/>
  <c r="AC80" i="1" a="1"/>
  <c r="AC80" i="1" s="1"/>
  <c r="AA80" i="1"/>
  <c r="AB72" i="1" a="1"/>
  <c r="AB72" i="1" s="1"/>
  <c r="AA72" i="1"/>
  <c r="AC72" i="1" a="1"/>
  <c r="AC72" i="1" s="1"/>
  <c r="AC64" i="1" a="1"/>
  <c r="AC64" i="1" s="1"/>
  <c r="AA64" i="1"/>
  <c r="AB64" i="1" a="1"/>
  <c r="AB64" i="1" s="1"/>
  <c r="Z57" i="1"/>
  <c r="AB56" i="1" a="1"/>
  <c r="AB56" i="1" s="1"/>
  <c r="AC56" i="1" a="1"/>
  <c r="AC56" i="1" s="1"/>
  <c r="AA56" i="1"/>
  <c r="Z49" i="1"/>
  <c r="AB48" i="1" a="1"/>
  <c r="AB48" i="1" s="1"/>
  <c r="AC48" i="1" a="1"/>
  <c r="AC48" i="1" s="1"/>
  <c r="AA48" i="1"/>
  <c r="AB365" i="1" a="1"/>
  <c r="AB365" i="1" s="1"/>
  <c r="AC365" i="1" a="1"/>
  <c r="AC365" i="1" s="1"/>
  <c r="AB357" i="1" a="1"/>
  <c r="AB357" i="1" s="1"/>
  <c r="AC357" i="1" a="1"/>
  <c r="AC357" i="1" s="1"/>
  <c r="AA357" i="1"/>
  <c r="AC349" i="1" a="1"/>
  <c r="AC349" i="1" s="1"/>
  <c r="AB349" i="1" a="1"/>
  <c r="AB349" i="1" s="1"/>
  <c r="AB341" i="1" a="1"/>
  <c r="AB341" i="1" s="1"/>
  <c r="AC341" i="1" a="1"/>
  <c r="AC341" i="1" s="1"/>
  <c r="AA341" i="1"/>
  <c r="AB333" i="1" a="1"/>
  <c r="AB333" i="1" s="1"/>
  <c r="AC333" i="1" a="1"/>
  <c r="AC333" i="1" s="1"/>
  <c r="AC325" i="1" a="1"/>
  <c r="AC325" i="1" s="1"/>
  <c r="AB325" i="1" a="1"/>
  <c r="AB325" i="1" s="1"/>
  <c r="AA325" i="1"/>
  <c r="AB317" i="1" a="1"/>
  <c r="AB317" i="1" s="1"/>
  <c r="AC317" i="1" a="1"/>
  <c r="AC317" i="1" s="1"/>
  <c r="AB309" i="1" a="1"/>
  <c r="AB309" i="1" s="1"/>
  <c r="AC309" i="1" a="1"/>
  <c r="AC309" i="1" s="1"/>
  <c r="AA309" i="1"/>
  <c r="AC301" i="1" a="1"/>
  <c r="AC301" i="1" s="1"/>
  <c r="AB301" i="1" a="1"/>
  <c r="AB301" i="1" s="1"/>
  <c r="AB293" i="1" a="1"/>
  <c r="AB293" i="1" s="1"/>
  <c r="AC293" i="1" a="1"/>
  <c r="AC293" i="1" s="1"/>
  <c r="AA293" i="1"/>
  <c r="AB285" i="1" a="1"/>
  <c r="AB285" i="1" s="1"/>
  <c r="AC285" i="1" a="1"/>
  <c r="AC285" i="1" s="1"/>
  <c r="AA285" i="1"/>
  <c r="AC277" i="1" a="1"/>
  <c r="AC277" i="1" s="1"/>
  <c r="AB277" i="1" a="1"/>
  <c r="AB277" i="1" s="1"/>
  <c r="AA277" i="1"/>
  <c r="AB269" i="1" a="1"/>
  <c r="AB269" i="1" s="1"/>
  <c r="AC269" i="1" a="1"/>
  <c r="AC269" i="1" s="1"/>
  <c r="AB261" i="1" a="1"/>
  <c r="AB261" i="1" s="1"/>
  <c r="AC261" i="1" a="1"/>
  <c r="AC261" i="1" s="1"/>
  <c r="AA261" i="1"/>
  <c r="AB253" i="1" a="1"/>
  <c r="AB253" i="1" s="1"/>
  <c r="AC253" i="1" a="1"/>
  <c r="AC253" i="1" s="1"/>
  <c r="AA253" i="1"/>
  <c r="AC245" i="1" a="1"/>
  <c r="AC245" i="1" s="1"/>
  <c r="AB245" i="1" a="1"/>
  <c r="AB245" i="1" s="1"/>
  <c r="AA245" i="1"/>
  <c r="AB237" i="1" a="1"/>
  <c r="AB237" i="1" s="1"/>
  <c r="AC237" i="1" a="1"/>
  <c r="AC237" i="1" s="1"/>
  <c r="AA237" i="1"/>
  <c r="AB229" i="1" a="1"/>
  <c r="AB229" i="1" s="1"/>
  <c r="AC229" i="1" a="1"/>
  <c r="AC229" i="1" s="1"/>
  <c r="AA229" i="1"/>
  <c r="AC221" i="1" a="1"/>
  <c r="AC221" i="1" s="1"/>
  <c r="AB221" i="1" a="1"/>
  <c r="AB221" i="1" s="1"/>
  <c r="AA221" i="1"/>
  <c r="AB213" i="1" a="1"/>
  <c r="AB213" i="1" s="1"/>
  <c r="AC213" i="1" a="1"/>
  <c r="AC213" i="1" s="1"/>
  <c r="AA213" i="1"/>
  <c r="AB205" i="1" a="1"/>
  <c r="AB205" i="1" s="1"/>
  <c r="AC205" i="1" a="1"/>
  <c r="AC205" i="1" s="1"/>
  <c r="AA205" i="1"/>
  <c r="AB197" i="1" a="1"/>
  <c r="AB197" i="1" s="1"/>
  <c r="AC197" i="1" a="1"/>
  <c r="AC197" i="1" s="1"/>
  <c r="AB189" i="1" a="1"/>
  <c r="AB189" i="1" s="1"/>
  <c r="AC189" i="1" a="1"/>
  <c r="AC189" i="1" s="1"/>
  <c r="AB181" i="1" a="1"/>
  <c r="AB181" i="1" s="1"/>
  <c r="AC181" i="1" a="1"/>
  <c r="AC181" i="1" s="1"/>
  <c r="AA181" i="1"/>
  <c r="AB173" i="1" a="1"/>
  <c r="AB173" i="1" s="1"/>
  <c r="AC173" i="1" a="1"/>
  <c r="AC173" i="1" s="1"/>
  <c r="AA173" i="1"/>
  <c r="AC165" i="1" a="1"/>
  <c r="AC165" i="1" s="1"/>
  <c r="AB165" i="1" a="1"/>
  <c r="AB165" i="1" s="1"/>
  <c r="AA165" i="1"/>
  <c r="AB157" i="1" a="1"/>
  <c r="AB157" i="1" s="1"/>
  <c r="AC157" i="1" a="1"/>
  <c r="AC157" i="1" s="1"/>
  <c r="AA157" i="1"/>
  <c r="AB149" i="1" a="1"/>
  <c r="AB149" i="1" s="1"/>
  <c r="AC149" i="1" a="1"/>
  <c r="AC149" i="1" s="1"/>
  <c r="AA149" i="1"/>
  <c r="AC141" i="1" a="1"/>
  <c r="AC141" i="1" s="1"/>
  <c r="AB141" i="1" a="1"/>
  <c r="AB141" i="1" s="1"/>
  <c r="AA141" i="1"/>
  <c r="AB133" i="1" a="1"/>
  <c r="AB133" i="1" s="1"/>
  <c r="AC133" i="1" a="1"/>
  <c r="AC133" i="1" s="1"/>
  <c r="AB125" i="1" a="1"/>
  <c r="AB125" i="1" s="1"/>
  <c r="AC125" i="1" a="1"/>
  <c r="AC125" i="1" s="1"/>
  <c r="AB117" i="1" a="1"/>
  <c r="AB117" i="1" s="1"/>
  <c r="AC117" i="1" a="1"/>
  <c r="AC117" i="1" s="1"/>
  <c r="AA117" i="1"/>
  <c r="AB109" i="1" a="1"/>
  <c r="AB109" i="1" s="1"/>
  <c r="AC109" i="1" a="1"/>
  <c r="AC109" i="1" s="1"/>
  <c r="AA109" i="1"/>
  <c r="AB101" i="1" a="1"/>
  <c r="AB101" i="1" s="1"/>
  <c r="AC101" i="1" a="1"/>
  <c r="AC101" i="1" s="1"/>
  <c r="AA101" i="1"/>
  <c r="AC93" i="1" a="1"/>
  <c r="AC93" i="1" s="1"/>
  <c r="AB93" i="1" a="1"/>
  <c r="AB93" i="1" s="1"/>
  <c r="AA93" i="1"/>
  <c r="AB85" i="1" a="1"/>
  <c r="AB85" i="1" s="1"/>
  <c r="AC85" i="1" a="1"/>
  <c r="AC85" i="1" s="1"/>
  <c r="AA85" i="1"/>
  <c r="AB77" i="1" a="1"/>
  <c r="AB77" i="1" s="1"/>
  <c r="AC77" i="1" a="1"/>
  <c r="AC77" i="1" s="1"/>
  <c r="AA77" i="1"/>
  <c r="AC69" i="1" a="1"/>
  <c r="AC69" i="1" s="1"/>
  <c r="AB69" i="1" a="1"/>
  <c r="AB69" i="1" s="1"/>
  <c r="AA69" i="1"/>
  <c r="AB61" i="1" a="1"/>
  <c r="AB61" i="1" s="1"/>
  <c r="AC61" i="1" a="1"/>
  <c r="AC61" i="1" s="1"/>
  <c r="AA61" i="1"/>
  <c r="AB53" i="1" a="1"/>
  <c r="AB53" i="1" s="1"/>
  <c r="AC53" i="1" a="1"/>
  <c r="AC53" i="1" s="1"/>
  <c r="AA53" i="1"/>
  <c r="Z46" i="1"/>
  <c r="AC45" i="1" a="1"/>
  <c r="AC45" i="1" s="1"/>
  <c r="AB45" i="1" a="1"/>
  <c r="AB45" i="1" s="1"/>
  <c r="AA45" i="1"/>
  <c r="AC37" i="1" a="1"/>
  <c r="AC37" i="1" s="1"/>
  <c r="AB37" i="1" a="1"/>
  <c r="AB37" i="1" s="1"/>
  <c r="AA37" i="1"/>
  <c r="AB29" i="1" a="1"/>
  <c r="AB29" i="1" s="1"/>
  <c r="AC29" i="1" a="1"/>
  <c r="AC29" i="1" s="1"/>
  <c r="AA29" i="1"/>
  <c r="Z22" i="1"/>
  <c r="AC21" i="1" a="1"/>
  <c r="AC21" i="1" s="1"/>
  <c r="AB21" i="1" a="1"/>
  <c r="AB21" i="1" s="1"/>
  <c r="AA21" i="1"/>
  <c r="AB13" i="1" a="1"/>
  <c r="AB13" i="1" s="1"/>
  <c r="AC13" i="1" a="1"/>
  <c r="AC13" i="1" s="1"/>
  <c r="AA13" i="1"/>
  <c r="AB5" i="1" a="1"/>
  <c r="AB5" i="1" s="1"/>
  <c r="AA5" i="1"/>
  <c r="AC5" i="1" a="1"/>
  <c r="AC5" i="1" s="1"/>
  <c r="AA360" i="1"/>
  <c r="AA333" i="1"/>
  <c r="AA301" i="1"/>
  <c r="AB363" i="1" a="1"/>
  <c r="AB363" i="1" s="1"/>
  <c r="AC363" i="1" a="1"/>
  <c r="AC363" i="1" s="1"/>
  <c r="AA363" i="1"/>
  <c r="AB307" i="1" a="1"/>
  <c r="AB307" i="1" s="1"/>
  <c r="AC307" i="1" a="1"/>
  <c r="AC307" i="1" s="1"/>
  <c r="AA307" i="1"/>
  <c r="AB299" i="1" a="1"/>
  <c r="AB299" i="1" s="1"/>
  <c r="AC299" i="1" a="1"/>
  <c r="AC299" i="1" s="1"/>
  <c r="AA299" i="1"/>
  <c r="AB266" i="1" a="1"/>
  <c r="AB266" i="1" s="1"/>
  <c r="AC266" i="1" a="1"/>
  <c r="AC266" i="1" s="1"/>
  <c r="AA266" i="1"/>
  <c r="AB250" i="1" a="1"/>
  <c r="AB250" i="1" s="1"/>
  <c r="AC250" i="1" a="1"/>
  <c r="AC250" i="1" s="1"/>
  <c r="AA250" i="1"/>
  <c r="Z187" i="1"/>
  <c r="AB186" i="1" a="1"/>
  <c r="AB186" i="1" s="1"/>
  <c r="AC186" i="1" a="1"/>
  <c r="AC186" i="1" s="1"/>
  <c r="AA186" i="1"/>
  <c r="Z179" i="1"/>
  <c r="AB178" i="1" a="1"/>
  <c r="AB178" i="1" s="1"/>
  <c r="AC178" i="1" a="1"/>
  <c r="AC178" i="1" s="1"/>
  <c r="AA178" i="1"/>
  <c r="Z171" i="1"/>
  <c r="AC170" i="1" a="1"/>
  <c r="AC170" i="1" s="1"/>
  <c r="AB170" i="1" a="1"/>
  <c r="AB170" i="1" s="1"/>
  <c r="AA170" i="1"/>
  <c r="Z163" i="1"/>
  <c r="AB162" i="1" a="1"/>
  <c r="AB162" i="1" s="1"/>
  <c r="AC162" i="1" a="1"/>
  <c r="AC162" i="1" s="1"/>
  <c r="AA162" i="1"/>
  <c r="Z155" i="1"/>
  <c r="AB154" i="1" a="1"/>
  <c r="AB154" i="1" s="1"/>
  <c r="AC154" i="1" a="1"/>
  <c r="AC154" i="1" s="1"/>
  <c r="AA154" i="1"/>
  <c r="Z147" i="1"/>
  <c r="AB146" i="1" a="1"/>
  <c r="AB146" i="1" s="1"/>
  <c r="AC146" i="1" a="1"/>
  <c r="AC146" i="1" s="1"/>
  <c r="Z139" i="1"/>
  <c r="AC138" i="1" a="1"/>
  <c r="AC138" i="1" s="1"/>
  <c r="AB138" i="1" a="1"/>
  <c r="AB138" i="1" s="1"/>
  <c r="Z131" i="1"/>
  <c r="AC130" i="1" a="1"/>
  <c r="AC130" i="1" s="1"/>
  <c r="AB130" i="1" a="1"/>
  <c r="AB130" i="1" s="1"/>
  <c r="AA130" i="1"/>
  <c r="Z123" i="1"/>
  <c r="AC122" i="1" a="1"/>
  <c r="AC122" i="1" s="1"/>
  <c r="AB122" i="1" a="1"/>
  <c r="AB122" i="1" s="1"/>
  <c r="AA122" i="1"/>
  <c r="Z115" i="1"/>
  <c r="AB114" i="1" a="1"/>
  <c r="AB114" i="1" s="1"/>
  <c r="AC114" i="1" a="1"/>
  <c r="AC114" i="1" s="1"/>
  <c r="AA114" i="1"/>
  <c r="Z107" i="1"/>
  <c r="AC106" i="1" a="1"/>
  <c r="AC106" i="1" s="1"/>
  <c r="AB106" i="1" a="1"/>
  <c r="AB106" i="1" s="1"/>
  <c r="AA106" i="1"/>
  <c r="Z99" i="1"/>
  <c r="AB98" i="1" a="1"/>
  <c r="AB98" i="1" s="1"/>
  <c r="AC98" i="1" a="1"/>
  <c r="AC98" i="1" s="1"/>
  <c r="AA98" i="1"/>
  <c r="Z91" i="1"/>
  <c r="AC90" i="1" a="1"/>
  <c r="AC90" i="1" s="1"/>
  <c r="AB90" i="1" a="1"/>
  <c r="AB90" i="1" s="1"/>
  <c r="AA90" i="1"/>
  <c r="Z83" i="1"/>
  <c r="AB82" i="1" a="1"/>
  <c r="AB82" i="1" s="1"/>
  <c r="AC82" i="1" a="1"/>
  <c r="AC82" i="1" s="1"/>
  <c r="AA82" i="1"/>
  <c r="Z75" i="1"/>
  <c r="AB74" i="1" a="1"/>
  <c r="AB74" i="1" s="1"/>
  <c r="AC74" i="1" a="1"/>
  <c r="AC74" i="1" s="1"/>
  <c r="AA74" i="1"/>
  <c r="Z67" i="1"/>
  <c r="AC66" i="1" a="1"/>
  <c r="AC66" i="1" s="1"/>
  <c r="AB66" i="1" a="1"/>
  <c r="AB66" i="1" s="1"/>
  <c r="AA66" i="1"/>
  <c r="Z59" i="1"/>
  <c r="AB58" i="1" a="1"/>
  <c r="AB58" i="1" s="1"/>
  <c r="AC58" i="1" a="1"/>
  <c r="AC58" i="1" s="1"/>
  <c r="AA58" i="1"/>
  <c r="Z51" i="1"/>
  <c r="AC50" i="1" a="1"/>
  <c r="AC50" i="1" s="1"/>
  <c r="AB50" i="1" a="1"/>
  <c r="AB50" i="1" s="1"/>
  <c r="AA50" i="1"/>
  <c r="Z43" i="1"/>
  <c r="AC42" i="1" a="1"/>
  <c r="AC42" i="1" s="1"/>
  <c r="AB42" i="1" a="1"/>
  <c r="AB42" i="1" s="1"/>
  <c r="AA42" i="1"/>
  <c r="AB34" i="1" a="1"/>
  <c r="AB34" i="1" s="1"/>
  <c r="AC34" i="1" a="1"/>
  <c r="AC34" i="1" s="1"/>
  <c r="AA34" i="1"/>
  <c r="Z27" i="1"/>
  <c r="AC26" i="1" a="1"/>
  <c r="AC26" i="1" s="1"/>
  <c r="AB26" i="1" a="1"/>
  <c r="AB26" i="1" s="1"/>
  <c r="AA26" i="1"/>
  <c r="AC18" i="1" a="1"/>
  <c r="AC18" i="1" s="1"/>
  <c r="AB18" i="1" a="1"/>
  <c r="AB18" i="1" s="1"/>
  <c r="AA18" i="1"/>
  <c r="Z11" i="1"/>
  <c r="AC10" i="1" a="1"/>
  <c r="AC10" i="1" s="1"/>
  <c r="AB10" i="1" a="1"/>
  <c r="AB10" i="1" s="1"/>
  <c r="AA10" i="1"/>
  <c r="AA328" i="1"/>
  <c r="AB327" i="1" a="1"/>
  <c r="AB327" i="1" s="1"/>
  <c r="AA327" i="1"/>
  <c r="AC327" i="1" a="1"/>
  <c r="AC327" i="1" s="1"/>
  <c r="Z320" i="1"/>
  <c r="AA319" i="1"/>
  <c r="AB319" i="1" a="1"/>
  <c r="AB319" i="1" s="1"/>
  <c r="AC319" i="1" a="1"/>
  <c r="AC319" i="1" s="1"/>
  <c r="Z304" i="1"/>
  <c r="AB303" i="1" a="1"/>
  <c r="AB303" i="1" s="1"/>
  <c r="AC303" i="1" a="1"/>
  <c r="AC303" i="1" s="1"/>
  <c r="AA303" i="1"/>
  <c r="AB295" i="1" a="1"/>
  <c r="AB295" i="1" s="1"/>
  <c r="AA295" i="1"/>
  <c r="AC295" i="1" a="1"/>
  <c r="AC295" i="1" s="1"/>
  <c r="Z272" i="1"/>
  <c r="AB271" i="1" a="1"/>
  <c r="AB271" i="1" s="1"/>
  <c r="AC271" i="1" a="1"/>
  <c r="AC271" i="1" s="1"/>
  <c r="AA271" i="1"/>
  <c r="Z128" i="1"/>
  <c r="AB127" i="1" a="1"/>
  <c r="AB127" i="1" s="1"/>
  <c r="AC127" i="1" a="1"/>
  <c r="AC127" i="1" s="1"/>
  <c r="AA127" i="1"/>
  <c r="Z120" i="1"/>
  <c r="AB119" i="1" a="1"/>
  <c r="AB119" i="1" s="1"/>
  <c r="AA119" i="1"/>
  <c r="AC119" i="1" a="1"/>
  <c r="AC119" i="1" s="1"/>
  <c r="Z112" i="1"/>
  <c r="AB111" i="1" a="1"/>
  <c r="AB111" i="1" s="1"/>
  <c r="AC111" i="1" a="1"/>
  <c r="AC111" i="1" s="1"/>
  <c r="AA111" i="1"/>
  <c r="Z104" i="1"/>
  <c r="AB103" i="1" a="1"/>
  <c r="AB103" i="1" s="1"/>
  <c r="AC103" i="1" a="1"/>
  <c r="AC103" i="1" s="1"/>
  <c r="AA103" i="1"/>
  <c r="Z96" i="1"/>
  <c r="AC95" i="1" a="1"/>
  <c r="AC95" i="1" s="1"/>
  <c r="AA95" i="1"/>
  <c r="AB95" i="1" a="1"/>
  <c r="AB95" i="1" s="1"/>
  <c r="Z88" i="1"/>
  <c r="AC87" i="1" a="1"/>
  <c r="AC87" i="1" s="1"/>
  <c r="AB87" i="1" a="1"/>
  <c r="AB87" i="1" s="1"/>
  <c r="AA87" i="1"/>
  <c r="Z80" i="1"/>
  <c r="AC79" i="1" a="1"/>
  <c r="AC79" i="1" s="1"/>
  <c r="AA79" i="1"/>
  <c r="AB79" i="1" a="1"/>
  <c r="AB79" i="1" s="1"/>
  <c r="Z72" i="1"/>
  <c r="AB71" i="1" a="1"/>
  <c r="AB71" i="1" s="1"/>
  <c r="AA71" i="1"/>
  <c r="AC71" i="1" a="1"/>
  <c r="AC71" i="1" s="1"/>
  <c r="Z64" i="1"/>
  <c r="AB63" i="1" a="1"/>
  <c r="AB63" i="1" s="1"/>
  <c r="AC63" i="1" a="1"/>
  <c r="AC63" i="1" s="1"/>
  <c r="AA63" i="1"/>
  <c r="AB55" i="1" a="1"/>
  <c r="AB55" i="1" s="1"/>
  <c r="AC55" i="1" a="1"/>
  <c r="AC55" i="1" s="1"/>
  <c r="AA55" i="1"/>
  <c r="AC47" i="1" a="1"/>
  <c r="AC47" i="1" s="1"/>
  <c r="AB47" i="1" a="1"/>
  <c r="AB47" i="1" s="1"/>
  <c r="AA47" i="1"/>
  <c r="Z40" i="1"/>
  <c r="AB39" i="1" a="1"/>
  <c r="AB39" i="1" s="1"/>
  <c r="AA39" i="1"/>
  <c r="AC39" i="1" a="1"/>
  <c r="AC39" i="1" s="1"/>
  <c r="Z32" i="1"/>
  <c r="AB31" i="1" a="1"/>
  <c r="AB31" i="1" s="1"/>
  <c r="AA31" i="1"/>
  <c r="AC31" i="1" a="1"/>
  <c r="AC31" i="1" s="1"/>
  <c r="AC23" i="1" a="1"/>
  <c r="AC23" i="1" s="1"/>
  <c r="AB23" i="1" a="1"/>
  <c r="AB23" i="1" s="1"/>
  <c r="AA23" i="1"/>
  <c r="Z16" i="1"/>
  <c r="AB15" i="1" a="1"/>
  <c r="AB15" i="1" s="1"/>
  <c r="AC15" i="1" a="1"/>
  <c r="AC15" i="1" s="1"/>
  <c r="AA15" i="1"/>
  <c r="AB7" i="1" a="1"/>
  <c r="AB7" i="1" s="1"/>
  <c r="AC7" i="1" a="1"/>
  <c r="AC7" i="1" s="1"/>
  <c r="AA248" i="1"/>
  <c r="AA197" i="1"/>
  <c r="AA146" i="1"/>
  <c r="AB282" i="1" a="1"/>
  <c r="AB282" i="1" s="1"/>
  <c r="AC282" i="1" a="1"/>
  <c r="AC282" i="1" s="1"/>
  <c r="AA282" i="1"/>
  <c r="Z227" i="1"/>
  <c r="AB226" i="1" a="1"/>
  <c r="AB226" i="1" s="1"/>
  <c r="AC226" i="1" a="1"/>
  <c r="AC226" i="1" s="1"/>
  <c r="AA226" i="1"/>
  <c r="Z203" i="1"/>
  <c r="AC202" i="1" a="1"/>
  <c r="AC202" i="1" s="1"/>
  <c r="AB202" i="1" a="1"/>
  <c r="AB202" i="1" s="1"/>
  <c r="Z368" i="1"/>
  <c r="Z296" i="1"/>
  <c r="Z280" i="1"/>
  <c r="AB279" i="1" a="1"/>
  <c r="AB279" i="1" s="1"/>
  <c r="AA279" i="1"/>
  <c r="AC279" i="1" a="1"/>
  <c r="AC279" i="1" s="1"/>
  <c r="Z152" i="1"/>
  <c r="AB151" i="1" a="1"/>
  <c r="AB151" i="1" s="1"/>
  <c r="AA151" i="1"/>
  <c r="AC151" i="1" a="1"/>
  <c r="AC151" i="1" s="1"/>
  <c r="Z144" i="1"/>
  <c r="AB143" i="1" a="1"/>
  <c r="AB143" i="1" s="1"/>
  <c r="AC143" i="1" a="1"/>
  <c r="AC143" i="1" s="1"/>
  <c r="AA143" i="1"/>
  <c r="Z136" i="1"/>
  <c r="AB135" i="1" a="1"/>
  <c r="AB135" i="1" s="1"/>
  <c r="AC135" i="1" a="1"/>
  <c r="AC135" i="1" s="1"/>
  <c r="AA135" i="1"/>
  <c r="AB364" i="1" a="1"/>
  <c r="AB364" i="1" s="1"/>
  <c r="AC364" i="1" a="1"/>
  <c r="AC364" i="1" s="1"/>
  <c r="AA364" i="1"/>
  <c r="AB356" i="1" a="1"/>
  <c r="AB356" i="1" s="1"/>
  <c r="AC356" i="1" a="1"/>
  <c r="AC356" i="1" s="1"/>
  <c r="AA356" i="1"/>
  <c r="AB348" i="1" a="1"/>
  <c r="AB348" i="1" s="1"/>
  <c r="AC348" i="1" a="1"/>
  <c r="AC348" i="1" s="1"/>
  <c r="AB340" i="1" a="1"/>
  <c r="AB340" i="1" s="1"/>
  <c r="AC340" i="1" a="1"/>
  <c r="AC340" i="1" s="1"/>
  <c r="AA340" i="1"/>
  <c r="AB332" i="1" a="1"/>
  <c r="AB332" i="1" s="1"/>
  <c r="AC332" i="1" a="1"/>
  <c r="AC332" i="1" s="1"/>
  <c r="AA332" i="1"/>
  <c r="AB324" i="1" a="1"/>
  <c r="AB324" i="1" s="1"/>
  <c r="AC324" i="1" a="1"/>
  <c r="AC324" i="1" s="1"/>
  <c r="AA324" i="1"/>
  <c r="AB316" i="1" a="1"/>
  <c r="AB316" i="1" s="1"/>
  <c r="AC316" i="1" a="1"/>
  <c r="AC316" i="1" s="1"/>
  <c r="AC308" i="1" a="1"/>
  <c r="AC308" i="1" s="1"/>
  <c r="AB308" i="1" a="1"/>
  <c r="AB308" i="1" s="1"/>
  <c r="AA308" i="1"/>
  <c r="AB300" i="1" a="1"/>
  <c r="AB300" i="1" s="1"/>
  <c r="AC300" i="1" a="1"/>
  <c r="AC300" i="1" s="1"/>
  <c r="AA300" i="1"/>
  <c r="AB292" i="1" a="1"/>
  <c r="AB292" i="1" s="1"/>
  <c r="AC292" i="1" a="1"/>
  <c r="AC292" i="1" s="1"/>
  <c r="AA292" i="1"/>
  <c r="AB284" i="1" a="1"/>
  <c r="AB284" i="1" s="1"/>
  <c r="AC284" i="1" a="1"/>
  <c r="AC284" i="1" s="1"/>
  <c r="AB276" i="1" a="1"/>
  <c r="AB276" i="1" s="1"/>
  <c r="AC276" i="1" a="1"/>
  <c r="AC276" i="1" s="1"/>
  <c r="AA276" i="1"/>
  <c r="AB268" i="1" a="1"/>
  <c r="AB268" i="1" s="1"/>
  <c r="AC268" i="1" a="1"/>
  <c r="AC268" i="1" s="1"/>
  <c r="AA268" i="1"/>
  <c r="Z149" i="1"/>
  <c r="Z133" i="1"/>
  <c r="Z117" i="1"/>
  <c r="Z109" i="1"/>
  <c r="Z101" i="1"/>
  <c r="Z93" i="1"/>
  <c r="Z85" i="1"/>
  <c r="Z77" i="1"/>
  <c r="Z69" i="1"/>
  <c r="Z61" i="1"/>
  <c r="Z37" i="1"/>
  <c r="AA349" i="1"/>
  <c r="AA284" i="1"/>
  <c r="AA189" i="1"/>
  <c r="AA138" i="1"/>
  <c r="AC347" i="1" a="1"/>
  <c r="AC347" i="1" s="1"/>
  <c r="AA347" i="1"/>
  <c r="AB347" i="1" a="1"/>
  <c r="AB347" i="1" s="1"/>
  <c r="AB331" i="1" a="1"/>
  <c r="AB331" i="1" s="1"/>
  <c r="AC331" i="1" a="1"/>
  <c r="AC331" i="1" s="1"/>
  <c r="AA331" i="1"/>
  <c r="AB275" i="1" a="1"/>
  <c r="AB275" i="1" s="1"/>
  <c r="AC275" i="1" a="1"/>
  <c r="AC275" i="1" s="1"/>
  <c r="AA275" i="1"/>
  <c r="AB267" i="1" a="1"/>
  <c r="AB267" i="1" s="1"/>
  <c r="AC267" i="1" a="1"/>
  <c r="AC267" i="1" s="1"/>
  <c r="AA267" i="1"/>
  <c r="AB211" i="1" a="1"/>
  <c r="AB211" i="1" s="1"/>
  <c r="AC211" i="1" a="1"/>
  <c r="AC211" i="1" s="1"/>
  <c r="AA211" i="1"/>
  <c r="AB346" i="1" a="1"/>
  <c r="AB346" i="1" s="1"/>
  <c r="AC346" i="1" a="1"/>
  <c r="AC346" i="1" s="1"/>
  <c r="AA346" i="1"/>
  <c r="AB338" i="1" a="1"/>
  <c r="AB338" i="1" s="1"/>
  <c r="AC338" i="1" a="1"/>
  <c r="AC338" i="1" s="1"/>
  <c r="AB314" i="1" a="1"/>
  <c r="AB314" i="1" s="1"/>
  <c r="AC314" i="1" a="1"/>
  <c r="AC314" i="1" s="1"/>
  <c r="AA314" i="1"/>
  <c r="AB306" i="1" a="1"/>
  <c r="AB306" i="1" s="1"/>
  <c r="AC306" i="1" a="1"/>
  <c r="AC306" i="1" s="1"/>
  <c r="AA306" i="1"/>
  <c r="AB298" i="1" a="1"/>
  <c r="AB298" i="1" s="1"/>
  <c r="AC298" i="1" a="1"/>
  <c r="AC298" i="1" s="1"/>
  <c r="AA298" i="1"/>
  <c r="Z291" i="1"/>
  <c r="AB290" i="1" a="1"/>
  <c r="AB290" i="1" s="1"/>
  <c r="AC290" i="1" a="1"/>
  <c r="AC290" i="1" s="1"/>
  <c r="Z275" i="1"/>
  <c r="AB274" i="1" a="1"/>
  <c r="AB274" i="1" s="1"/>
  <c r="AC274" i="1" a="1"/>
  <c r="AC274" i="1" s="1"/>
  <c r="AA274" i="1"/>
  <c r="Z259" i="1"/>
  <c r="AB258" i="1" a="1"/>
  <c r="AB258" i="1" s="1"/>
  <c r="AC258" i="1" a="1"/>
  <c r="AC258" i="1" s="1"/>
  <c r="Z243" i="1"/>
  <c r="AB242" i="1" a="1"/>
  <c r="AB242" i="1" s="1"/>
  <c r="AC242" i="1" a="1"/>
  <c r="AC242" i="1" s="1"/>
  <c r="AA242" i="1"/>
  <c r="Z219" i="1"/>
  <c r="AB218" i="1" a="1"/>
  <c r="AB218" i="1" s="1"/>
  <c r="AC218" i="1" a="1"/>
  <c r="AC218" i="1" s="1"/>
  <c r="AA218" i="1"/>
  <c r="Z195" i="1"/>
  <c r="AC194" i="1" a="1"/>
  <c r="AC194" i="1" s="1"/>
  <c r="AB194" i="1" a="1"/>
  <c r="AB194" i="1" s="1"/>
  <c r="AA194" i="1"/>
  <c r="AB367" i="1" a="1"/>
  <c r="AB367" i="1" s="1"/>
  <c r="AC367" i="1" a="1"/>
  <c r="AC367" i="1" s="1"/>
  <c r="AA367" i="1"/>
  <c r="Z360" i="1"/>
  <c r="AA359" i="1"/>
  <c r="AC359" i="1" a="1"/>
  <c r="AC359" i="1" s="1"/>
  <c r="AB359" i="1" a="1"/>
  <c r="AB359" i="1" s="1"/>
  <c r="Z352" i="1"/>
  <c r="AB351" i="1" a="1"/>
  <c r="AB351" i="1" s="1"/>
  <c r="AA351" i="1"/>
  <c r="AC351" i="1" a="1"/>
  <c r="AC351" i="1" s="1"/>
  <c r="Z344" i="1"/>
  <c r="AB343" i="1" a="1"/>
  <c r="AB343" i="1" s="1"/>
  <c r="AA343" i="1"/>
  <c r="AC343" i="1" a="1"/>
  <c r="AC343" i="1" s="1"/>
  <c r="Z336" i="1"/>
  <c r="AC335" i="1" a="1"/>
  <c r="AC335" i="1" s="1"/>
  <c r="AA335" i="1"/>
  <c r="AB335" i="1" a="1"/>
  <c r="AB335" i="1" s="1"/>
  <c r="Z312" i="1"/>
  <c r="AC311" i="1" a="1"/>
  <c r="AC311" i="1" s="1"/>
  <c r="AB311" i="1" a="1"/>
  <c r="AB311" i="1" s="1"/>
  <c r="AA311" i="1"/>
  <c r="Z288" i="1"/>
  <c r="AC287" i="1" a="1"/>
  <c r="AC287" i="1" s="1"/>
  <c r="AA287" i="1"/>
  <c r="AB287" i="1" a="1"/>
  <c r="AB287" i="1" s="1"/>
  <c r="Z264" i="1"/>
  <c r="AC263" i="1" a="1"/>
  <c r="AC263" i="1" s="1"/>
  <c r="AA263" i="1"/>
  <c r="AB263" i="1" a="1"/>
  <c r="AB263" i="1" s="1"/>
  <c r="Z256" i="1"/>
  <c r="AB255" i="1" a="1"/>
  <c r="AB255" i="1" s="1"/>
  <c r="AA255" i="1"/>
  <c r="AC255" i="1" a="1"/>
  <c r="AC255" i="1" s="1"/>
  <c r="Z248" i="1"/>
  <c r="AB247" i="1" a="1"/>
  <c r="AB247" i="1" s="1"/>
  <c r="AA247" i="1"/>
  <c r="AC247" i="1" a="1"/>
  <c r="AC247" i="1" s="1"/>
  <c r="Z240" i="1"/>
  <c r="AC239" i="1" a="1"/>
  <c r="AC239" i="1" s="1"/>
  <c r="AA239" i="1"/>
  <c r="AB239" i="1" a="1"/>
  <c r="AB239" i="1" s="1"/>
  <c r="Z232" i="1"/>
  <c r="AB231" i="1" a="1"/>
  <c r="AB231" i="1" s="1"/>
  <c r="AA231" i="1"/>
  <c r="AC231" i="1" a="1"/>
  <c r="AC231" i="1" s="1"/>
  <c r="Z224" i="1"/>
  <c r="AA223" i="1"/>
  <c r="AC223" i="1" a="1"/>
  <c r="AC223" i="1" s="1"/>
  <c r="AB223" i="1" a="1"/>
  <c r="AB223" i="1" s="1"/>
  <c r="Z216" i="1"/>
  <c r="AC215" i="1" a="1"/>
  <c r="AC215" i="1" s="1"/>
  <c r="AA215" i="1"/>
  <c r="AB215" i="1" a="1"/>
  <c r="AB215" i="1" s="1"/>
  <c r="Z208" i="1"/>
  <c r="AB207" i="1" a="1"/>
  <c r="AB207" i="1" s="1"/>
  <c r="AA207" i="1"/>
  <c r="AC207" i="1" a="1"/>
  <c r="AC207" i="1" s="1"/>
  <c r="Z200" i="1"/>
  <c r="AA199" i="1"/>
  <c r="AC199" i="1" a="1"/>
  <c r="AC199" i="1" s="1"/>
  <c r="AB199" i="1" a="1"/>
  <c r="AB199" i="1" s="1"/>
  <c r="Z192" i="1"/>
  <c r="AC191" i="1" a="1"/>
  <c r="AC191" i="1" s="1"/>
  <c r="AA191" i="1"/>
  <c r="AB191" i="1" a="1"/>
  <c r="AB191" i="1" s="1"/>
  <c r="Z184" i="1"/>
  <c r="AB183" i="1" a="1"/>
  <c r="AB183" i="1" s="1"/>
  <c r="AA183" i="1"/>
  <c r="AC183" i="1" a="1"/>
  <c r="AC183" i="1" s="1"/>
  <c r="Z176" i="1"/>
  <c r="AB175" i="1" a="1"/>
  <c r="AB175" i="1" s="1"/>
  <c r="AC175" i="1" a="1"/>
  <c r="AC175" i="1" s="1"/>
  <c r="AA175" i="1"/>
  <c r="Z168" i="1"/>
  <c r="AC167" i="1" a="1"/>
  <c r="AC167" i="1" s="1"/>
  <c r="AA167" i="1"/>
  <c r="AB167" i="1" a="1"/>
  <c r="AB167" i="1" s="1"/>
  <c r="Z160" i="1"/>
  <c r="AC159" i="1" a="1"/>
  <c r="AC159" i="1" s="1"/>
  <c r="AB159" i="1" a="1"/>
  <c r="AB159" i="1" s="1"/>
  <c r="AA159" i="1"/>
  <c r="AB361" i="1" a="1"/>
  <c r="AB361" i="1" s="1"/>
  <c r="AC361" i="1" a="1"/>
  <c r="AC361" i="1" s="1"/>
  <c r="AA361" i="1"/>
  <c r="AB353" i="1" a="1"/>
  <c r="AB353" i="1" s="1"/>
  <c r="AC353" i="1" a="1"/>
  <c r="AC353" i="1" s="1"/>
  <c r="AA353" i="1"/>
  <c r="AB345" i="1" a="1"/>
  <c r="AB345" i="1" s="1"/>
  <c r="AC345" i="1" a="1"/>
  <c r="AC345" i="1" s="1"/>
  <c r="AA345" i="1"/>
  <c r="AB337" i="1" a="1"/>
  <c r="AB337" i="1" s="1"/>
  <c r="AC337" i="1" a="1"/>
  <c r="AC337" i="1" s="1"/>
  <c r="AB329" i="1" a="1"/>
  <c r="AB329" i="1" s="1"/>
  <c r="AC329" i="1" a="1"/>
  <c r="AC329" i="1" s="1"/>
  <c r="AA329" i="1"/>
  <c r="AB321" i="1" a="1"/>
  <c r="AB321" i="1" s="1"/>
  <c r="AC321" i="1" a="1"/>
  <c r="AC321" i="1" s="1"/>
  <c r="AA321" i="1"/>
  <c r="AB313" i="1" a="1"/>
  <c r="AB313" i="1" s="1"/>
  <c r="AC313" i="1" a="1"/>
  <c r="AC313" i="1" s="1"/>
  <c r="AA313" i="1"/>
  <c r="AB305" i="1" a="1"/>
  <c r="AB305" i="1" s="1"/>
  <c r="AC305" i="1" a="1"/>
  <c r="AC305" i="1" s="1"/>
  <c r="AB297" i="1" a="1"/>
  <c r="AB297" i="1" s="1"/>
  <c r="AC297" i="1" a="1"/>
  <c r="AC297" i="1" s="1"/>
  <c r="AA297" i="1"/>
  <c r="AB289" i="1" a="1"/>
  <c r="AB289" i="1" s="1"/>
  <c r="AC289" i="1" a="1"/>
  <c r="AC289" i="1" s="1"/>
  <c r="AA289" i="1"/>
  <c r="AB281" i="1" a="1"/>
  <c r="AB281" i="1" s="1"/>
  <c r="AC281" i="1" a="1"/>
  <c r="AC281" i="1" s="1"/>
  <c r="AA281" i="1"/>
  <c r="AB273" i="1" a="1"/>
  <c r="AB273" i="1" s="1"/>
  <c r="AC273" i="1" a="1"/>
  <c r="AC273" i="1" s="1"/>
  <c r="AB265" i="1" a="1"/>
  <c r="AB265" i="1" s="1"/>
  <c r="AC265" i="1" a="1"/>
  <c r="AC265" i="1" s="1"/>
  <c r="AA265" i="1"/>
  <c r="AC257" i="1" a="1"/>
  <c r="AC257" i="1" s="1"/>
  <c r="AB257" i="1" a="1"/>
  <c r="AB257" i="1" s="1"/>
  <c r="AA257" i="1"/>
  <c r="AB249" i="1" a="1"/>
  <c r="AB249" i="1" s="1"/>
  <c r="AC249" i="1" a="1"/>
  <c r="AC249" i="1" s="1"/>
  <c r="AA249" i="1"/>
  <c r="AB241" i="1" a="1"/>
  <c r="AB241" i="1" s="1"/>
  <c r="AC241" i="1" a="1"/>
  <c r="AC241" i="1" s="1"/>
  <c r="AB233" i="1" a="1"/>
  <c r="AB233" i="1" s="1"/>
  <c r="AC233" i="1" a="1"/>
  <c r="AC233" i="1" s="1"/>
  <c r="AA233" i="1"/>
  <c r="AB225" i="1" a="1"/>
  <c r="AB225" i="1" s="1"/>
  <c r="AC225" i="1" a="1"/>
  <c r="AC225" i="1" s="1"/>
  <c r="AA225" i="1"/>
  <c r="AB217" i="1" a="1"/>
  <c r="AB217" i="1" s="1"/>
  <c r="AC217" i="1" a="1"/>
  <c r="AC217" i="1" s="1"/>
  <c r="AA217" i="1"/>
  <c r="AC209" i="1" a="1"/>
  <c r="AC209" i="1" s="1"/>
  <c r="AB209" i="1" a="1"/>
  <c r="AB209" i="1" s="1"/>
  <c r="AA209" i="1"/>
  <c r="AB201" i="1" a="1"/>
  <c r="AB201" i="1" s="1"/>
  <c r="AC201" i="1" a="1"/>
  <c r="AC201" i="1" s="1"/>
  <c r="AA201" i="1"/>
  <c r="AB193" i="1" a="1"/>
  <c r="AB193" i="1" s="1"/>
  <c r="AC193" i="1" a="1"/>
  <c r="AC193" i="1" s="1"/>
  <c r="AA193" i="1"/>
  <c r="AC185" i="1" a="1"/>
  <c r="AC185" i="1" s="1"/>
  <c r="AB185" i="1" a="1"/>
  <c r="AB185" i="1" s="1"/>
  <c r="AC177" i="1" a="1"/>
  <c r="AC177" i="1" s="1"/>
  <c r="AB177" i="1" a="1"/>
  <c r="AB177" i="1" s="1"/>
  <c r="AB169" i="1" a="1"/>
  <c r="AB169" i="1" s="1"/>
  <c r="AC169" i="1" a="1"/>
  <c r="AC169" i="1" s="1"/>
  <c r="AA169" i="1"/>
  <c r="AB161" i="1" a="1"/>
  <c r="AB161" i="1" s="1"/>
  <c r="AC161" i="1" a="1"/>
  <c r="AC161" i="1" s="1"/>
  <c r="AA161" i="1"/>
  <c r="AB153" i="1" a="1"/>
  <c r="AB153" i="1" s="1"/>
  <c r="AC153" i="1" a="1"/>
  <c r="AC153" i="1" s="1"/>
  <c r="AA153" i="1"/>
  <c r="AC145" i="1" a="1"/>
  <c r="AC145" i="1" s="1"/>
  <c r="AB145" i="1" a="1"/>
  <c r="AB145" i="1" s="1"/>
  <c r="AA145" i="1"/>
  <c r="AB137" i="1" a="1"/>
  <c r="AB137" i="1" s="1"/>
  <c r="AC137" i="1" a="1"/>
  <c r="AC137" i="1" s="1"/>
  <c r="AA137" i="1"/>
  <c r="AC129" i="1" a="1"/>
  <c r="AC129" i="1" s="1"/>
  <c r="AB129" i="1" a="1"/>
  <c r="AB129" i="1" s="1"/>
  <c r="AA129" i="1"/>
  <c r="AB121" i="1" a="1"/>
  <c r="AB121" i="1" s="1"/>
  <c r="AC121" i="1" a="1"/>
  <c r="AC121" i="1" s="1"/>
  <c r="AA121" i="1"/>
  <c r="AB113" i="1" a="1"/>
  <c r="AB113" i="1" s="1"/>
  <c r="AC113" i="1" a="1"/>
  <c r="AC113" i="1" s="1"/>
  <c r="AC105" i="1" a="1"/>
  <c r="AC105" i="1" s="1"/>
  <c r="AB105" i="1" a="1"/>
  <c r="AB105" i="1" s="1"/>
  <c r="AA105" i="1"/>
  <c r="AB97" i="1" a="1"/>
  <c r="AB97" i="1" s="1"/>
  <c r="AC97" i="1" a="1"/>
  <c r="AC97" i="1" s="1"/>
  <c r="AA97" i="1"/>
  <c r="AB89" i="1" a="1"/>
  <c r="AB89" i="1" s="1"/>
  <c r="AC89" i="1" a="1"/>
  <c r="AC89" i="1" s="1"/>
  <c r="AA89" i="1"/>
  <c r="AB81" i="1" a="1"/>
  <c r="AB81" i="1" s="1"/>
  <c r="AC81" i="1" a="1"/>
  <c r="AC81" i="1" s="1"/>
  <c r="AA81" i="1"/>
  <c r="AC73" i="1" a="1"/>
  <c r="AC73" i="1" s="1"/>
  <c r="AB73" i="1" a="1"/>
  <c r="AB73" i="1" s="1"/>
  <c r="AA73" i="1"/>
  <c r="AC65" i="1" a="1"/>
  <c r="AC65" i="1" s="1"/>
  <c r="AB65" i="1" a="1"/>
  <c r="AB65" i="1" s="1"/>
  <c r="AA65" i="1"/>
  <c r="AC57" i="1" a="1"/>
  <c r="AC57" i="1" s="1"/>
  <c r="AB57" i="1" a="1"/>
  <c r="AB57" i="1" s="1"/>
  <c r="AA57" i="1"/>
  <c r="AB49" i="1" a="1"/>
  <c r="AB49" i="1" s="1"/>
  <c r="AC49" i="1" a="1"/>
  <c r="AC49" i="1" s="1"/>
  <c r="AA49" i="1"/>
  <c r="AB41" i="1" a="1"/>
  <c r="AB41" i="1" s="1"/>
  <c r="AC41" i="1" a="1"/>
  <c r="AC41" i="1" s="1"/>
  <c r="AA41" i="1"/>
  <c r="AB33" i="1" a="1"/>
  <c r="AB33" i="1" s="1"/>
  <c r="AC33" i="1" a="1"/>
  <c r="AC33" i="1" s="1"/>
  <c r="AA33" i="1"/>
  <c r="AB25" i="1" a="1"/>
  <c r="AB25" i="1" s="1"/>
  <c r="AC25" i="1" a="1"/>
  <c r="AC25" i="1" s="1"/>
  <c r="AA25" i="1"/>
  <c r="AB17" i="1" a="1"/>
  <c r="AB17" i="1" s="1"/>
  <c r="AC17" i="1" a="1"/>
  <c r="AC17" i="1" s="1"/>
  <c r="AA17" i="1"/>
  <c r="AB9" i="1" a="1"/>
  <c r="AB9" i="1" s="1"/>
  <c r="AC9" i="1" a="1"/>
  <c r="AC9" i="1" s="1"/>
  <c r="AA9" i="1"/>
  <c r="AB4" i="1" a="1"/>
  <c r="AB4" i="1" s="1"/>
  <c r="AC4" i="1" a="1"/>
  <c r="AC4" i="1" s="1"/>
  <c r="AD4" i="1" s="1"/>
  <c r="AA4" i="1"/>
  <c r="AA317" i="1"/>
  <c r="AA280" i="1"/>
  <c r="AA185" i="1"/>
  <c r="AA133" i="1"/>
  <c r="AB355" i="1" a="1"/>
  <c r="AB355" i="1" s="1"/>
  <c r="AC355" i="1" a="1"/>
  <c r="AC355" i="1" s="1"/>
  <c r="AA355" i="1"/>
  <c r="AB259" i="1" a="1"/>
  <c r="AB259" i="1" s="1"/>
  <c r="AC259" i="1" a="1"/>
  <c r="AC259" i="1" s="1"/>
  <c r="AA259" i="1"/>
  <c r="AB362" i="1" a="1"/>
  <c r="AB362" i="1" s="1"/>
  <c r="AC362" i="1" a="1"/>
  <c r="AC362" i="1" s="1"/>
  <c r="AA362" i="1"/>
  <c r="AB354" i="1" a="1"/>
  <c r="AB354" i="1" s="1"/>
  <c r="AC354" i="1" a="1"/>
  <c r="AC354" i="1" s="1"/>
  <c r="AB330" i="1" a="1"/>
  <c r="AB330" i="1" s="1"/>
  <c r="AC330" i="1" a="1"/>
  <c r="AC330" i="1" s="1"/>
  <c r="AA330" i="1"/>
  <c r="AB322" i="1" a="1"/>
  <c r="AB322" i="1" s="1"/>
  <c r="AC322" i="1" a="1"/>
  <c r="AC322" i="1" s="1"/>
  <c r="Z251" i="1"/>
  <c r="Z235" i="1"/>
  <c r="AC234" i="1" a="1"/>
  <c r="AC234" i="1" s="1"/>
  <c r="AB234" i="1" a="1"/>
  <c r="AB234" i="1" s="1"/>
  <c r="AA234" i="1"/>
  <c r="Z211" i="1"/>
  <c r="AC210" i="1" a="1"/>
  <c r="AC210" i="1" s="1"/>
  <c r="AB210" i="1" a="1"/>
  <c r="AB210" i="1" s="1"/>
  <c r="AA348" i="1"/>
  <c r="AB366" i="1" a="1"/>
  <c r="AB366" i="1" s="1"/>
  <c r="AC366" i="1" a="1"/>
  <c r="AC366" i="1" s="1"/>
  <c r="AA366" i="1"/>
  <c r="AB358" i="1" a="1"/>
  <c r="AB358" i="1" s="1"/>
  <c r="AC358" i="1" a="1"/>
  <c r="AC358" i="1" s="1"/>
  <c r="AB350" i="1" a="1"/>
  <c r="AB350" i="1" s="1"/>
  <c r="AC350" i="1" a="1"/>
  <c r="AC350" i="1" s="1"/>
  <c r="AA350" i="1"/>
  <c r="AB342" i="1" a="1"/>
  <c r="AB342" i="1" s="1"/>
  <c r="AC342" i="1" a="1"/>
  <c r="AC342" i="1" s="1"/>
  <c r="AA342" i="1"/>
  <c r="AB334" i="1" a="1"/>
  <c r="AB334" i="1" s="1"/>
  <c r="AC334" i="1" a="1"/>
  <c r="AC334" i="1" s="1"/>
  <c r="AA334" i="1"/>
  <c r="AB326" i="1" a="1"/>
  <c r="AB326" i="1" s="1"/>
  <c r="AD326" i="1" s="1"/>
  <c r="AC326" i="1" a="1"/>
  <c r="AC326" i="1" s="1"/>
  <c r="AB318" i="1" a="1"/>
  <c r="AB318" i="1" s="1"/>
  <c r="AC318" i="1" a="1"/>
  <c r="AC318" i="1" s="1"/>
  <c r="AA318" i="1"/>
  <c r="AB310" i="1" a="1"/>
  <c r="AB310" i="1" s="1"/>
  <c r="AC310" i="1" a="1"/>
  <c r="AC310" i="1" s="1"/>
  <c r="AA310" i="1"/>
  <c r="AB302" i="1" a="1"/>
  <c r="AB302" i="1" s="1"/>
  <c r="AC302" i="1" a="1"/>
  <c r="AC302" i="1" s="1"/>
  <c r="AA302" i="1"/>
  <c r="AB294" i="1" a="1"/>
  <c r="AB294" i="1" s="1"/>
  <c r="AC294" i="1" a="1"/>
  <c r="AC294" i="1" s="1"/>
  <c r="AB286" i="1" a="1"/>
  <c r="AB286" i="1" s="1"/>
  <c r="AC286" i="1" a="1"/>
  <c r="AC286" i="1" s="1"/>
  <c r="AA286" i="1"/>
  <c r="AB278" i="1" a="1"/>
  <c r="AB278" i="1" s="1"/>
  <c r="AC278" i="1" a="1"/>
  <c r="AC278" i="1" s="1"/>
  <c r="AA278" i="1"/>
  <c r="AB270" i="1" a="1"/>
  <c r="AB270" i="1" s="1"/>
  <c r="AC270" i="1" a="1"/>
  <c r="AC270" i="1" s="1"/>
  <c r="AA270" i="1"/>
  <c r="AB262" i="1" a="1"/>
  <c r="AB262" i="1" s="1"/>
  <c r="AC262" i="1" a="1"/>
  <c r="AC262" i="1" s="1"/>
  <c r="AB254" i="1" a="1"/>
  <c r="AB254" i="1" s="1"/>
  <c r="AC254" i="1" a="1"/>
  <c r="AC254" i="1" s="1"/>
  <c r="AA254" i="1"/>
  <c r="AC246" i="1" a="1"/>
  <c r="AC246" i="1" s="1"/>
  <c r="AB246" i="1" a="1"/>
  <c r="AB246" i="1" s="1"/>
  <c r="AA246" i="1"/>
  <c r="AB238" i="1" a="1"/>
  <c r="AB238" i="1" s="1"/>
  <c r="AC238" i="1" a="1"/>
  <c r="AC238" i="1" s="1"/>
  <c r="AA238" i="1"/>
  <c r="AB230" i="1" a="1"/>
  <c r="AB230" i="1" s="1"/>
  <c r="AC230" i="1" a="1"/>
  <c r="AC230" i="1" s="1"/>
  <c r="AA230" i="1"/>
  <c r="AB222" i="1" a="1"/>
  <c r="AB222" i="1" s="1"/>
  <c r="AC222" i="1" a="1"/>
  <c r="AC222" i="1" s="1"/>
  <c r="AB214" i="1" a="1"/>
  <c r="AB214" i="1" s="1"/>
  <c r="AC214" i="1" a="1"/>
  <c r="AC214" i="1" s="1"/>
  <c r="AB206" i="1" a="1"/>
  <c r="AB206" i="1" s="1"/>
  <c r="AC206" i="1" a="1"/>
  <c r="AC206" i="1" s="1"/>
  <c r="AA206" i="1"/>
  <c r="AC198" i="1" a="1"/>
  <c r="AC198" i="1" s="1"/>
  <c r="AB198" i="1" a="1"/>
  <c r="AB198" i="1" s="1"/>
  <c r="AA198" i="1"/>
  <c r="AB190" i="1" a="1"/>
  <c r="AB190" i="1" s="1"/>
  <c r="AC190" i="1" a="1"/>
  <c r="AC190" i="1" s="1"/>
  <c r="AA190" i="1"/>
  <c r="AB182" i="1" a="1"/>
  <c r="AB182" i="1" s="1"/>
  <c r="AC182" i="1" a="1"/>
  <c r="AC182" i="1" s="1"/>
  <c r="AA182" i="1"/>
  <c r="AB174" i="1" a="1"/>
  <c r="AB174" i="1" s="1"/>
  <c r="AC174" i="1" a="1"/>
  <c r="AC174" i="1" s="1"/>
  <c r="AA174" i="1"/>
  <c r="AB166" i="1" a="1"/>
  <c r="AB166" i="1" s="1"/>
  <c r="AC166" i="1" a="1"/>
  <c r="AC166" i="1" s="1"/>
  <c r="AA166" i="1"/>
  <c r="AC158" i="1" a="1"/>
  <c r="AC158" i="1" s="1"/>
  <c r="AB158" i="1" a="1"/>
  <c r="AB158" i="1" s="1"/>
  <c r="AB150" i="1" a="1"/>
  <c r="AB150" i="1" s="1"/>
  <c r="AC150" i="1" a="1"/>
  <c r="AC150" i="1" s="1"/>
  <c r="AC142" i="1" a="1"/>
  <c r="AC142" i="1" s="1"/>
  <c r="AB142" i="1" a="1"/>
  <c r="AB142" i="1" s="1"/>
  <c r="AA142" i="1"/>
  <c r="AB134" i="1" a="1"/>
  <c r="AB134" i="1" s="1"/>
  <c r="AC134" i="1" a="1"/>
  <c r="AC134" i="1" s="1"/>
  <c r="AA134" i="1"/>
  <c r="AC126" i="1" a="1"/>
  <c r="AC126" i="1" s="1"/>
  <c r="AB126" i="1" a="1"/>
  <c r="AB126" i="1" s="1"/>
  <c r="AA126" i="1"/>
  <c r="AB118" i="1" a="1"/>
  <c r="AB118" i="1" s="1"/>
  <c r="AC118" i="1" a="1"/>
  <c r="AC118" i="1" s="1"/>
  <c r="AA118" i="1"/>
  <c r="AB110" i="1" a="1"/>
  <c r="AB110" i="1" s="1"/>
  <c r="AC110" i="1" a="1"/>
  <c r="AC110" i="1" s="1"/>
  <c r="AA110" i="1"/>
  <c r="AC102" i="1" a="1"/>
  <c r="AC102" i="1" s="1"/>
  <c r="AB102" i="1" a="1"/>
  <c r="AB102" i="1" s="1"/>
  <c r="AA102" i="1"/>
  <c r="AC94" i="1" a="1"/>
  <c r="AC94" i="1" s="1"/>
  <c r="AB94" i="1" a="1"/>
  <c r="AB94" i="1" s="1"/>
  <c r="AA94" i="1"/>
  <c r="AB86" i="1" a="1"/>
  <c r="AB86" i="1" s="1"/>
  <c r="AC86" i="1" a="1"/>
  <c r="AC86" i="1" s="1"/>
  <c r="AA86" i="1"/>
  <c r="AB78" i="1" a="1"/>
  <c r="AB78" i="1" s="1"/>
  <c r="AC78" i="1" a="1"/>
  <c r="AC78" i="1" s="1"/>
  <c r="AA78" i="1"/>
  <c r="AC70" i="1" a="1"/>
  <c r="AC70" i="1" s="1"/>
  <c r="AB70" i="1" a="1"/>
  <c r="AB70" i="1" s="1"/>
  <c r="AA70" i="1"/>
  <c r="AB62" i="1" a="1"/>
  <c r="AB62" i="1" s="1"/>
  <c r="AC62" i="1" a="1"/>
  <c r="AC62" i="1" s="1"/>
  <c r="AA62" i="1"/>
  <c r="Z55" i="1"/>
  <c r="AB54" i="1" a="1"/>
  <c r="AB54" i="1" s="1"/>
  <c r="AC54" i="1" a="1"/>
  <c r="AC54" i="1" s="1"/>
  <c r="AA54" i="1"/>
  <c r="AB46" i="1" a="1"/>
  <c r="AB46" i="1" s="1"/>
  <c r="AC46" i="1" a="1"/>
  <c r="AC46" i="1" s="1"/>
  <c r="AA46" i="1"/>
  <c r="AC38" i="1" a="1"/>
  <c r="AC38" i="1" s="1"/>
  <c r="AB38" i="1" a="1"/>
  <c r="AB38" i="1" s="1"/>
  <c r="AA38" i="1"/>
  <c r="Z31" i="1"/>
  <c r="AB30" i="1" a="1"/>
  <c r="AB30" i="1" s="1"/>
  <c r="AC30" i="1" a="1"/>
  <c r="AC30" i="1" s="1"/>
  <c r="AA30" i="1"/>
  <c r="Z23" i="1"/>
  <c r="AC22" i="1" a="1"/>
  <c r="AC22" i="1" s="1"/>
  <c r="AB22" i="1" a="1"/>
  <c r="AB22" i="1" s="1"/>
  <c r="AA22" i="1"/>
  <c r="Z15" i="1"/>
  <c r="AB14" i="1" a="1"/>
  <c r="AB14" i="1" s="1"/>
  <c r="AA14" i="1"/>
  <c r="AC14" i="1" a="1"/>
  <c r="AC14" i="1" s="1"/>
  <c r="AB6" i="1" a="1"/>
  <c r="AB6" i="1" s="1"/>
  <c r="AC6" i="1" a="1"/>
  <c r="AC6" i="1" s="1"/>
  <c r="AA7" i="1"/>
  <c r="AA344" i="1"/>
  <c r="AA316" i="1"/>
  <c r="AA273" i="1"/>
  <c r="AA177" i="1"/>
  <c r="AA125" i="1"/>
  <c r="AC131" i="1" a="1"/>
  <c r="AC131" i="1" s="1"/>
  <c r="AB131" i="1" a="1"/>
  <c r="AB131" i="1" s="1"/>
  <c r="AA131" i="1"/>
  <c r="AB115" i="1" a="1"/>
  <c r="AB115" i="1" s="1"/>
  <c r="AC115" i="1" a="1"/>
  <c r="AC115" i="1" s="1"/>
  <c r="AA115" i="1"/>
  <c r="AA338" i="1"/>
  <c r="AA312" i="1"/>
  <c r="AA113" i="1"/>
  <c r="AB339" i="1" a="1"/>
  <c r="AB339" i="1" s="1"/>
  <c r="AA339" i="1"/>
  <c r="AC339" i="1" a="1"/>
  <c r="AC339" i="1" s="1"/>
  <c r="AB243" i="1" a="1"/>
  <c r="AB243" i="1" s="1"/>
  <c r="AC243" i="1" a="1"/>
  <c r="AC243" i="1" s="1"/>
  <c r="AA243" i="1"/>
  <c r="AB235" i="1" a="1"/>
  <c r="AB235" i="1" s="1"/>
  <c r="AC235" i="1" a="1"/>
  <c r="AC235" i="1" s="1"/>
  <c r="AA235" i="1"/>
  <c r="AC227" i="1" a="1"/>
  <c r="AC227" i="1" s="1"/>
  <c r="AB227" i="1" a="1"/>
  <c r="AB227" i="1" s="1"/>
  <c r="AA227" i="1"/>
  <c r="AB219" i="1" a="1"/>
  <c r="AB219" i="1" s="1"/>
  <c r="AC219" i="1" a="1"/>
  <c r="AC219" i="1" s="1"/>
  <c r="AA219" i="1"/>
  <c r="AC203" i="1" a="1"/>
  <c r="AC203" i="1" s="1"/>
  <c r="AB203" i="1" a="1"/>
  <c r="AB203" i="1" s="1"/>
  <c r="AA203" i="1"/>
  <c r="AB163" i="1" a="1"/>
  <c r="AB163" i="1" s="1"/>
  <c r="AA163" i="1"/>
  <c r="AC163" i="1" a="1"/>
  <c r="AC163" i="1" s="1"/>
  <c r="AB155" i="1" a="1"/>
  <c r="AB155" i="1" s="1"/>
  <c r="AC155" i="1" a="1"/>
  <c r="AC155" i="1" s="1"/>
  <c r="AA155" i="1"/>
  <c r="AB147" i="1" a="1"/>
  <c r="AB147" i="1" s="1"/>
  <c r="AC147" i="1" a="1"/>
  <c r="AC147" i="1" s="1"/>
  <c r="AA147" i="1"/>
  <c r="AB139" i="1" a="1"/>
  <c r="AB139" i="1" s="1"/>
  <c r="AA139" i="1"/>
  <c r="AC139" i="1" a="1"/>
  <c r="AC139" i="1" s="1"/>
  <c r="AB91" i="1" a="1"/>
  <c r="AB91" i="1" s="1"/>
  <c r="AA91" i="1"/>
  <c r="AC91" i="1" a="1"/>
  <c r="AC91" i="1" s="1"/>
  <c r="AB75" i="1" a="1"/>
  <c r="AB75" i="1" s="1"/>
  <c r="AC75" i="1" a="1"/>
  <c r="AC75" i="1" s="1"/>
  <c r="AA75" i="1"/>
  <c r="AB67" i="1" a="1"/>
  <c r="AB67" i="1" s="1"/>
  <c r="AC67" i="1" a="1"/>
  <c r="AC67" i="1" s="1"/>
  <c r="AA67" i="1"/>
  <c r="AC59" i="1" a="1"/>
  <c r="AC59" i="1" s="1"/>
  <c r="AB59" i="1" a="1"/>
  <c r="AB59" i="1" s="1"/>
  <c r="AA59" i="1"/>
  <c r="AC51" i="1" a="1"/>
  <c r="AC51" i="1" s="1"/>
  <c r="AB51" i="1" a="1"/>
  <c r="AB51" i="1" s="1"/>
  <c r="AA51" i="1"/>
  <c r="AB43" i="1" a="1"/>
  <c r="AB43" i="1" s="1"/>
  <c r="AC43" i="1" a="1"/>
  <c r="AC43" i="1" s="1"/>
  <c r="AA43" i="1"/>
  <c r="AB35" i="1" a="1"/>
  <c r="AB35" i="1" s="1"/>
  <c r="AC35" i="1" a="1"/>
  <c r="AC35" i="1" s="1"/>
  <c r="AA35" i="1"/>
  <c r="AB27" i="1" a="1"/>
  <c r="AB27" i="1" s="1"/>
  <c r="AC27" i="1" a="1"/>
  <c r="AC27" i="1" s="1"/>
  <c r="AA27" i="1"/>
  <c r="AB19" i="1" a="1"/>
  <c r="AB19" i="1" s="1"/>
  <c r="AC19" i="1" a="1"/>
  <c r="AC19" i="1" s="1"/>
  <c r="AA19" i="1"/>
  <c r="AB11" i="1" a="1"/>
  <c r="AB11" i="1" s="1"/>
  <c r="AC11" i="1" a="1"/>
  <c r="AC11" i="1" s="1"/>
  <c r="AA11" i="1"/>
  <c r="AA365" i="1"/>
  <c r="AA337" i="1"/>
  <c r="AA305" i="1"/>
  <c r="AA262" i="1"/>
  <c r="AA214" i="1"/>
  <c r="AC260" i="1" a="1"/>
  <c r="AC260" i="1" s="1"/>
  <c r="AB260" i="1" a="1"/>
  <c r="AB260" i="1" s="1"/>
  <c r="AB252" i="1" a="1"/>
  <c r="AB252" i="1" s="1"/>
  <c r="AC252" i="1" a="1"/>
  <c r="AC252" i="1" s="1"/>
  <c r="AB244" i="1" a="1"/>
  <c r="AB244" i="1" s="1"/>
  <c r="AC244" i="1" a="1"/>
  <c r="AC244" i="1" s="1"/>
  <c r="AB236" i="1" a="1"/>
  <c r="AB236" i="1" s="1"/>
  <c r="AC236" i="1" a="1"/>
  <c r="AC236" i="1" s="1"/>
  <c r="AC228" i="1" a="1"/>
  <c r="AC228" i="1" s="1"/>
  <c r="AB228" i="1" a="1"/>
  <c r="AB228" i="1" s="1"/>
  <c r="AB220" i="1" a="1"/>
  <c r="AB220" i="1" s="1"/>
  <c r="AC220" i="1" a="1"/>
  <c r="AC220" i="1" s="1"/>
  <c r="AB212" i="1" a="1"/>
  <c r="AB212" i="1" s="1"/>
  <c r="AC212" i="1" a="1"/>
  <c r="AC212" i="1" s="1"/>
  <c r="AB204" i="1" a="1"/>
  <c r="AB204" i="1" s="1"/>
  <c r="AC204" i="1" a="1"/>
  <c r="AC204" i="1" s="1"/>
  <c r="AB196" i="1" a="1"/>
  <c r="AB196" i="1" s="1"/>
  <c r="AC196" i="1" a="1"/>
  <c r="AC196" i="1" s="1"/>
  <c r="AB188" i="1" a="1"/>
  <c r="AB188" i="1" s="1"/>
  <c r="AC188" i="1" a="1"/>
  <c r="AC188" i="1" s="1"/>
  <c r="AB180" i="1" a="1"/>
  <c r="AB180" i="1" s="1"/>
  <c r="AC180" i="1" a="1"/>
  <c r="AC180" i="1" s="1"/>
  <c r="AB172" i="1" a="1"/>
  <c r="AB172" i="1" s="1"/>
  <c r="AC172" i="1" a="1"/>
  <c r="AC172" i="1" s="1"/>
  <c r="AB164" i="1" a="1"/>
  <c r="AB164" i="1" s="1"/>
  <c r="AC164" i="1" a="1"/>
  <c r="AC164" i="1" s="1"/>
  <c r="AC156" i="1" a="1"/>
  <c r="AC156" i="1" s="1"/>
  <c r="AB156" i="1" a="1"/>
  <c r="AB156" i="1" s="1"/>
  <c r="AB148" i="1" a="1"/>
  <c r="AB148" i="1" s="1"/>
  <c r="AC148" i="1" a="1"/>
  <c r="AC148" i="1" s="1"/>
  <c r="AB140" i="1" a="1"/>
  <c r="AB140" i="1" s="1"/>
  <c r="AC140" i="1" a="1"/>
  <c r="AC140" i="1" s="1"/>
  <c r="AB132" i="1" a="1"/>
  <c r="AB132" i="1" s="1"/>
  <c r="AC132" i="1" a="1"/>
  <c r="AC132" i="1" s="1"/>
  <c r="AC124" i="1" a="1"/>
  <c r="AC124" i="1" s="1"/>
  <c r="AB124" i="1" a="1"/>
  <c r="AB124" i="1" s="1"/>
  <c r="AC116" i="1" a="1"/>
  <c r="AC116" i="1" s="1"/>
  <c r="AB116" i="1" a="1"/>
  <c r="AB116" i="1" s="1"/>
  <c r="AC108" i="1" a="1"/>
  <c r="AC108" i="1" s="1"/>
  <c r="AB108" i="1" a="1"/>
  <c r="AB108" i="1" s="1"/>
  <c r="AB100" i="1" a="1"/>
  <c r="AB100" i="1" s="1"/>
  <c r="AC100" i="1" a="1"/>
  <c r="AC100" i="1" s="1"/>
  <c r="AB92" i="1" a="1"/>
  <c r="AB92" i="1" s="1"/>
  <c r="AC92" i="1" a="1"/>
  <c r="AC92" i="1" s="1"/>
  <c r="AC84" i="1" a="1"/>
  <c r="AC84" i="1" s="1"/>
  <c r="AB84" i="1" a="1"/>
  <c r="AB84" i="1" s="1"/>
  <c r="AB76" i="1" a="1"/>
  <c r="AB76" i="1" s="1"/>
  <c r="AC76" i="1" a="1"/>
  <c r="AC76" i="1" s="1"/>
  <c r="AB68" i="1" a="1"/>
  <c r="AB68" i="1" s="1"/>
  <c r="AC68" i="1" a="1"/>
  <c r="AC68" i="1" s="1"/>
  <c r="AB60" i="1" a="1"/>
  <c r="AB60" i="1" s="1"/>
  <c r="AC60" i="1" a="1"/>
  <c r="AC60" i="1" s="1"/>
  <c r="AC52" i="1" a="1"/>
  <c r="AC52" i="1" s="1"/>
  <c r="AB52" i="1" a="1"/>
  <c r="AB52" i="1" s="1"/>
  <c r="AC44" i="1" a="1"/>
  <c r="AC44" i="1" s="1"/>
  <c r="AB44" i="1" a="1"/>
  <c r="AB44" i="1" s="1"/>
  <c r="AC36" i="1" a="1"/>
  <c r="AC36" i="1" s="1"/>
  <c r="AB36" i="1" a="1"/>
  <c r="AB36" i="1" s="1"/>
  <c r="Z29" i="1"/>
  <c r="AB28" i="1" a="1"/>
  <c r="AB28" i="1" s="1"/>
  <c r="AC28" i="1" a="1"/>
  <c r="AC28" i="1" s="1"/>
  <c r="Z21" i="1"/>
  <c r="AB20" i="1" a="1"/>
  <c r="AB20" i="1" s="1"/>
  <c r="AC20" i="1" a="1"/>
  <c r="AC20" i="1" s="1"/>
  <c r="AA20" i="1"/>
  <c r="AB12" i="1" a="1"/>
  <c r="AB12" i="1" s="1"/>
  <c r="AC12" i="1" a="1"/>
  <c r="AC12" i="1" s="1"/>
  <c r="AA12" i="1"/>
  <c r="AA220" i="1"/>
  <c r="AA156" i="1"/>
  <c r="AA92" i="1"/>
  <c r="AA244" i="1"/>
  <c r="AA180" i="1"/>
  <c r="AA116" i="1"/>
  <c r="AA76" i="1"/>
  <c r="AA60" i="1"/>
  <c r="AA44" i="1"/>
  <c r="AA204" i="1"/>
  <c r="AA140" i="1"/>
  <c r="Z41" i="1"/>
  <c r="AC40" i="1" a="1"/>
  <c r="AC40" i="1" s="1"/>
  <c r="AB40" i="1" a="1"/>
  <c r="AB40" i="1" s="1"/>
  <c r="AA40" i="1"/>
  <c r="Z33" i="1"/>
  <c r="AB32" i="1" a="1"/>
  <c r="AB32" i="1" s="1"/>
  <c r="AC32" i="1" a="1"/>
  <c r="AC32" i="1" s="1"/>
  <c r="AA32" i="1"/>
  <c r="Z25" i="1"/>
  <c r="AC24" i="1" a="1"/>
  <c r="AC24" i="1" s="1"/>
  <c r="AB24" i="1" a="1"/>
  <c r="AB24" i="1" s="1"/>
  <c r="AA24" i="1"/>
  <c r="Z17" i="1"/>
  <c r="AB16" i="1" a="1"/>
  <c r="AB16" i="1" s="1"/>
  <c r="AC16" i="1" a="1"/>
  <c r="AC16" i="1" s="1"/>
  <c r="AA16" i="1"/>
  <c r="AB8" i="1" a="1"/>
  <c r="AB8" i="1" s="1"/>
  <c r="AC8" i="1" a="1"/>
  <c r="AC8" i="1" s="1"/>
  <c r="AA8" i="1"/>
  <c r="AA188" i="1"/>
  <c r="AA124" i="1"/>
  <c r="AA36" i="1"/>
  <c r="AA260" i="1"/>
  <c r="AA212" i="1"/>
  <c r="AA148" i="1"/>
  <c r="AA84" i="1"/>
  <c r="AA68" i="1"/>
  <c r="AA52" i="1"/>
  <c r="AA108" i="1"/>
  <c r="AA196" i="1"/>
  <c r="AA132" i="1"/>
  <c r="AA28" i="1"/>
  <c r="AD301" i="1"/>
  <c r="AD268" i="1"/>
  <c r="AD344" i="1"/>
  <c r="AD328" i="1"/>
  <c r="AD251" i="1"/>
  <c r="AD356" i="1"/>
  <c r="AD324" i="1"/>
  <c r="AD285" i="1"/>
  <c r="AD245" i="1"/>
  <c r="AD232" i="1"/>
  <c r="AD77" i="1"/>
  <c r="AD210" i="1" l="1"/>
  <c r="AD332" i="1"/>
  <c r="AD145" i="1"/>
  <c r="AD358" i="1"/>
  <c r="AD259" i="1"/>
  <c r="AD91" i="1"/>
  <c r="AD92" i="1"/>
  <c r="AD166" i="1"/>
  <c r="AD44" i="1"/>
  <c r="AD84" i="1"/>
  <c r="AD366" i="1"/>
  <c r="AD261" i="1"/>
  <c r="AD293" i="1"/>
  <c r="AD295" i="1"/>
  <c r="AD318" i="1"/>
  <c r="AD93" i="1"/>
  <c r="AD53" i="1"/>
  <c r="AD187" i="1"/>
  <c r="AD311" i="1"/>
  <c r="AD6" i="1"/>
  <c r="AD134" i="1"/>
  <c r="AD125" i="1"/>
  <c r="AD291" i="1"/>
  <c r="AD294" i="1"/>
  <c r="AD359" i="1"/>
  <c r="AD39" i="1"/>
  <c r="AD288" i="1"/>
  <c r="AD218" i="1"/>
  <c r="AD138" i="1"/>
  <c r="AD141" i="1"/>
  <c r="AD162" i="1"/>
  <c r="AD70" i="1"/>
  <c r="AD102" i="1"/>
  <c r="AD216" i="1"/>
  <c r="AD352" i="1"/>
  <c r="AD300" i="1"/>
  <c r="AD350" i="1"/>
  <c r="AD5" i="1"/>
  <c r="AD59" i="1"/>
  <c r="AD27" i="1"/>
  <c r="AD205" i="1"/>
  <c r="AD267" i="1"/>
  <c r="AD189" i="1"/>
  <c r="AD201" i="1"/>
  <c r="AD252" i="1"/>
  <c r="AD118" i="1"/>
  <c r="AD78" i="1"/>
  <c r="AD139" i="1"/>
  <c r="AD13" i="1"/>
  <c r="AD76" i="1"/>
  <c r="AD50" i="1"/>
  <c r="AD260" i="1"/>
  <c r="AD335" i="1"/>
  <c r="AD81" i="1"/>
  <c r="AD215" i="1"/>
  <c r="AD257" i="1"/>
  <c r="AD108" i="1"/>
  <c r="AD202" i="1"/>
  <c r="AD348" i="1"/>
  <c r="AD109" i="1"/>
  <c r="AD11" i="1"/>
  <c r="AD209" i="1"/>
  <c r="AD250" i="1"/>
  <c r="AD228" i="1"/>
  <c r="AD85" i="1"/>
  <c r="AD86" i="1"/>
  <c r="AD148" i="1"/>
  <c r="AD123" i="1"/>
  <c r="AD244" i="1"/>
  <c r="AD37" i="1"/>
  <c r="AD133" i="1"/>
  <c r="AD107" i="1"/>
  <c r="AD82" i="1"/>
  <c r="AD219" i="1"/>
  <c r="AD158" i="1"/>
  <c r="AD169" i="1"/>
  <c r="AD226" i="1"/>
  <c r="AD170" i="1"/>
  <c r="AD38" i="1"/>
  <c r="AD308" i="1"/>
  <c r="AD342" i="1"/>
  <c r="AD179" i="1"/>
  <c r="AD155" i="1"/>
  <c r="AD220" i="1"/>
  <c r="AD364" i="1"/>
  <c r="AD302" i="1"/>
  <c r="AD60" i="1"/>
  <c r="AD319" i="1"/>
  <c r="AD68" i="1"/>
  <c r="AD22" i="1"/>
  <c r="AD157" i="1"/>
  <c r="AD234" i="1"/>
  <c r="AD368" i="1"/>
  <c r="AD360" i="1"/>
  <c r="AD54" i="1"/>
  <c r="AD19" i="1"/>
  <c r="AD110" i="1"/>
  <c r="AD262" i="1"/>
  <c r="AD55" i="1"/>
  <c r="AD43" i="1"/>
  <c r="AD194" i="1"/>
  <c r="AD303" i="1"/>
  <c r="AD312" i="1"/>
  <c r="AD171" i="1"/>
  <c r="AD12" i="1"/>
  <c r="AD200" i="1"/>
  <c r="AD180" i="1"/>
  <c r="AD164" i="1"/>
  <c r="AD351" i="1"/>
  <c r="AD190" i="1"/>
  <c r="AD47" i="1"/>
  <c r="AD98" i="1"/>
  <c r="AD173" i="1"/>
  <c r="AD61" i="1"/>
  <c r="AD286" i="1"/>
  <c r="AD17" i="1"/>
  <c r="AD36" i="1"/>
  <c r="AD297" i="1"/>
  <c r="AD365" i="1"/>
  <c r="AD235" i="1"/>
  <c r="AD7" i="1"/>
  <c r="AD266" i="1"/>
  <c r="AD317" i="1"/>
  <c r="AD183" i="1"/>
  <c r="AD292" i="1"/>
  <c r="AD74" i="1"/>
  <c r="AD30" i="1"/>
  <c r="AD96" i="1"/>
  <c r="AD112" i="1"/>
  <c r="AD124" i="1"/>
  <c r="AD327" i="1"/>
  <c r="AD307" i="1"/>
  <c r="AD62" i="1"/>
  <c r="AD188" i="1"/>
  <c r="AD114" i="1"/>
  <c r="AD21" i="1"/>
  <c r="AD154" i="1"/>
  <c r="AD94" i="1"/>
  <c r="AD14" i="1"/>
  <c r="AD160" i="1"/>
  <c r="AD144" i="1"/>
  <c r="AD306" i="1"/>
  <c r="AD101" i="1"/>
  <c r="AD357" i="1"/>
  <c r="AD56" i="1"/>
  <c r="AD58" i="1"/>
  <c r="AD339" i="1"/>
  <c r="AD334" i="1"/>
  <c r="AD271" i="1"/>
  <c r="AD178" i="1"/>
  <c r="AD279" i="1"/>
  <c r="AD75" i="1"/>
  <c r="AD95" i="1"/>
  <c r="AD45" i="1"/>
  <c r="AD167" i="1"/>
  <c r="AD256" i="1"/>
  <c r="AD224" i="1"/>
  <c r="AD121" i="1"/>
  <c r="AD51" i="1"/>
  <c r="AD130" i="1"/>
  <c r="AD29" i="1"/>
  <c r="AD204" i="1"/>
  <c r="AD23" i="1"/>
  <c r="AD105" i="1"/>
  <c r="AD80" i="1"/>
  <c r="AD184" i="1"/>
  <c r="AD340" i="1"/>
  <c r="AD310" i="1"/>
  <c r="AD206" i="1"/>
  <c r="AD283" i="1"/>
  <c r="AD298" i="1"/>
  <c r="AD314" i="1"/>
  <c r="AD338" i="1"/>
  <c r="AD274" i="1"/>
  <c r="AD315" i="1"/>
  <c r="AD343" i="1"/>
  <c r="AD15" i="1"/>
  <c r="AD24" i="1"/>
  <c r="AD247" i="1"/>
  <c r="AD325" i="1"/>
  <c r="AD240" i="1"/>
  <c r="AD100" i="1"/>
  <c r="AD147" i="1"/>
  <c r="AD42" i="1"/>
  <c r="AD65" i="1"/>
  <c r="AD161" i="1"/>
  <c r="AD223" i="1"/>
  <c r="AD97" i="1"/>
  <c r="AD79" i="1"/>
  <c r="AD152" i="1"/>
  <c r="AD128" i="1"/>
  <c r="AD230" i="1"/>
  <c r="AD341" i="1"/>
  <c r="AD52" i="1"/>
  <c r="AD18" i="1"/>
  <c r="AD111" i="1"/>
  <c r="AD25" i="1"/>
  <c r="AD35" i="1"/>
  <c r="AD241" i="1"/>
  <c r="AD26" i="1"/>
  <c r="AD330" i="1"/>
  <c r="AD346" i="1"/>
  <c r="AD208" i="1"/>
  <c r="AD115" i="1"/>
  <c r="AD246" i="1"/>
  <c r="AD296" i="1"/>
  <c r="AD333" i="1"/>
  <c r="AD186" i="1"/>
  <c r="AD40" i="1"/>
  <c r="AD90" i="1"/>
  <c r="AD191" i="1"/>
  <c r="AD316" i="1"/>
  <c r="AD41" i="1"/>
  <c r="AD182" i="1"/>
  <c r="AD73" i="1"/>
  <c r="AD33" i="1"/>
  <c r="AD193" i="1"/>
  <c r="AD66" i="1"/>
  <c r="AD119" i="1"/>
  <c r="AD83" i="1"/>
  <c r="AD106" i="1"/>
  <c r="AD9" i="1"/>
  <c r="AD116" i="1"/>
  <c r="AD64" i="1"/>
  <c r="AD135" i="1"/>
  <c r="AD225" i="1"/>
  <c r="AD272" i="1"/>
  <c r="AD238" i="1"/>
  <c r="AD149" i="1"/>
  <c r="AD270" i="1"/>
  <c r="AD290" i="1"/>
  <c r="AD323" i="1"/>
  <c r="AD355" i="1"/>
  <c r="AD195" i="1"/>
  <c r="AD117" i="1"/>
  <c r="AD322" i="1"/>
  <c r="AD276" i="1"/>
  <c r="AD347" i="1"/>
  <c r="AD253" i="1"/>
  <c r="AD203" i="1"/>
  <c r="AD185" i="1"/>
  <c r="AD163" i="1"/>
  <c r="AD349" i="1"/>
  <c r="AD88" i="1"/>
  <c r="AD71" i="1"/>
  <c r="AD34" i="1"/>
  <c r="AD140" i="1"/>
  <c r="AD213" i="1"/>
  <c r="AD236" i="1"/>
  <c r="AD243" i="1"/>
  <c r="AD282" i="1"/>
  <c r="AD255" i="1"/>
  <c r="AD212" i="1"/>
  <c r="AD275" i="1"/>
  <c r="AD287" i="1"/>
  <c r="AD237" i="1"/>
  <c r="AD165" i="1"/>
  <c r="AD304" i="1"/>
  <c r="AD57" i="1"/>
  <c r="AD48" i="1"/>
  <c r="AD137" i="1"/>
  <c r="AD229" i="1"/>
  <c r="AD321" i="1"/>
  <c r="AD362" i="1"/>
  <c r="AD174" i="1"/>
  <c r="AD192" i="1"/>
  <c r="AD113" i="1"/>
  <c r="AD131" i="1"/>
  <c r="AD159" i="1"/>
  <c r="AD175" i="1"/>
  <c r="AD49" i="1"/>
  <c r="AD87" i="1"/>
  <c r="AD153" i="1"/>
  <c r="AD227" i="1"/>
  <c r="AD239" i="1"/>
  <c r="AD264" i="1"/>
  <c r="AD199" i="1"/>
  <c r="AD211" i="1"/>
  <c r="AD248" i="1"/>
  <c r="AD69" i="1"/>
  <c r="AD231" i="1"/>
  <c r="AD353" i="1"/>
  <c r="AD172" i="1"/>
  <c r="AD249" i="1"/>
  <c r="AD329" i="1"/>
  <c r="AD361" i="1"/>
  <c r="AD284" i="1"/>
  <c r="AD299" i="1"/>
  <c r="AD214" i="1"/>
  <c r="AD221" i="1"/>
  <c r="AD32" i="1"/>
  <c r="AD280" i="1"/>
  <c r="AD278" i="1"/>
  <c r="AD104" i="1"/>
  <c r="AD89" i="1"/>
  <c r="AD10" i="1"/>
  <c r="AD63" i="1"/>
  <c r="AD127" i="1"/>
  <c r="AD150" i="1"/>
  <c r="AD151" i="1"/>
  <c r="AD207" i="1"/>
  <c r="AD217" i="1"/>
  <c r="AD273" i="1"/>
  <c r="AD156" i="1"/>
  <c r="AD168" i="1"/>
  <c r="AD305" i="1"/>
  <c r="AD337" i="1"/>
  <c r="AD176" i="1"/>
  <c r="AD222" i="1"/>
  <c r="AD146" i="1"/>
  <c r="AD122" i="1"/>
  <c r="AD99" i="1"/>
  <c r="AD289" i="1"/>
  <c r="AD336" i="1"/>
  <c r="AD233" i="1"/>
  <c r="AD331" i="1"/>
  <c r="AD72" i="1"/>
  <c r="AD136" i="1"/>
  <c r="AD8" i="1"/>
  <c r="AD132" i="1"/>
  <c r="AD143" i="1"/>
  <c r="AD129" i="1"/>
  <c r="AD198" i="1"/>
  <c r="AD103" i="1"/>
  <c r="AD126" i="1"/>
  <c r="AD281" i="1"/>
  <c r="AD242" i="1"/>
  <c r="AD265" i="1"/>
  <c r="AD67" i="1"/>
  <c r="AD309" i="1"/>
  <c r="AD263" i="1"/>
  <c r="AD258" i="1"/>
  <c r="AD354" i="1"/>
  <c r="AD277" i="1"/>
  <c r="AD120" i="1"/>
  <c r="AD142" i="1"/>
  <c r="AD16" i="1"/>
  <c r="AD31" i="1"/>
  <c r="AD20" i="1"/>
  <c r="AD28" i="1"/>
  <c r="AD177" i="1"/>
  <c r="AD197" i="1"/>
  <c r="AD46" i="1"/>
  <c r="AD181" i="1"/>
  <c r="AD196" i="1"/>
  <c r="AD367" i="1"/>
  <c r="AD254" i="1"/>
  <c r="AD313" i="1"/>
  <c r="AD345" i="1"/>
  <c r="AD269" i="1"/>
  <c r="AD320" i="1"/>
  <c r="AD36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<sst xmlns="http://schemas.openxmlformats.org/spreadsheetml/2006/main" count="4175" uniqueCount="4175">
  <si>
    <t>06/10/2025</t>
  </si>
  <si>
    <t>06/09/2025</t>
  </si>
  <si>
    <t>06/08/2025</t>
  </si>
  <si>
    <t>06/07/2025</t>
  </si>
  <si>
    <t>06/06/2025</t>
  </si>
  <si>
    <t>06/05/2025</t>
  </si>
  <si>
    <t>06/04/2025</t>
  </si>
  <si>
    <t>06/03/2025</t>
  </si>
  <si>
    <t>06/02/2025</t>
  </si>
  <si>
    <t>06/01/2025</t>
  </si>
  <si>
    <t>05/31/2025</t>
  </si>
  <si>
    <t>05/30/2025</t>
  </si>
  <si>
    <t>05/29/2025</t>
  </si>
  <si>
    <t>05/28/2025</t>
  </si>
  <si>
    <t>05/27/2025</t>
  </si>
  <si>
    <t>05/26/2025</t>
  </si>
  <si>
    <t>05/25/2025</t>
  </si>
  <si>
    <t>05/24/2025</t>
  </si>
  <si>
    <t>05/23/2025</t>
  </si>
  <si>
    <t>05/22/2025</t>
  </si>
  <si>
    <t>05/21/2025</t>
  </si>
  <si>
    <t>05/20/2025</t>
  </si>
  <si>
    <t>05/19/2025</t>
  </si>
  <si>
    <t>05/18/2025</t>
  </si>
  <si>
    <t>05/17/2025</t>
  </si>
  <si>
    <t>05/16/2025</t>
  </si>
  <si>
    <t>05/15/2025</t>
  </si>
  <si>
    <t>05/14/2025</t>
  </si>
  <si>
    <t>05/13/2025</t>
  </si>
  <si>
    <t>05/12/2025</t>
  </si>
  <si>
    <t>05/11/2025</t>
  </si>
  <si>
    <t>05/10/2025</t>
  </si>
  <si>
    <t>05/09/2025</t>
  </si>
  <si>
    <t>05/08/2025</t>
  </si>
  <si>
    <t>05/07/2025</t>
  </si>
  <si>
    <t>05/06/2025</t>
  </si>
  <si>
    <t>05/05/2025</t>
  </si>
  <si>
    <t>05/04/2025</t>
  </si>
  <si>
    <t>05/03/2025</t>
  </si>
  <si>
    <t>05/02/2025</t>
  </si>
  <si>
    <t>05/01/2025</t>
  </si>
  <si>
    <t>04/30/2025</t>
  </si>
  <si>
    <t>04/29/2025</t>
  </si>
  <si>
    <t>04/28/2025</t>
  </si>
  <si>
    <t>04/27/2025</t>
  </si>
  <si>
    <t>04/26/2025</t>
  </si>
  <si>
    <t>04/25/2025</t>
  </si>
  <si>
    <t>04/24/2025</t>
  </si>
  <si>
    <t>04/23/2025</t>
  </si>
  <si>
    <t>04/22/2025</t>
  </si>
  <si>
    <t>04/21/2025</t>
  </si>
  <si>
    <t>04/20/2025</t>
  </si>
  <si>
    <t>04/19/2025</t>
  </si>
  <si>
    <t>04/18/2025</t>
  </si>
  <si>
    <t>04/17/2025</t>
  </si>
  <si>
    <t>04/16/2025</t>
  </si>
  <si>
    <t>04/15/2025</t>
  </si>
  <si>
    <t>04/14/2025</t>
  </si>
  <si>
    <t>04/13/2025</t>
  </si>
  <si>
    <t>04/12/2025</t>
  </si>
  <si>
    <t>04/11/2025</t>
  </si>
  <si>
    <t>04/10/2025</t>
  </si>
  <si>
    <t>04/09/2025</t>
  </si>
  <si>
    <t>04/08/2025</t>
  </si>
  <si>
    <t>04/07/2025</t>
  </si>
  <si>
    <t>04/06/2025</t>
  </si>
  <si>
    <t>04/05/2025</t>
  </si>
  <si>
    <t>04/04/2025</t>
  </si>
  <si>
    <t>04/03/2025</t>
  </si>
  <si>
    <t>04/02/2025</t>
  </si>
  <si>
    <t>04/01/2025</t>
  </si>
  <si>
    <t>03/31/2025</t>
  </si>
  <si>
    <t>03/30/2025</t>
  </si>
  <si>
    <t>03/29/2025</t>
  </si>
  <si>
    <t>03/28/2025</t>
  </si>
  <si>
    <t>03/27/2025</t>
  </si>
  <si>
    <t>03/26/2025</t>
  </si>
  <si>
    <t>03/25/2025</t>
  </si>
  <si>
    <t>03/24/2025</t>
  </si>
  <si>
    <t>03/23/2025</t>
  </si>
  <si>
    <t>03/22/2025</t>
  </si>
  <si>
    <t>03/21/2025</t>
  </si>
  <si>
    <t>03/20/2025</t>
  </si>
  <si>
    <t>03/19/2025</t>
  </si>
  <si>
    <t>03/18/2025</t>
  </si>
  <si>
    <t>03/17/2025</t>
  </si>
  <si>
    <t>03/16/2025</t>
  </si>
  <si>
    <t>03/15/2025</t>
  </si>
  <si>
    <t>03/14/2025</t>
  </si>
  <si>
    <t>03/13/2025</t>
  </si>
  <si>
    <t>03/12/2025</t>
  </si>
  <si>
    <t>03/11/2025</t>
  </si>
  <si>
    <t>03/10/2025</t>
  </si>
  <si>
    <t>03/09/2025</t>
  </si>
  <si>
    <t>03/08/2025</t>
  </si>
  <si>
    <t>03/07/2025</t>
  </si>
  <si>
    <t>03/06/2025</t>
  </si>
  <si>
    <t>03/05/2025</t>
  </si>
  <si>
    <t>03/04/2025</t>
  </si>
  <si>
    <t>03/03/2025</t>
  </si>
  <si>
    <t>03/02/2025</t>
  </si>
  <si>
    <t>03/01/2025</t>
  </si>
  <si>
    <t>02/28/2025</t>
  </si>
  <si>
    <t>02/27/2025</t>
  </si>
  <si>
    <t>02/26/2025</t>
  </si>
  <si>
    <t>02/25/2025</t>
  </si>
  <si>
    <t>02/24/2025</t>
  </si>
  <si>
    <t>02/23/2025</t>
  </si>
  <si>
    <t>02/22/2025</t>
  </si>
  <si>
    <t>02/21/2025</t>
  </si>
  <si>
    <t>02/20/2025</t>
  </si>
  <si>
    <t>02/19/2025</t>
  </si>
  <si>
    <t>02/18/2025</t>
  </si>
  <si>
    <t>02/17/2025</t>
  </si>
  <si>
    <t>02/16/2025</t>
  </si>
  <si>
    <t>02/15/2025</t>
  </si>
  <si>
    <t>02/14/2025</t>
  </si>
  <si>
    <t>02/13/2025</t>
  </si>
  <si>
    <t>02/12/2025</t>
  </si>
  <si>
    <t>02/11/2025</t>
  </si>
  <si>
    <t>02/10/2025</t>
  </si>
  <si>
    <t>02/09/2025</t>
  </si>
  <si>
    <t>02/08/2025</t>
  </si>
  <si>
    <t>02/07/2025</t>
  </si>
  <si>
    <t>02/06/2025</t>
  </si>
  <si>
    <t>02/05/2025</t>
  </si>
  <si>
    <t>02/04/2025</t>
  </si>
  <si>
    <t>02/03/2025</t>
  </si>
  <si>
    <t>02/02/2025</t>
  </si>
  <si>
    <t>02/01/2025</t>
  </si>
  <si>
    <t>01/31/2025</t>
  </si>
  <si>
    <t>01/30/2025</t>
  </si>
  <si>
    <t>01/29/2025</t>
  </si>
  <si>
    <t>01/28/2025</t>
  </si>
  <si>
    <t>01/27/2025</t>
  </si>
  <si>
    <t>01/26/2025</t>
  </si>
  <si>
    <t>01/25/2025</t>
  </si>
  <si>
    <t>01/24/2025</t>
  </si>
  <si>
    <t>01/23/2025</t>
  </si>
  <si>
    <t>01/22/2025</t>
  </si>
  <si>
    <t>01/21/2025</t>
  </si>
  <si>
    <t>01/20/2025</t>
  </si>
  <si>
    <t>01/19/2025</t>
  </si>
  <si>
    <t>01/18/2025</t>
  </si>
  <si>
    <t>01/17/2025</t>
  </si>
  <si>
    <t>01/16/2025</t>
  </si>
  <si>
    <t>01/15/2025</t>
  </si>
  <si>
    <t>01/14/2025</t>
  </si>
  <si>
    <t>01/13/2025</t>
  </si>
  <si>
    <t>01/12/2025</t>
  </si>
  <si>
    <t>01/11/2025</t>
  </si>
  <si>
    <t>01/10/2025</t>
  </si>
  <si>
    <t>01/09/2025</t>
  </si>
  <si>
    <t>01/08/2025</t>
  </si>
  <si>
    <t>01/07/2025</t>
  </si>
  <si>
    <t>01/06/2025</t>
  </si>
  <si>
    <t>01/05/2025</t>
  </si>
  <si>
    <t>01/04/2025</t>
  </si>
  <si>
    <t>01/03/2025</t>
  </si>
  <si>
    <t>01/02/2025</t>
  </si>
  <si>
    <t>01/01/2025</t>
  </si>
  <si>
    <t>12/31/2024</t>
  </si>
  <si>
    <t>12/30/2024</t>
  </si>
  <si>
    <t>12/29/2024</t>
  </si>
  <si>
    <t>12/28/2024</t>
  </si>
  <si>
    <t>12/27/2024</t>
  </si>
  <si>
    <t>12/26/2024</t>
  </si>
  <si>
    <t>12/25/2024</t>
  </si>
  <si>
    <t>12/24/2024</t>
  </si>
  <si>
    <t>12/23/2024</t>
  </si>
  <si>
    <t>12/22/2024</t>
  </si>
  <si>
    <t>12/21/2024</t>
  </si>
  <si>
    <t>12/20/2024</t>
  </si>
  <si>
    <t>12/19/2024</t>
  </si>
  <si>
    <t>12/18/2024</t>
  </si>
  <si>
    <t>12/17/2024</t>
  </si>
  <si>
    <t>12/16/2024</t>
  </si>
  <si>
    <t>12/15/2024</t>
  </si>
  <si>
    <t>12/14/2024</t>
  </si>
  <si>
    <t>12/13/2024</t>
  </si>
  <si>
    <t>12/12/2024</t>
  </si>
  <si>
    <t>12/11/2024</t>
  </si>
  <si>
    <t>12/10/2024</t>
  </si>
  <si>
    <t>12/09/2024</t>
  </si>
  <si>
    <t>12/08/2024</t>
  </si>
  <si>
    <t>12/07/2024</t>
  </si>
  <si>
    <t>12/06/2024</t>
  </si>
  <si>
    <t>12/05/2024</t>
  </si>
  <si>
    <t>12/04/2024</t>
  </si>
  <si>
    <t>12/03/2024</t>
  </si>
  <si>
    <t>12/02/2024</t>
  </si>
  <si>
    <t>12/01/2024</t>
  </si>
  <si>
    <t>11/30/2024</t>
  </si>
  <si>
    <t>11/29/2024</t>
  </si>
  <si>
    <t>11/28/2024</t>
  </si>
  <si>
    <t>11/27/2024</t>
  </si>
  <si>
    <t>11/26/2024</t>
  </si>
  <si>
    <t>11/25/2024</t>
  </si>
  <si>
    <t>11/24/2024</t>
  </si>
  <si>
    <t>11/23/2024</t>
  </si>
  <si>
    <t>11/22/2024</t>
  </si>
  <si>
    <t>11/21/2024</t>
  </si>
  <si>
    <t>11/20/2024</t>
  </si>
  <si>
    <t>11/19/2024</t>
  </si>
  <si>
    <t>11/18/2024</t>
  </si>
  <si>
    <t>11/17/2024</t>
  </si>
  <si>
    <t>11/16/2024</t>
  </si>
  <si>
    <t>11/15/2024</t>
  </si>
  <si>
    <t>11/14/2024</t>
  </si>
  <si>
    <t>11/13/2024</t>
  </si>
  <si>
    <t>11/12/2024</t>
  </si>
  <si>
    <t>11/11/2024</t>
  </si>
  <si>
    <t>11/10/2024</t>
  </si>
  <si>
    <t>11/09/2024</t>
  </si>
  <si>
    <t>11/08/2024</t>
  </si>
  <si>
    <t>11/07/2024</t>
  </si>
  <si>
    <t>11/06/2024</t>
  </si>
  <si>
    <t>11/05/2024</t>
  </si>
  <si>
    <t>11/04/2024</t>
  </si>
  <si>
    <t>11/03/2024</t>
  </si>
  <si>
    <t>11/02/2024</t>
  </si>
  <si>
    <t>11/01/2024</t>
  </si>
  <si>
    <t>10/31/2024</t>
  </si>
  <si>
    <t>10/30/2024</t>
  </si>
  <si>
    <t>10/29/2024</t>
  </si>
  <si>
    <t>10/28/2024</t>
  </si>
  <si>
    <t>10/27/2024</t>
  </si>
  <si>
    <t>10/26/2024</t>
  </si>
  <si>
    <t>10/25/2024</t>
  </si>
  <si>
    <t>10/24/2024</t>
  </si>
  <si>
    <t>10/23/2024</t>
  </si>
  <si>
    <t>10/22/2024</t>
  </si>
  <si>
    <t>10/21/2024</t>
  </si>
  <si>
    <t>10/20/2024</t>
  </si>
  <si>
    <t>10/19/2024</t>
  </si>
  <si>
    <t>10/18/2024</t>
  </si>
  <si>
    <t>10/17/2024</t>
  </si>
  <si>
    <t>10/16/2024</t>
  </si>
  <si>
    <t>10/15/2024</t>
  </si>
  <si>
    <t>10/14/2024</t>
  </si>
  <si>
    <t>10/13/2024</t>
  </si>
  <si>
    <t>10/12/2024</t>
  </si>
  <si>
    <t>10/11/2024</t>
  </si>
  <si>
    <t>10/10/2024</t>
  </si>
  <si>
    <t>10/09/2024</t>
  </si>
  <si>
    <t>10/08/2024</t>
  </si>
  <si>
    <t>10/07/2024</t>
  </si>
  <si>
    <t>10/06/2024</t>
  </si>
  <si>
    <t>10/05/2024</t>
  </si>
  <si>
    <t>10/04/2024</t>
  </si>
  <si>
    <t>10/03/2024</t>
  </si>
  <si>
    <t>10/02/2024</t>
  </si>
  <si>
    <t>10/01/2024</t>
  </si>
  <si>
    <t>09/30/2024</t>
  </si>
  <si>
    <t>09/29/2024</t>
  </si>
  <si>
    <t>09/28/2024</t>
  </si>
  <si>
    <t>09/27/2024</t>
  </si>
  <si>
    <t>09/26/2024</t>
  </si>
  <si>
    <t>09/25/2024</t>
  </si>
  <si>
    <t>09/24/2024</t>
  </si>
  <si>
    <t>09/23/2024</t>
  </si>
  <si>
    <t>09/22/2024</t>
  </si>
  <si>
    <t>09/21/2024</t>
  </si>
  <si>
    <t>09/20/2024</t>
  </si>
  <si>
    <t>09/19/2024</t>
  </si>
  <si>
    <t>09/18/2024</t>
  </si>
  <si>
    <t>09/17/2024</t>
  </si>
  <si>
    <t>09/16/2024</t>
  </si>
  <si>
    <t>09/15/2024</t>
  </si>
  <si>
    <t>09/14/2024</t>
  </si>
  <si>
    <t>09/13/2024</t>
  </si>
  <si>
    <t>09/12/2024</t>
  </si>
  <si>
    <t>09/11/2024</t>
  </si>
  <si>
    <t>09/10/2024</t>
  </si>
  <si>
    <t>09/09/2024</t>
  </si>
  <si>
    <t>09/08/2024</t>
  </si>
  <si>
    <t>09/07/2024</t>
  </si>
  <si>
    <t>09/06/2024</t>
  </si>
  <si>
    <t>09/05/2024</t>
  </si>
  <si>
    <t>09/04/2024</t>
  </si>
  <si>
    <t>09/03/2024</t>
  </si>
  <si>
    <t>09/02/2024</t>
  </si>
  <si>
    <t>09/01/2024</t>
  </si>
  <si>
    <t>08/31/2024</t>
  </si>
  <si>
    <t>08/30/2024</t>
  </si>
  <si>
    <t>08/29/2024</t>
  </si>
  <si>
    <t>08/28/2024</t>
  </si>
  <si>
    <t>08/27/2024</t>
  </si>
  <si>
    <t>08/26/2024</t>
  </si>
  <si>
    <t>08/25/2024</t>
  </si>
  <si>
    <t>08/24/2024</t>
  </si>
  <si>
    <t>08/23/2024</t>
  </si>
  <si>
    <t>08/22/2024</t>
  </si>
  <si>
    <t>08/21/2024</t>
  </si>
  <si>
    <t>08/20/2024</t>
  </si>
  <si>
    <t>08/19/2024</t>
  </si>
  <si>
    <t>08/18/2024</t>
  </si>
  <si>
    <t>08/17/2024</t>
  </si>
  <si>
    <t>08/16/2024</t>
  </si>
  <si>
    <t>08/15/2024</t>
  </si>
  <si>
    <t>08/14/2024</t>
  </si>
  <si>
    <t>08/13/2024</t>
  </si>
  <si>
    <t>08/12/2024</t>
  </si>
  <si>
    <t>08/11/2024</t>
  </si>
  <si>
    <t>08/10/2024</t>
  </si>
  <si>
    <t>08/09/2024</t>
  </si>
  <si>
    <t>08/08/2024</t>
  </si>
  <si>
    <t>08/07/2024</t>
  </si>
  <si>
    <t>08/06/2024</t>
  </si>
  <si>
    <t>08/05/2024</t>
  </si>
  <si>
    <t>08/04/2024</t>
  </si>
  <si>
    <t>08/03/2024</t>
  </si>
  <si>
    <t>08/02/2024</t>
  </si>
  <si>
    <t>08/01/2024</t>
  </si>
  <si>
    <t>07/31/2024</t>
  </si>
  <si>
    <t>07/30/2024</t>
  </si>
  <si>
    <t>07/29/2024</t>
  </si>
  <si>
    <t>07/28/2024</t>
  </si>
  <si>
    <t>07/27/2024</t>
  </si>
  <si>
    <t>07/26/2024</t>
  </si>
  <si>
    <t>07/25/2024</t>
  </si>
  <si>
    <t>07/24/2024</t>
  </si>
  <si>
    <t>07/23/2024</t>
  </si>
  <si>
    <t>07/22/2024</t>
  </si>
  <si>
    <t>07/21/2024</t>
  </si>
  <si>
    <t>07/20/2024</t>
  </si>
  <si>
    <t>07/19/2024</t>
  </si>
  <si>
    <t>07/18/2024</t>
  </si>
  <si>
    <t>07/17/2024</t>
  </si>
  <si>
    <t>07/16/2024</t>
  </si>
  <si>
    <t>07/15/2024</t>
  </si>
  <si>
    <t>07/14/2024</t>
  </si>
  <si>
    <t>07/13/2024</t>
  </si>
  <si>
    <t>07/12/2024</t>
  </si>
  <si>
    <t>07/11/2024</t>
  </si>
  <si>
    <t>07/10/2024</t>
  </si>
  <si>
    <t>07/09/2024</t>
  </si>
  <si>
    <t>07/08/2024</t>
  </si>
  <si>
    <t>07/07/2024</t>
  </si>
  <si>
    <t>07/06/2024</t>
  </si>
  <si>
    <t>07/05/2024</t>
  </si>
  <si>
    <t>07/04/2024</t>
  </si>
  <si>
    <t>07/03/2024</t>
  </si>
  <si>
    <t>07/02/2024</t>
  </si>
  <si>
    <t>07/01/2024</t>
  </si>
  <si>
    <t>06/30/2024</t>
  </si>
  <si>
    <t>06/29/2024</t>
  </si>
  <si>
    <t>06/28/2024</t>
  </si>
  <si>
    <t>06/27/2024</t>
  </si>
  <si>
    <t>06/26/2024</t>
  </si>
  <si>
    <t>06/25/2024</t>
  </si>
  <si>
    <t>06/24/2024</t>
  </si>
  <si>
    <t>06/23/2024</t>
  </si>
  <si>
    <t>06/22/2024</t>
  </si>
  <si>
    <t>06/21/2024</t>
  </si>
  <si>
    <t>06/20/2024</t>
  </si>
  <si>
    <t>06/19/2024</t>
  </si>
  <si>
    <t>06/18/2024</t>
  </si>
  <si>
    <t>06/17/2024</t>
  </si>
  <si>
    <t>06/16/2024</t>
  </si>
  <si>
    <t>06/15/2024</t>
  </si>
  <si>
    <t>06/14/2024</t>
  </si>
  <si>
    <t>06/13/2024</t>
  </si>
  <si>
    <t>06/12/2024</t>
  </si>
  <si>
    <t>06/11/2024</t>
  </si>
  <si>
    <t>06/10/2024</t>
  </si>
  <si>
    <t>06/09/2024</t>
  </si>
  <si>
    <t>06/08/2024</t>
  </si>
  <si>
    <t>06/07/2024</t>
  </si>
  <si>
    <t>06/06/2024</t>
  </si>
  <si>
    <t>06/05/2024</t>
  </si>
  <si>
    <t>06/04/2024</t>
  </si>
  <si>
    <t>06/03/2024</t>
  </si>
  <si>
    <t>06/02/2024</t>
  </si>
  <si>
    <t>06/01/2024</t>
  </si>
  <si>
    <t>05/31/2024</t>
  </si>
  <si>
    <t>05/30/2024</t>
  </si>
  <si>
    <t>05/29/2024</t>
  </si>
  <si>
    <t>05/28/2024</t>
  </si>
  <si>
    <t>05/27/2024</t>
  </si>
  <si>
    <t>05/26/2024</t>
  </si>
  <si>
    <t>05/25/2024</t>
  </si>
  <si>
    <t>05/24/2024</t>
  </si>
  <si>
    <t>05/23/2024</t>
  </si>
  <si>
    <t>05/22/2024</t>
  </si>
  <si>
    <t>05/21/2024</t>
  </si>
  <si>
    <t>05/20/2024</t>
  </si>
  <si>
    <t>05/19/2024</t>
  </si>
  <si>
    <t>05/18/2024</t>
  </si>
  <si>
    <t>05/17/2024</t>
  </si>
  <si>
    <t>05/16/2024</t>
  </si>
  <si>
    <t>05/15/2024</t>
  </si>
  <si>
    <t>05/14/2024</t>
  </si>
  <si>
    <t>05/13/2024</t>
  </si>
  <si>
    <t>05/12/2024</t>
  </si>
  <si>
    <t>05/11/2024</t>
  </si>
  <si>
    <t>05/10/2024</t>
  </si>
  <si>
    <t>05/09/2024</t>
  </si>
  <si>
    <t>05/08/2024</t>
  </si>
  <si>
    <t>05/07/2024</t>
  </si>
  <si>
    <t>05/06/2024</t>
  </si>
  <si>
    <t>05/05/2024</t>
  </si>
  <si>
    <t>05/04/2024</t>
  </si>
  <si>
    <t>05/03/2024</t>
  </si>
  <si>
    <t>05/02/2024</t>
  </si>
  <si>
    <t>05/01/2024</t>
  </si>
  <si>
    <t>04/30/2024</t>
  </si>
  <si>
    <t>04/29/2024</t>
  </si>
  <si>
    <t>04/28/2024</t>
  </si>
  <si>
    <t>04/27/2024</t>
  </si>
  <si>
    <t>04/26/2024</t>
  </si>
  <si>
    <t>04/25/2024</t>
  </si>
  <si>
    <t>04/24/2024</t>
  </si>
  <si>
    <t>04/23/2024</t>
  </si>
  <si>
    <t>04/22/2024</t>
  </si>
  <si>
    <t>04/21/2024</t>
  </si>
  <si>
    <t>04/20/2024</t>
  </si>
  <si>
    <t>04/19/2024</t>
  </si>
  <si>
    <t>04/18/2024</t>
  </si>
  <si>
    <t>04/17/2024</t>
  </si>
  <si>
    <t>04/16/2024</t>
  </si>
  <si>
    <t>04/15/2024</t>
  </si>
  <si>
    <t>04/14/2024</t>
  </si>
  <si>
    <t>04/13/2024</t>
  </si>
  <si>
    <t>04/12/2024</t>
  </si>
  <si>
    <t>04/11/2024</t>
  </si>
  <si>
    <t>04/10/2024</t>
  </si>
  <si>
    <t>04/09/2024</t>
  </si>
  <si>
    <t>04/08/2024</t>
  </si>
  <si>
    <t>04/07/2024</t>
  </si>
  <si>
    <t>04/06/2024</t>
  </si>
  <si>
    <t>04/05/2024</t>
  </si>
  <si>
    <t>04/04/2024</t>
  </si>
  <si>
    <t>04/03/2024</t>
  </si>
  <si>
    <t>04/02/2024</t>
  </si>
  <si>
    <t>04/01/2024</t>
  </si>
  <si>
    <t>03/31/2024</t>
  </si>
  <si>
    <t>03/30/2024</t>
  </si>
  <si>
    <t>03/29/2024</t>
  </si>
  <si>
    <t>03/28/2024</t>
  </si>
  <si>
    <t>03/27/2024</t>
  </si>
  <si>
    <t>03/26/2024</t>
  </si>
  <si>
    <t>03/25/2024</t>
  </si>
  <si>
    <t>03/24/2024</t>
  </si>
  <si>
    <t>03/23/2024</t>
  </si>
  <si>
    <t>03/22/2024</t>
  </si>
  <si>
    <t>03/21/2024</t>
  </si>
  <si>
    <t>03/20/2024</t>
  </si>
  <si>
    <t>03/19/2024</t>
  </si>
  <si>
    <t>03/18/2024</t>
  </si>
  <si>
    <t>03/17/2024</t>
  </si>
  <si>
    <t>03/16/2024</t>
  </si>
  <si>
    <t>03/15/2024</t>
  </si>
  <si>
    <t>03/14/2024</t>
  </si>
  <si>
    <t>03/13/2024</t>
  </si>
  <si>
    <t>03/12/2024</t>
  </si>
  <si>
    <t>03/11/2024</t>
  </si>
  <si>
    <t>03/10/2024</t>
  </si>
  <si>
    <t>03/09/2024</t>
  </si>
  <si>
    <t>03/08/2024</t>
  </si>
  <si>
    <t>03/07/2024</t>
  </si>
  <si>
    <t>03/06/2024</t>
  </si>
  <si>
    <t>03/05/2024</t>
  </si>
  <si>
    <t>03/04/2024</t>
  </si>
  <si>
    <t>03/03/2024</t>
  </si>
  <si>
    <t>03/02/2024</t>
  </si>
  <si>
    <t>03/01/2024</t>
  </si>
  <si>
    <t>02/28/2024</t>
  </si>
  <si>
    <t>02/27/2024</t>
  </si>
  <si>
    <t>02/26/2024</t>
  </si>
  <si>
    <t>02/25/2024</t>
  </si>
  <si>
    <t>02/24/2024</t>
  </si>
  <si>
    <t>02/23/2024</t>
  </si>
  <si>
    <t>02/22/2024</t>
  </si>
  <si>
    <t>02/21/2024</t>
  </si>
  <si>
    <t>02/20/2024</t>
  </si>
  <si>
    <t>02/19/2024</t>
  </si>
  <si>
    <t>02/18/2024</t>
  </si>
  <si>
    <t>02/17/2024</t>
  </si>
  <si>
    <t>02/16/2024</t>
  </si>
  <si>
    <t>02/15/2024</t>
  </si>
  <si>
    <t>02/14/2024</t>
  </si>
  <si>
    <t>02/13/2024</t>
  </si>
  <si>
    <t>02/12/2024</t>
  </si>
  <si>
    <t>02/11/2024</t>
  </si>
  <si>
    <t>02/10/2024</t>
  </si>
  <si>
    <t>02/09/2024</t>
  </si>
  <si>
    <t>02/08/2024</t>
  </si>
  <si>
    <t>02/07/2024</t>
  </si>
  <si>
    <t>02/06/2024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</si>
  <si>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</si>
  <si>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</si>
  <si>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</si>
  <si>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</si>
  <si>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</si>
  <si>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</si>
  <si>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</si>
  <si>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</si>
  <si>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</si>
  <si>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01/27/2024</t>
  </si>
  <si>
    <t>01/26/2024</t>
  </si>
  <si>
    <t>01/25/2024</t>
  </si>
  <si>
    <t>01/24/2024</t>
  </si>
  <si>
    <t>01/23/2024</t>
  </si>
  <si>
    <t>01/22/2024</t>
  </si>
  <si>
    <t>01/21/2024</t>
  </si>
  <si>
    <t>01/20/2024</t>
  </si>
  <si>
    <t>01/19/2024</t>
  </si>
  <si>
    <t>01/18/2024</t>
  </si>
  <si>
    <t>01/17/2024</t>
  </si>
  <si>
    <t>01/16/2024</t>
  </si>
  <si>
    <t>01/15/2024</t>
  </si>
  <si>
    <t>01/14/2024</t>
  </si>
  <si>
    <t>01/13/2024</t>
  </si>
  <si>
    <t>01/12/2024</t>
  </si>
  <si>
    <t>01/11/2024</t>
  </si>
  <si>
    <t>01/10/2024</t>
  </si>
  <si>
    <t>01/09/2024</t>
  </si>
  <si>
    <t>01/08/2024</t>
  </si>
  <si>
    <t>01/07/2024</t>
  </si>
  <si>
    <t>01/06/2024</t>
  </si>
  <si>
    <t>01/05/2024</t>
  </si>
  <si>
    <t>01/04/2024</t>
  </si>
  <si>
    <t>01/03/2024</t>
  </si>
  <si>
    <t>01/02/2024</t>
  </si>
  <si>
    <t>01/01/2024</t>
  </si>
  <si>
    <t>12/31/2023</t>
  </si>
  <si>
    <t>12/30/2023</t>
  </si>
  <si>
    <t>12/29/2023</t>
  </si>
  <si>
    <t>12/28/2023</t>
  </si>
  <si>
    <t>12/27/2023</t>
  </si>
  <si>
    <t>12/26/2023</t>
  </si>
  <si>
    <t>12/25/2023</t>
  </si>
  <si>
    <t>12/24/2023</t>
  </si>
  <si>
    <t>12/23/2023</t>
  </si>
  <si>
    <t>12/22/2023</t>
  </si>
  <si>
    <t>12/21/2023</t>
  </si>
  <si>
    <t>12/20/2023</t>
  </si>
  <si>
    <t>12/19/2023</t>
  </si>
  <si>
    <t>12/18/2023</t>
  </si>
  <si>
    <t>12/17/2023</t>
  </si>
  <si>
    <t>12/16/2023</t>
  </si>
  <si>
    <t>12/15/2023</t>
  </si>
  <si>
    <t>12/14/2023</t>
  </si>
  <si>
    <t>12/13/2023</t>
  </si>
  <si>
    <t>12/12/2023</t>
  </si>
  <si>
    <t>12/11/2023</t>
  </si>
  <si>
    <t>12/10/2023</t>
  </si>
  <si>
    <t>12/09/2023</t>
  </si>
  <si>
    <t>12/08/2023</t>
  </si>
  <si>
    <t>12/07/2023</t>
  </si>
  <si>
    <t>12/06/2023</t>
  </si>
  <si>
    <t>12/05/2023</t>
  </si>
  <si>
    <t>12/04/2023</t>
  </si>
  <si>
    <t>12/03/2023</t>
  </si>
  <si>
    <t>12/02/2023</t>
  </si>
  <si>
    <t>12/01/2023</t>
  </si>
  <si>
    <t>11/30/2023</t>
  </si>
  <si>
    <t>11/29/2023</t>
  </si>
  <si>
    <t>11/28/2023</t>
  </si>
  <si>
    <t>11/27/2023</t>
  </si>
  <si>
    <t>11/26/2023</t>
  </si>
  <si>
    <t>11/25/2023</t>
  </si>
  <si>
    <t>11/24/2023</t>
  </si>
  <si>
    <t>11/23/2023</t>
  </si>
  <si>
    <t>11/22/2023</t>
  </si>
  <si>
    <t>11/21/2023</t>
  </si>
  <si>
    <t>11/20/2023</t>
  </si>
  <si>
    <t>11/19/2023</t>
  </si>
  <si>
    <t>11/18/2023</t>
  </si>
  <si>
    <t>11/17/2023</t>
  </si>
  <si>
    <t>11/16/2023</t>
  </si>
  <si>
    <t>11/15/2023</t>
  </si>
  <si>
    <t>11/14/2023</t>
  </si>
  <si>
    <t>11/13/2023</t>
  </si>
  <si>
    <t>11/12/2023</t>
  </si>
  <si>
    <t>11/11/2023</t>
  </si>
  <si>
    <t>11/10/2023</t>
  </si>
  <si>
    <t>11/09/2023</t>
  </si>
  <si>
    <t>11/08/2023</t>
  </si>
  <si>
    <t>11/07/2023</t>
  </si>
  <si>
    <t>11/06/2023</t>
  </si>
  <si>
    <t>11/05/2023</t>
  </si>
  <si>
    <t>11/04/2023</t>
  </si>
  <si>
    <t>11/03/2023</t>
  </si>
  <si>
    <t>11/02/2023</t>
  </si>
  <si>
    <t>11/01/2023</t>
  </si>
  <si>
    <t>10/31/2023</t>
  </si>
  <si>
    <t>10/30/2023</t>
  </si>
  <si>
    <t>10/29/2023</t>
  </si>
  <si>
    <t>10/28/2023</t>
  </si>
  <si>
    <t>10/27/2023</t>
  </si>
  <si>
    <t>10/26/2023</t>
  </si>
  <si>
    <t>10/25/2023</t>
  </si>
  <si>
    <t>10/24/2023</t>
  </si>
  <si>
    <t>10/23/2023</t>
  </si>
  <si>
    <t>10/22/2023</t>
  </si>
  <si>
    <t>10/21/2023</t>
  </si>
  <si>
    <t>10/20/2023</t>
  </si>
  <si>
    <t>10/19/2023</t>
  </si>
  <si>
    <t>10/18/2023</t>
  </si>
  <si>
    <t>10/17/2023</t>
  </si>
  <si>
    <t>10/16/2023</t>
  </si>
  <si>
    <t>10/15/2023</t>
  </si>
  <si>
    <t>10/14/2023</t>
  </si>
  <si>
    <t>10/13/2023</t>
  </si>
  <si>
    <t>10/12/2023</t>
  </si>
  <si>
    <t>10/11/2023</t>
  </si>
  <si>
    <t>10/10/2023</t>
  </si>
  <si>
    <t>10/09/2023</t>
  </si>
  <si>
    <t>10/08/2023</t>
  </si>
  <si>
    <t>10/07/2023</t>
  </si>
  <si>
    <t>10/06/2023</t>
  </si>
  <si>
    <t>10/05/2023</t>
  </si>
  <si>
    <t>10/04/2023</t>
  </si>
  <si>
    <t>10/03/2023</t>
  </si>
  <si>
    <t>10/02/2023</t>
  </si>
  <si>
    <t>10/01/2023</t>
  </si>
  <si>
    <t>09/30/2023</t>
  </si>
  <si>
    <t>09/29/2023</t>
  </si>
  <si>
    <t>09/28/2023</t>
  </si>
  <si>
    <t>09/27/2023</t>
  </si>
  <si>
    <t>09/26/2023</t>
  </si>
  <si>
    <t>09/25/2023</t>
  </si>
  <si>
    <t>09/24/2023</t>
  </si>
  <si>
    <t>09/23/2023</t>
  </si>
  <si>
    <t>09/22/2023</t>
  </si>
  <si>
    <t>09/21/2023</t>
  </si>
  <si>
    <t>09/20/2023</t>
  </si>
  <si>
    <t>09/19/2023</t>
  </si>
  <si>
    <t>09/18/2023</t>
  </si>
  <si>
    <t>09/17/2023</t>
  </si>
  <si>
    <t>09/16/2023</t>
  </si>
  <si>
    <t>09/15/2023</t>
  </si>
  <si>
    <t>09/14/2023</t>
  </si>
  <si>
    <t>09/13/2023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</si>
  <si>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</si>
  <si>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</si>
  <si>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</si>
  <si>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</si>
  <si>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</si>
  <si>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</si>
  <si>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</si>
  <si>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</si>
  <si>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09/04/2023</t>
  </si>
  <si>
    <t>09/03/2023</t>
  </si>
  <si>
    <t>09/02/2023</t>
  </si>
  <si>
    <t>09/01/2023</t>
  </si>
  <si>
    <t>08/31/2023</t>
  </si>
  <si>
    <t>08/30/2023</t>
  </si>
  <si>
    <t>08/29/2023</t>
  </si>
  <si>
    <t>08/28/2023</t>
  </si>
  <si>
    <t>08/27/2023</t>
  </si>
  <si>
    <t>08/26/2023</t>
  </si>
  <si>
    <t>08/25/2023</t>
  </si>
  <si>
    <t>08/24/2023</t>
  </si>
  <si>
    <t>08/23/2023</t>
  </si>
  <si>
    <t>08/22/2023</t>
  </si>
  <si>
    <t>08/21/2023</t>
  </si>
  <si>
    <t>08/20/2023</t>
  </si>
  <si>
    <t>08/19/2023</t>
  </si>
  <si>
    <t>08/18/2023</t>
  </si>
  <si>
    <t>08/17/2023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</si>
  <si>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</si>
  <si>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</si>
  <si>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</si>
  <si>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</si>
  <si>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</si>
  <si>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</si>
  <si>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</si>
  <si>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</si>
  <si>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</si>
  <si>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</si>
  <si>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08/06/2023</t>
  </si>
  <si>
    <t>08/05/2023</t>
  </si>
  <si>
    <t>08/04/2023</t>
  </si>
  <si>
    <t>08/03/2023</t>
  </si>
  <si>
    <t>08/02/2023</t>
  </si>
  <si>
    <t>08/01/2023</t>
  </si>
  <si>
    <t>07/31/2023</t>
  </si>
  <si>
    <t>07/30/2023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</si>
  <si>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</si>
  <si>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</si>
  <si>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</si>
  <si>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</si>
  <si>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</si>
  <si>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</si>
  <si>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</si>
  <si>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07/22/2023</t>
  </si>
  <si>
    <t>07/21/2023</t>
  </si>
  <si>
    <t>07/20/2023</t>
  </si>
  <si>
    <t>07/19/2023</t>
  </si>
  <si>
    <t>07/18/2023</t>
  </si>
  <si>
    <t>07/17/2023</t>
  </si>
  <si>
    <t>07/16/2023</t>
  </si>
  <si>
    <t>07/15/2023</t>
  </si>
  <si>
    <t>07/14/2023</t>
  </si>
  <si>
    <t>07/13/2023</t>
  </si>
  <si>
    <t>07/12/2023</t>
  </si>
  <si>
    <t>07/11/2023</t>
  </si>
  <si>
    <t>07/10/2023</t>
  </si>
  <si>
    <t>07/09/2023</t>
  </si>
  <si>
    <t>07/08/2023</t>
  </si>
  <si>
    <t>07/07/2023</t>
  </si>
  <si>
    <t>07/06/2023</t>
  </si>
  <si>
    <t>07/05/2023</t>
  </si>
  <si>
    <t>07/04/2023</t>
  </si>
  <si>
    <t>07/03/2023</t>
  </si>
  <si>
    <t>07/02/2023</t>
  </si>
  <si>
    <t>07/01/2023</t>
  </si>
  <si>
    <t>06/30/2023</t>
  </si>
  <si>
    <t>06/29/2023</t>
  </si>
  <si>
    <t>06/28/2023</t>
  </si>
  <si>
    <t>06/27/2023</t>
  </si>
  <si>
    <t>06/26/2023</t>
  </si>
  <si>
    <t>06/25/2023</t>
  </si>
  <si>
    <t>06/24/2023</t>
  </si>
  <si>
    <t>06/23/2023</t>
  </si>
  <si>
    <t>06/22/2023</t>
  </si>
  <si>
    <t>06/21/2023</t>
  </si>
  <si>
    <t>06/20/2023</t>
  </si>
  <si>
    <t>06/19/2023</t>
  </si>
  <si>
    <t>06/18/2023</t>
  </si>
  <si>
    <t>06/17/2023</t>
  </si>
  <si>
    <t>06/16/2023</t>
  </si>
  <si>
    <t>06/15/2023</t>
  </si>
  <si>
    <t>06/14/2023</t>
  </si>
  <si>
    <t>06/13/2023</t>
  </si>
  <si>
    <t>06/12/2023</t>
  </si>
  <si>
    <t>06/11/2023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</si>
  <si>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</si>
  <si>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</si>
  <si>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</si>
  <si>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</si>
  <si>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</si>
  <si>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</si>
  <si>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</si>
  <si>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06/03/2023</t>
  </si>
  <si>
    <t>06/02/2023</t>
  </si>
  <si>
    <t>06/01/2023</t>
  </si>
  <si>
    <t>05/31/2023</t>
  </si>
  <si>
    <t>05/30/2023</t>
  </si>
  <si>
    <t>05/29/2023</t>
  </si>
  <si>
    <t>05/28/2023</t>
  </si>
  <si>
    <t>05/27/2023</t>
  </si>
  <si>
    <t>05/26/2023</t>
  </si>
  <si>
    <t>05/25/2023</t>
  </si>
  <si>
    <t>05/24/2023</t>
  </si>
  <si>
    <t>05/23/2023</t>
  </si>
  <si>
    <t>05/22/2023</t>
  </si>
  <si>
    <t>05/21/2023</t>
  </si>
  <si>
    <t>05/20/2023</t>
  </si>
  <si>
    <t>05/19/2023</t>
  </si>
  <si>
    <t>05/18/2023</t>
  </si>
  <si>
    <t>05/17/2023</t>
  </si>
  <si>
    <t>05/16/2023</t>
  </si>
  <si>
    <t>05/15/2023</t>
  </si>
  <si>
    <t>05/14/2023</t>
  </si>
  <si>
    <t>05/13/2023</t>
  </si>
  <si>
    <t>05/12/2023</t>
  </si>
  <si>
    <t>05/11/2023</t>
  </si>
  <si>
    <t>05/10/2023</t>
  </si>
  <si>
    <t>05/09/2023</t>
  </si>
  <si>
    <t>05/08/2023</t>
  </si>
  <si>
    <t>05/07/2023</t>
  </si>
  <si>
    <t>05/06/2023</t>
  </si>
  <si>
    <t>05/05/2023</t>
  </si>
  <si>
    <t>05/04/2023</t>
  </si>
  <si>
    <t>05/03/2023</t>
  </si>
  <si>
    <t>05/02/2023</t>
  </si>
  <si>
    <t>05/01/2023</t>
  </si>
  <si>
    <t>04/30/2023</t>
  </si>
  <si>
    <t>04/29/2023</t>
  </si>
  <si>
    <t>04/28/2023</t>
  </si>
  <si>
    <t>04/27/2023</t>
  </si>
  <si>
    <t>04/26/2023</t>
  </si>
  <si>
    <t>04/25/2023</t>
  </si>
  <si>
    <t>04/24/2023</t>
  </si>
  <si>
    <t>04/23/2023</t>
  </si>
  <si>
    <t>04/22/2023</t>
  </si>
  <si>
    <t>04/21/2023</t>
  </si>
  <si>
    <t>04/20/2023</t>
  </si>
  <si>
    <t>04/19/2023</t>
  </si>
  <si>
    <t>04/18/2023</t>
  </si>
  <si>
    <t>04/17/2023</t>
  </si>
  <si>
    <t>04/16/2023</t>
  </si>
  <si>
    <t>04/15/2023</t>
  </si>
  <si>
    <t>04/14/2023</t>
  </si>
  <si>
    <t>04/13/2023</t>
  </si>
  <si>
    <t>04/12/2023</t>
  </si>
  <si>
    <t>04/11/2023</t>
  </si>
  <si>
    <t>04/10/2023</t>
  </si>
  <si>
    <t>04/09/2023</t>
  </si>
  <si>
    <t>04/08/2023</t>
  </si>
  <si>
    <t>04/07/2023</t>
  </si>
  <si>
    <t>04/06/2023</t>
  </si>
  <si>
    <t>04/05/2023</t>
  </si>
  <si>
    <t>04/04/2023</t>
  </si>
  <si>
    <t>04/03/2023</t>
  </si>
  <si>
    <t>04/02/2023</t>
  </si>
  <si>
    <t>04/01/2023</t>
  </si>
  <si>
    <t>03/31/2023</t>
  </si>
  <si>
    <t>03/30/2023</t>
  </si>
  <si>
    <t>03/29/2023</t>
  </si>
  <si>
    <t>03/28/2023</t>
  </si>
  <si>
    <t>03/27/2023</t>
  </si>
  <si>
    <t>03/26/2023</t>
  </si>
  <si>
    <t>03/25/2023</t>
  </si>
  <si>
    <t>03/24/2023</t>
  </si>
  <si>
    <t>03/23/2023</t>
  </si>
  <si>
    <t>03/22/2023</t>
  </si>
  <si>
    <t>03/21/2023</t>
  </si>
  <si>
    <t>03/20/2023</t>
  </si>
  <si>
    <t>03/19/2023</t>
  </si>
  <si>
    <t>03/18/2023</t>
  </si>
  <si>
    <t>03/17/2023</t>
  </si>
  <si>
    <t>03/16/2023</t>
  </si>
  <si>
    <t>03/15/2023</t>
  </si>
  <si>
    <t>03/14/2023</t>
  </si>
  <si>
    <t>03/13/2023</t>
  </si>
  <si>
    <t>03/12/2023</t>
  </si>
  <si>
    <t>03/11/2023</t>
  </si>
  <si>
    <t>03/10/2023</t>
  </si>
  <si>
    <t>03/09/2023</t>
  </si>
  <si>
    <t>03/08/2023</t>
  </si>
  <si>
    <t>03/07/2023</t>
  </si>
  <si>
    <t>03/06/2023</t>
  </si>
  <si>
    <t>03/05/2023</t>
  </si>
  <si>
    <t>03/04/2023</t>
  </si>
  <si>
    <t>03/03/2023</t>
  </si>
  <si>
    <t>03/02/2023</t>
  </si>
  <si>
    <t>03/01/2023</t>
  </si>
  <si>
    <t>02/28/2023</t>
  </si>
  <si>
    <t>02/27/2023</t>
  </si>
  <si>
    <t>02/26/2023</t>
  </si>
  <si>
    <t>02/25/2023</t>
  </si>
  <si>
    <t>02/24/2023</t>
  </si>
  <si>
    <t>02/23/2023</t>
  </si>
  <si>
    <t>02/22/2023</t>
  </si>
  <si>
    <t>02/21/2023</t>
  </si>
  <si>
    <t>02/20/2023</t>
  </si>
  <si>
    <t>02/19/2023</t>
  </si>
  <si>
    <t>02/18/2023</t>
  </si>
  <si>
    <t>02/17/2023</t>
  </si>
  <si>
    <t>02/16/2023</t>
  </si>
  <si>
    <t>02/15/2023</t>
  </si>
  <si>
    <t>02/14/2023</t>
  </si>
  <si>
    <t>02/13/2023</t>
  </si>
  <si>
    <t>02/12/2023</t>
  </si>
  <si>
    <t>02/11/2023</t>
  </si>
  <si>
    <t>02/10/2023</t>
  </si>
  <si>
    <t>02/09/2023</t>
  </si>
  <si>
    <t>02/08/2023</t>
  </si>
  <si>
    <t>02/07/2023</t>
  </si>
  <si>
    <t>02/06/2023</t>
  </si>
  <si>
    <t>02/05/2023</t>
  </si>
  <si>
    <t>02/04/2023</t>
  </si>
  <si>
    <t>02/03/2023</t>
  </si>
  <si>
    <t>02/02/2023</t>
  </si>
  <si>
    <t>02/01/2023</t>
  </si>
  <si>
    <t>01/31/2023</t>
  </si>
  <si>
    <t>01/30/2023</t>
  </si>
  <si>
    <t>01/29/2023</t>
  </si>
  <si>
    <t>01/28/2023</t>
  </si>
  <si>
    <t>01/27/2023</t>
  </si>
  <si>
    <t>01/26/2023</t>
  </si>
  <si>
    <t>01/25/2023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</si>
  <si>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</si>
  <si>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</si>
  <si>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</si>
  <si>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</si>
  <si>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</si>
  <si>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</si>
  <si>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</si>
  <si>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</si>
  <si>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01/16/2023</t>
  </si>
  <si>
    <t>01/15/2023</t>
  </si>
  <si>
    <t>01/14/2023</t>
  </si>
  <si>
    <t>01/13/2023</t>
  </si>
  <si>
    <t>01/12/2023</t>
  </si>
  <si>
    <t>01/11/2023</t>
  </si>
  <si>
    <t>01/10/2023</t>
  </si>
  <si>
    <t>01/09/2023</t>
  </si>
  <si>
    <t>01/08/2023</t>
  </si>
  <si>
    <t>01/07/2023</t>
  </si>
  <si>
    <t>01/06/2023</t>
  </si>
  <si>
    <t>01/05/2023</t>
  </si>
  <si>
    <t>01/04/2023</t>
  </si>
  <si>
    <t>01/03/2023</t>
  </si>
  <si>
    <t>01/02/2023</t>
  </si>
  <si>
    <t>01/01/2023</t>
  </si>
  <si>
    <t>12/31/2022</t>
  </si>
  <si>
    <t>12/30/2022</t>
  </si>
  <si>
    <t>12/29/2022</t>
  </si>
  <si>
    <t>12/28/2022</t>
  </si>
  <si>
    <t>12/27/2022</t>
  </si>
  <si>
    <t>12/26/2022</t>
  </si>
  <si>
    <t>12/25/2022</t>
  </si>
  <si>
    <t>12/24/2022</t>
  </si>
  <si>
    <t>12/23/2022</t>
  </si>
  <si>
    <t>12/22/2022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</si>
  <si>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</si>
  <si>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</si>
  <si>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</si>
  <si>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</si>
  <si>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</si>
  <si>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</si>
  <si>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</si>
  <si>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</si>
  <si>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</si>
  <si>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</si>
  <si>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12/11/2022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</si>
  <si>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</si>
  <si>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</si>
  <si>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</si>
  <si>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</si>
  <si>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</si>
  <si>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</si>
  <si>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</si>
  <si>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12/03/2022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</si>
  <si>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</si>
  <si>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</si>
  <si>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</si>
  <si>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</si>
  <si>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</si>
  <si>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</si>
  <si>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</si>
  <si>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11/25/2022</t>
  </si>
  <si>
    <t>11/24/2022</t>
  </si>
  <si>
    <t>11/23/2022</t>
  </si>
  <si>
    <t>11/22/2022</t>
  </si>
  <si>
    <t>11/21/2022</t>
  </si>
  <si>
    <t>11/20/2022</t>
  </si>
  <si>
    <t>11/19/2022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</si>
  <si>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</si>
  <si>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</si>
  <si>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</si>
  <si>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</si>
  <si>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</si>
  <si>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</si>
  <si>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</si>
  <si>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</si>
  <si>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</si>
  <si>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</si>
  <si>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</si>
  <si>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</si>
  <si>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</si>
  <si>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</si>
  <si>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</si>
  <si>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</si>
  <si>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</si>
  <si>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</si>
  <si>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</si>
  <si>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</si>
  <si>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</si>
  <si>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</si>
  <si>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</si>
  <si>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</si>
  <si>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</si>
  <si>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</si>
  <si>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</si>
  <si>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10/22/2022</t>
  </si>
  <si>
    <t>10/21/2022</t>
  </si>
  <si>
    <t>10/20/2022</t>
  </si>
  <si>
    <t>10/19/2022</t>
  </si>
  <si>
    <t>10/18/2022</t>
  </si>
  <si>
    <t>10/17/2022</t>
  </si>
  <si>
    <t>10/16/2022</t>
  </si>
  <si>
    <t>10/15/2022</t>
  </si>
  <si>
    <t>10/14/2022</t>
  </si>
  <si>
    <t>10/13/2022</t>
  </si>
  <si>
    <t>10/12/2022</t>
  </si>
  <si>
    <t>10/11/2022</t>
  </si>
  <si>
    <t>10/10/2022</t>
  </si>
  <si>
    <t>10/09/2022</t>
  </si>
  <si>
    <t>10/08/2022</t>
  </si>
  <si>
    <t>10/07/2022</t>
  </si>
  <si>
    <t>10/06/2022</t>
  </si>
  <si>
    <t>10/05/2022</t>
  </si>
  <si>
    <t>10/04/2022</t>
  </si>
  <si>
    <t>10/03/2022</t>
  </si>
  <si>
    <t>10/02/2022</t>
  </si>
  <si>
    <t>10/01/2022</t>
  </si>
  <si>
    <t>09/30/2022</t>
  </si>
  <si>
    <t>09/29/2022</t>
  </si>
  <si>
    <t>09/28/2022</t>
  </si>
  <si>
    <t>09/27/2022</t>
  </si>
  <si>
    <t>09/26/2022</t>
  </si>
  <si>
    <t>09/25/2022</t>
  </si>
  <si>
    <t>09/24/2022</t>
  </si>
  <si>
    <t>09/23/2022</t>
  </si>
  <si>
    <t>09/22/2022</t>
  </si>
  <si>
    <t>09/21/2022</t>
  </si>
  <si>
    <t>09/20/2022</t>
  </si>
  <si>
    <t>09/19/2022</t>
  </si>
  <si>
    <t>09/18/2022</t>
  </si>
  <si>
    <t>09/17/2022</t>
  </si>
  <si>
    <t>09/16/2022</t>
  </si>
  <si>
    <t>09/15/2022</t>
  </si>
  <si>
    <t>09/14/2022</t>
  </si>
  <si>
    <t>09/13/2022</t>
  </si>
  <si>
    <t>09/12/2022</t>
  </si>
  <si>
    <t>09/11/2022</t>
  </si>
  <si>
    <t>09/10/2022</t>
  </si>
  <si>
    <t>09/09/2022</t>
  </si>
  <si>
    <t>09/08/2022</t>
  </si>
  <si>
    <t>09/07/2022</t>
  </si>
  <si>
    <t>09/06/2022</t>
  </si>
  <si>
    <t>09/05/2022</t>
  </si>
  <si>
    <t>09/04/2022</t>
  </si>
  <si>
    <t>09/03/2022</t>
  </si>
  <si>
    <t>09/02/2022</t>
  </si>
  <si>
    <t>09/01/2022</t>
  </si>
  <si>
    <t>08/31/2022</t>
  </si>
  <si>
    <t>08/30/2022</t>
  </si>
  <si>
    <t>08/29/2022</t>
  </si>
  <si>
    <t>08/28/2022</t>
  </si>
  <si>
    <t>08/27/2022</t>
  </si>
  <si>
    <t>08/26/2022</t>
  </si>
  <si>
    <t>08/25/2022</t>
  </si>
  <si>
    <t>08/24/2022</t>
  </si>
  <si>
    <t>08/23/2022</t>
  </si>
  <si>
    <t>08/22/2022</t>
  </si>
  <si>
    <t>08/21/2022</t>
  </si>
  <si>
    <t>08/20/2022</t>
  </si>
  <si>
    <t>08/19/2022</t>
  </si>
  <si>
    <t>08/18/2022</t>
  </si>
  <si>
    <t>08/17/2022</t>
  </si>
  <si>
    <t>08/16/2022</t>
  </si>
  <si>
    <t>08/15/2022</t>
  </si>
  <si>
    <t>08/14/2022</t>
  </si>
  <si>
    <t>08/13/2022</t>
  </si>
  <si>
    <t>08/12/2022</t>
  </si>
  <si>
    <t>08/11/2022</t>
  </si>
  <si>
    <t>08/10/2022</t>
  </si>
  <si>
    <t>08/09/2022</t>
  </si>
  <si>
    <t>08/08/2022</t>
  </si>
  <si>
    <t>08/07/2022</t>
  </si>
  <si>
    <t>08/06/2022</t>
  </si>
  <si>
    <t>08/05/2022</t>
  </si>
  <si>
    <t>08/04/2022</t>
  </si>
  <si>
    <t>08/03/2022</t>
  </si>
  <si>
    <t>08/02/2022</t>
  </si>
  <si>
    <t>08/01/2022</t>
  </si>
  <si>
    <t>07/31/2022</t>
  </si>
  <si>
    <t>07/30/2022</t>
  </si>
  <si>
    <t>07/29/2022</t>
  </si>
  <si>
    <t>07/28/2022</t>
  </si>
  <si>
    <t>07/27/2022</t>
  </si>
  <si>
    <t>07/26/2022</t>
  </si>
  <si>
    <t>07/25/2022</t>
  </si>
  <si>
    <t>07/24/2022</t>
  </si>
  <si>
    <t>07/23/2022</t>
  </si>
  <si>
    <t>07/22/2022</t>
  </si>
  <si>
    <t>07/21/2022</t>
  </si>
  <si>
    <t>07/20/2022</t>
  </si>
  <si>
    <t>07/19/2022</t>
  </si>
  <si>
    <t>07/18/2022</t>
  </si>
  <si>
    <t>07/17/2022</t>
  </si>
  <si>
    <t>07/16/2022</t>
  </si>
  <si>
    <t>07/15/2022</t>
  </si>
  <si>
    <t>07/14/2022</t>
  </si>
  <si>
    <t>07/13/2022</t>
  </si>
  <si>
    <t>07/12/2022</t>
  </si>
  <si>
    <t>07/11/2022</t>
  </si>
  <si>
    <t>07/10/2022</t>
  </si>
  <si>
    <t>07/09/2022</t>
  </si>
  <si>
    <t>07/08/2022</t>
  </si>
  <si>
    <t>07/07/2022</t>
  </si>
  <si>
    <t>07/06/2022</t>
  </si>
  <si>
    <t>07/05/2022</t>
  </si>
  <si>
    <t>07/04/2022</t>
  </si>
  <si>
    <t>07/03/2022</t>
  </si>
  <si>
    <t>07/02/2022</t>
  </si>
  <si>
    <t>07/01/2022</t>
  </si>
  <si>
    <t>06/30/2022</t>
  </si>
  <si>
    <t>06/29/2022</t>
  </si>
  <si>
    <t>06/28/2022</t>
  </si>
  <si>
    <t>06/27/2022</t>
  </si>
  <si>
    <t>06/26/2022</t>
  </si>
  <si>
    <t>06/25/2022</t>
  </si>
  <si>
    <t>06/24/2022</t>
  </si>
  <si>
    <t>06/23/2022</t>
  </si>
  <si>
    <t>06/22/2022</t>
  </si>
  <si>
    <t>06/21/2022</t>
  </si>
  <si>
    <t>06/20/2022</t>
  </si>
  <si>
    <t>06/19/2022</t>
  </si>
  <si>
    <t>06/18/2022</t>
  </si>
  <si>
    <t>06/17/2022</t>
  </si>
  <si>
    <t>06/16/2022</t>
  </si>
  <si>
    <t>06/15/2022</t>
  </si>
  <si>
    <t>06/14/2022</t>
  </si>
  <si>
    <t>06/13/2022</t>
  </si>
  <si>
    <t>06/12/2022</t>
  </si>
  <si>
    <t>06/11/2022</t>
  </si>
  <si>
    <t>06/10/2022</t>
  </si>
  <si>
    <t>06/09/2022</t>
  </si>
  <si>
    <t>06/08/2022</t>
  </si>
  <si>
    <t>06/07/2022</t>
  </si>
  <si>
    <t>06/06/2022</t>
  </si>
  <si>
    <t>06/05/2022</t>
  </si>
  <si>
    <t>06/04/2022</t>
  </si>
  <si>
    <t>06/03/2022</t>
  </si>
  <si>
    <t>06/02/2022</t>
  </si>
  <si>
    <t>06/01/2022</t>
  </si>
  <si>
    <t>05/31/2022</t>
  </si>
  <si>
    <t>05/30/2022</t>
  </si>
  <si>
    <t>05/29/2022</t>
  </si>
  <si>
    <t>05/28/2022</t>
  </si>
  <si>
    <t>05/27/2022</t>
  </si>
  <si>
    <t>05/26/2022</t>
  </si>
  <si>
    <t>05/25/2022</t>
  </si>
  <si>
    <t>05/24/2022</t>
  </si>
  <si>
    <t>05/23/2022</t>
  </si>
  <si>
    <t>05/22/2022</t>
  </si>
  <si>
    <t>05/21/2022</t>
  </si>
  <si>
    <t>05/20/2022</t>
  </si>
  <si>
    <t>05/19/2022</t>
  </si>
  <si>
    <t>05/18/2022</t>
  </si>
  <si>
    <t>05/17/2022</t>
  </si>
  <si>
    <t>05/16/2022</t>
  </si>
  <si>
    <t>05/15/2022</t>
  </si>
  <si>
    <t>05/14/2022</t>
  </si>
  <si>
    <t>05/13/2022</t>
  </si>
  <si>
    <t>05/12/2022</t>
  </si>
  <si>
    <t>05/11/2022</t>
  </si>
  <si>
    <t>05/10/2022</t>
  </si>
  <si>
    <t>05/09/2022</t>
  </si>
  <si>
    <t>05/08/2022</t>
  </si>
  <si>
    <t>05/07/2022</t>
  </si>
  <si>
    <t>05/06/2022</t>
  </si>
  <si>
    <t>05/05/2022</t>
  </si>
  <si>
    <t>05/04/2022</t>
  </si>
  <si>
    <t>05/03/2022</t>
  </si>
  <si>
    <t>05/02/2022</t>
  </si>
  <si>
    <t>05/01/2022</t>
  </si>
  <si>
    <t>04/30/2022</t>
  </si>
  <si>
    <t>04/29/2022</t>
  </si>
  <si>
    <t>04/28/2022</t>
  </si>
  <si>
    <t>04/27/2022</t>
  </si>
  <si>
    <t>04/26/2022</t>
  </si>
  <si>
    <t>04/25/2022</t>
  </si>
  <si>
    <t>04/24/2022</t>
  </si>
  <si>
    <t>04/23/2022</t>
  </si>
  <si>
    <t>04/22/2022</t>
  </si>
  <si>
    <t>04/21/2022</t>
  </si>
  <si>
    <t>04/20/2022</t>
  </si>
  <si>
    <t>04/19/2022</t>
  </si>
  <si>
    <t>04/18/2022</t>
  </si>
  <si>
    <t>04/17/2022</t>
  </si>
  <si>
    <t>04/16/2022</t>
  </si>
  <si>
    <t>04/15/2022</t>
  </si>
  <si>
    <t>04/14/2022</t>
  </si>
  <si>
    <t>04/13/2022</t>
  </si>
  <si>
    <t>04/12/2022</t>
  </si>
  <si>
    <t>04/11/2022</t>
  </si>
  <si>
    <t>04/10/2022</t>
  </si>
  <si>
    <t>04/09/2022</t>
  </si>
  <si>
    <t>04/08/2022</t>
  </si>
  <si>
    <t>04/07/2022</t>
  </si>
  <si>
    <t>04/06/2022</t>
  </si>
  <si>
    <t>04/05/2022</t>
  </si>
  <si>
    <t>04/04/2022</t>
  </si>
  <si>
    <t>04/03/2022</t>
  </si>
  <si>
    <t>04/02/2022</t>
  </si>
  <si>
    <t>04/01/2022</t>
  </si>
  <si>
    <t>03/31/2022</t>
  </si>
  <si>
    <t>03/30/2022</t>
  </si>
  <si>
    <t>03/29/2022</t>
  </si>
  <si>
    <t>03/28/2022</t>
  </si>
  <si>
    <t>03/27/2022</t>
  </si>
  <si>
    <t>03/26/2022</t>
  </si>
  <si>
    <t>03/25/2022</t>
  </si>
  <si>
    <t>03/24/2022</t>
  </si>
  <si>
    <t>03/23/2022</t>
  </si>
  <si>
    <t>03/22/2022</t>
  </si>
  <si>
    <t>03/21/2022</t>
  </si>
  <si>
    <t>03/20/2022</t>
  </si>
  <si>
    <t>03/19/2022</t>
  </si>
  <si>
    <t>03/18/2022</t>
  </si>
  <si>
    <t>03/17/2022</t>
  </si>
  <si>
    <t>03/16/2022</t>
  </si>
  <si>
    <t>03/15/2022</t>
  </si>
  <si>
    <t>03/14/2022</t>
  </si>
  <si>
    <t>03/13/2022</t>
  </si>
  <si>
    <t>03/12/2022</t>
  </si>
  <si>
    <t>03/11/2022</t>
  </si>
  <si>
    <t>03/10/2022</t>
  </si>
  <si>
    <t>03/09/2022</t>
  </si>
  <si>
    <t>03/08/2022</t>
  </si>
  <si>
    <t>03/07/2022</t>
  </si>
  <si>
    <t>03/06/2022</t>
  </si>
  <si>
    <t>03/05/2022</t>
  </si>
  <si>
    <t>03/04/2022</t>
  </si>
  <si>
    <t>03/03/2022</t>
  </si>
  <si>
    <t>03/02/2022</t>
  </si>
  <si>
    <t>03/01/2022</t>
  </si>
  <si>
    <t>02/28/2022</t>
  </si>
  <si>
    <t>02/27/2022</t>
  </si>
  <si>
    <t>02/26/2022</t>
  </si>
  <si>
    <t>02/25/2022</t>
  </si>
  <si>
    <t>02/24/2022</t>
  </si>
  <si>
    <t>02/23/2022</t>
  </si>
  <si>
    <t>02/22/2022</t>
  </si>
  <si>
    <t>02/21/2022</t>
  </si>
  <si>
    <t>02/20/2022</t>
  </si>
  <si>
    <t>02/19/2022</t>
  </si>
  <si>
    <t>02/18/2022</t>
  </si>
  <si>
    <t>02/17/2022</t>
  </si>
  <si>
    <t>02/16/2022</t>
  </si>
  <si>
    <t>02/15/2022</t>
  </si>
  <si>
    <t>02/14/2022</t>
  </si>
  <si>
    <t>02/13/2022</t>
  </si>
  <si>
    <t>02/12/2022</t>
  </si>
  <si>
    <t>02/11/2022</t>
  </si>
  <si>
    <t>02/10/2022</t>
  </si>
  <si>
    <t>02/09/2022</t>
  </si>
  <si>
    <t>02/08/2022</t>
  </si>
  <si>
    <t>02/07/2022</t>
  </si>
  <si>
    <t>02/06/2022</t>
  </si>
  <si>
    <t>02/05/2022</t>
  </si>
  <si>
    <t>02/04/2022</t>
  </si>
  <si>
    <t>02/03/2022</t>
  </si>
  <si>
    <t>02/02/2022</t>
  </si>
  <si>
    <t>02/01/2022</t>
  </si>
  <si>
    <t>01/31/2022</t>
  </si>
  <si>
    <t>01/30/2022</t>
  </si>
  <si>
    <t>01/29/2022</t>
  </si>
  <si>
    <t>01/28/2022</t>
  </si>
  <si>
    <t>01/27/2022</t>
  </si>
  <si>
    <t>01/26/2022</t>
  </si>
  <si>
    <t>01/25/2022</t>
  </si>
  <si>
    <t>01/24/2022</t>
  </si>
  <si>
    <t>01/23/2022</t>
  </si>
  <si>
    <t>01/22/2022</t>
  </si>
  <si>
    <t>01/21/2022</t>
  </si>
  <si>
    <t>01/20/2022</t>
  </si>
  <si>
    <t>01/19/2022</t>
  </si>
  <si>
    <t>01/18/2022</t>
  </si>
  <si>
    <t>01/17/2022</t>
  </si>
  <si>
    <t>01/16/2022</t>
  </si>
  <si>
    <t>01/15/2022</t>
  </si>
  <si>
    <t>01/14/2022</t>
  </si>
  <si>
    <t>01/13/2022</t>
  </si>
  <si>
    <t>01/12/2022</t>
  </si>
  <si>
    <t>01/11/2022</t>
  </si>
  <si>
    <t>01/10/2022</t>
  </si>
  <si>
    <t>01/09/2022</t>
  </si>
  <si>
    <t>01/08/2022</t>
  </si>
  <si>
    <t>01/07/2022</t>
  </si>
  <si>
    <t>01/06/2022</t>
  </si>
  <si>
    <t>01/05/2022</t>
  </si>
  <si>
    <t>01/04/2022</t>
  </si>
  <si>
    <t>01/03/2022</t>
  </si>
  <si>
    <t>01/02/2022</t>
  </si>
  <si>
    <t>01/01/2022</t>
  </si>
  <si>
    <t>12/31/2021</t>
  </si>
  <si>
    <t>12/30/2021</t>
  </si>
  <si>
    <t>12/29/2021</t>
  </si>
  <si>
    <t>12/28/2021</t>
  </si>
  <si>
    <t>12/27/2021</t>
  </si>
  <si>
    <t>12/26/2021</t>
  </si>
  <si>
    <t>12/25/2021</t>
  </si>
  <si>
    <t>12/24/2021</t>
  </si>
  <si>
    <t>12/23/2021</t>
  </si>
  <si>
    <t>12/22/2021</t>
  </si>
  <si>
    <t>12/21/2021</t>
  </si>
  <si>
    <t>12/20/2021</t>
  </si>
  <si>
    <t>12/19/2021</t>
  </si>
  <si>
    <t>12/18/2021</t>
  </si>
  <si>
    <t>12/17/2021</t>
  </si>
  <si>
    <t>12/16/2021</t>
  </si>
  <si>
    <t>12/15/2021</t>
  </si>
  <si>
    <t>12/14/2021</t>
  </si>
  <si>
    <t>12/13/2021</t>
  </si>
  <si>
    <t>12/12/2021</t>
  </si>
  <si>
    <t>12/11/2021</t>
  </si>
  <si>
    <t>12/10/2021</t>
  </si>
  <si>
    <t>12/09/2021</t>
  </si>
  <si>
    <t>12/08/2021</t>
  </si>
  <si>
    <t>12/07/2021</t>
  </si>
  <si>
    <t>12/06/2021</t>
  </si>
  <si>
    <t>12/05/2021</t>
  </si>
  <si>
    <t>12/04/2021</t>
  </si>
  <si>
    <t>12/03/2021</t>
  </si>
  <si>
    <t>12/02/2021</t>
  </si>
  <si>
    <t>12/01/2021</t>
  </si>
  <si>
    <t>11/30/2021</t>
  </si>
  <si>
    <t>11/29/2021</t>
  </si>
  <si>
    <t>11/28/2021</t>
  </si>
  <si>
    <t>11/27/2021</t>
  </si>
  <si>
    <t>11/26/2021</t>
  </si>
  <si>
    <t>11/25/2021</t>
  </si>
  <si>
    <t>11/24/2021</t>
  </si>
  <si>
    <t>11/23/2021</t>
  </si>
  <si>
    <t>11/22/2021</t>
  </si>
  <si>
    <t>11/21/2021</t>
  </si>
  <si>
    <t>11/20/2021</t>
  </si>
  <si>
    <t>11/19/2021</t>
  </si>
  <si>
    <t>11/18/2021</t>
  </si>
  <si>
    <t>11/17/2021</t>
  </si>
  <si>
    <t>11/16/2021</t>
  </si>
  <si>
    <t>11/15/2021</t>
  </si>
  <si>
    <t>11/14/2021</t>
  </si>
  <si>
    <t>11/13/2021</t>
  </si>
  <si>
    <t>11/12/2021</t>
  </si>
  <si>
    <t>11/11/2021</t>
  </si>
  <si>
    <t>11/10/2021</t>
  </si>
  <si>
    <t>11/09/2021</t>
  </si>
  <si>
    <t>11/08/2021</t>
  </si>
  <si>
    <t>11/07/2021</t>
  </si>
  <si>
    <t>11/06/2021</t>
  </si>
  <si>
    <t>11/05/2021</t>
  </si>
  <si>
    <t>11/04/2021</t>
  </si>
  <si>
    <t>11/03/2021</t>
  </si>
  <si>
    <t>11/02/2021</t>
  </si>
  <si>
    <t>11/01/2021</t>
  </si>
  <si>
    <t>10/31/2021</t>
  </si>
  <si>
    <t>10/30/2021</t>
  </si>
  <si>
    <t>10/29/2021</t>
  </si>
  <si>
    <t>10/28/2021</t>
  </si>
  <si>
    <t>10/27/2021</t>
  </si>
  <si>
    <t>10/26/2021</t>
  </si>
  <si>
    <t>10/25/2021</t>
  </si>
  <si>
    <t>10/24/2021</t>
  </si>
  <si>
    <t>10/23/2021</t>
  </si>
  <si>
    <t>10/22/2021</t>
  </si>
  <si>
    <t>10/21/2021</t>
  </si>
  <si>
    <t>10/20/2021</t>
  </si>
  <si>
    <t>10/19/2021</t>
  </si>
  <si>
    <t>10/18/2021</t>
  </si>
  <si>
    <t>10/17/2021</t>
  </si>
  <si>
    <t>10/16/2021</t>
  </si>
  <si>
    <t>10/15/2021</t>
  </si>
  <si>
    <t>10/14/2021</t>
  </si>
  <si>
    <t>10/13/2021</t>
  </si>
  <si>
    <t>10/12/2021</t>
  </si>
  <si>
    <t>10/11/2021</t>
  </si>
  <si>
    <t>10/10/2021</t>
  </si>
  <si>
    <t>10/09/2021</t>
  </si>
  <si>
    <t>10/08/2021</t>
  </si>
  <si>
    <t>10/07/2021</t>
  </si>
  <si>
    <t>10/06/2021</t>
  </si>
  <si>
    <t>10/05/2021</t>
  </si>
  <si>
    <t>10/04/2021</t>
  </si>
  <si>
    <t>10/03/2021</t>
  </si>
  <si>
    <t>10/02/2021</t>
  </si>
  <si>
    <t>10/01/2021</t>
  </si>
  <si>
    <t>09/30/2021</t>
  </si>
  <si>
    <t>09/29/2021</t>
  </si>
  <si>
    <t>09/28/2021</t>
  </si>
  <si>
    <t>09/27/2021</t>
  </si>
  <si>
    <t>09/26/2021</t>
  </si>
  <si>
    <t>09/25/2021</t>
  </si>
  <si>
    <t>09/24/2021</t>
  </si>
  <si>
    <t>09/23/2021</t>
  </si>
  <si>
    <t>09/22/2021</t>
  </si>
  <si>
    <t>09/21/2021</t>
  </si>
  <si>
    <t>09/20/2021</t>
  </si>
  <si>
    <t>09/19/2021</t>
  </si>
  <si>
    <t>09/18/2021</t>
  </si>
  <si>
    <t>09/17/2021</t>
  </si>
  <si>
    <t>09/16/2021</t>
  </si>
  <si>
    <t>09/15/2021</t>
  </si>
  <si>
    <t>09/14/2021</t>
  </si>
  <si>
    <t>09/13/2021</t>
  </si>
  <si>
    <t>09/12/2021</t>
  </si>
  <si>
    <t>09/11/2021</t>
  </si>
  <si>
    <t>09/10/2021</t>
  </si>
  <si>
    <t>09/09/2021</t>
  </si>
  <si>
    <t>09/08/2021</t>
  </si>
  <si>
    <t>09/07/2021</t>
  </si>
  <si>
    <t>09/06/2021</t>
  </si>
  <si>
    <t>09/05/2021</t>
  </si>
  <si>
    <t>09/04/2021</t>
  </si>
  <si>
    <t>09/03/2021</t>
  </si>
  <si>
    <t>09/02/2021</t>
  </si>
  <si>
    <t>09/01/2021</t>
  </si>
  <si>
    <t>08/31/2021</t>
  </si>
  <si>
    <t>08/30/2021</t>
  </si>
  <si>
    <t>08/29/2021</t>
  </si>
  <si>
    <t>08/28/2021</t>
  </si>
  <si>
    <t>08/27/2021</t>
  </si>
  <si>
    <t>08/26/2021</t>
  </si>
  <si>
    <t>08/25/2021</t>
  </si>
  <si>
    <t>08/24/2021</t>
  </si>
  <si>
    <t>08/23/2021</t>
  </si>
  <si>
    <t>08/22/2021</t>
  </si>
  <si>
    <t>08/21/2021</t>
  </si>
  <si>
    <t>08/20/2021</t>
  </si>
  <si>
    <t>08/19/2021</t>
  </si>
  <si>
    <t>08/18/2021</t>
  </si>
  <si>
    <t>08/17/2021</t>
  </si>
  <si>
    <t>08/16/2021</t>
  </si>
  <si>
    <t>08/15/2021</t>
  </si>
  <si>
    <t>08/14/2021</t>
  </si>
  <si>
    <t>08/13/2021</t>
  </si>
  <si>
    <t>08/12/2021</t>
  </si>
  <si>
    <t>08/11/2021</t>
  </si>
  <si>
    <t>08/10/2021</t>
  </si>
  <si>
    <t>08/09/2021</t>
  </si>
  <si>
    <t>08/08/2021</t>
  </si>
  <si>
    <t>08/07/2021</t>
  </si>
  <si>
    <t>08/06/2021</t>
  </si>
  <si>
    <t>08/05/2021</t>
  </si>
  <si>
    <t>08/04/2021</t>
  </si>
  <si>
    <t>08/03/2021</t>
  </si>
  <si>
    <t>08/02/2021</t>
  </si>
  <si>
    <t>08/01/2021</t>
  </si>
  <si>
    <t>07/31/2021</t>
  </si>
  <si>
    <t>07/30/2021</t>
  </si>
  <si>
    <t>07/29/2021</t>
  </si>
  <si>
    <t>07/28/2021</t>
  </si>
  <si>
    <t>07/27/2021</t>
  </si>
  <si>
    <t>07/26/2021</t>
  </si>
  <si>
    <t>07/25/2021</t>
  </si>
  <si>
    <t>07/24/2021</t>
  </si>
  <si>
    <t>07/23/2021</t>
  </si>
  <si>
    <t>07/22/2021</t>
  </si>
  <si>
    <t>07/21/2021</t>
  </si>
  <si>
    <t>07/20/2021</t>
  </si>
  <si>
    <t>07/19/2021</t>
  </si>
  <si>
    <t>07/18/2021</t>
  </si>
  <si>
    <t>07/17/2021</t>
  </si>
  <si>
    <t>07/16/2021</t>
  </si>
  <si>
    <t>07/15/2021</t>
  </si>
  <si>
    <t>07/14/2021</t>
  </si>
  <si>
    <t>07/13/2021</t>
  </si>
  <si>
    <t>07/12/2021</t>
  </si>
  <si>
    <t>07/11/2021</t>
  </si>
  <si>
    <t>07/10/2021</t>
  </si>
  <si>
    <t>07/09/2021</t>
  </si>
  <si>
    <t>07/08/2021</t>
  </si>
  <si>
    <t>07/07/2021</t>
  </si>
  <si>
    <t>07/06/2021</t>
  </si>
  <si>
    <t>07/05/2021</t>
  </si>
  <si>
    <t>07/04/2021</t>
  </si>
  <si>
    <t>07/03/2021</t>
  </si>
  <si>
    <t>07/02/2021</t>
  </si>
  <si>
    <t>07/01/2021</t>
  </si>
  <si>
    <t>06/30/2021</t>
  </si>
  <si>
    <t>06/29/2021</t>
  </si>
  <si>
    <t>06/28/2021</t>
  </si>
  <si>
    <t>06/27/2021</t>
  </si>
  <si>
    <t>06/26/2021</t>
  </si>
  <si>
    <t>06/25/2021</t>
  </si>
  <si>
    <t>06/24/2021</t>
  </si>
  <si>
    <t>06/23/2021</t>
  </si>
  <si>
    <t>06/22/2021</t>
  </si>
  <si>
    <t>06/21/2021</t>
  </si>
  <si>
    <t>06/20/2021</t>
  </si>
  <si>
    <t>06/19/2021</t>
  </si>
  <si>
    <t>06/18/2021</t>
  </si>
  <si>
    <t>06/17/2021</t>
  </si>
  <si>
    <t>06/16/2021</t>
  </si>
  <si>
    <t>06/15/2021</t>
  </si>
  <si>
    <t>06/14/2021</t>
  </si>
  <si>
    <t>06/13/2021</t>
  </si>
  <si>
    <t>06/12/2021</t>
  </si>
  <si>
    <t>06/11/2021</t>
  </si>
  <si>
    <t>06/10/2021</t>
  </si>
  <si>
    <t>06/09/2021</t>
  </si>
  <si>
    <t>06/08/2021</t>
  </si>
  <si>
    <t>06/07/2021</t>
  </si>
  <si>
    <t>06/06/2021</t>
  </si>
  <si>
    <t>06/05/2021</t>
  </si>
  <si>
    <t>06/04/2021</t>
  </si>
  <si>
    <t>06/03/2021</t>
  </si>
  <si>
    <t>06/02/2021</t>
  </si>
  <si>
    <t>06/01/2021</t>
  </si>
  <si>
    <t>05/31/2021</t>
  </si>
  <si>
    <t>05/30/2021</t>
  </si>
  <si>
    <t>05/29/2021</t>
  </si>
  <si>
    <t>05/28/2021</t>
  </si>
  <si>
    <t>05/27/2021</t>
  </si>
  <si>
    <t>05/26/2021</t>
  </si>
  <si>
    <t>05/25/2021</t>
  </si>
  <si>
    <t>05/24/2021</t>
  </si>
  <si>
    <t>05/23/2021</t>
  </si>
  <si>
    <t>05/22/2021</t>
  </si>
  <si>
    <t>05/21/2021</t>
  </si>
  <si>
    <t>05/20/2021</t>
  </si>
  <si>
    <t>05/19/2021</t>
  </si>
  <si>
    <t>05/18/2021</t>
  </si>
  <si>
    <t>05/17/2021</t>
  </si>
  <si>
    <t>05/16/2021</t>
  </si>
  <si>
    <t>05/15/2021</t>
  </si>
  <si>
    <t>05/14/2021</t>
  </si>
  <si>
    <t>05/13/2021</t>
  </si>
  <si>
    <t>05/12/2021</t>
  </si>
  <si>
    <t>05/11/2021</t>
  </si>
  <si>
    <t>05/10/2021</t>
  </si>
  <si>
    <t>05/09/2021</t>
  </si>
  <si>
    <t>05/08/2021</t>
  </si>
  <si>
    <t>05/07/2021</t>
  </si>
  <si>
    <t>05/06/2021</t>
  </si>
  <si>
    <t>05/05/2021</t>
  </si>
  <si>
    <t>05/04/2021</t>
  </si>
  <si>
    <t>05/03/2021</t>
  </si>
  <si>
    <t>05/02/2021</t>
  </si>
  <si>
    <t>05/01/2021</t>
  </si>
  <si>
    <t>04/30/2021</t>
  </si>
  <si>
    <t>04/29/2021</t>
  </si>
  <si>
    <t>04/28/2021</t>
  </si>
  <si>
    <t>04/27/2021</t>
  </si>
  <si>
    <t>04/26/2021</t>
  </si>
  <si>
    <t>04/25/2021</t>
  </si>
  <si>
    <t>04/24/2021</t>
  </si>
  <si>
    <t>04/23/2021</t>
  </si>
  <si>
    <t>04/22/2021</t>
  </si>
  <si>
    <t>04/21/2021</t>
  </si>
  <si>
    <t>04/20/2021</t>
  </si>
  <si>
    <t>04/19/2021</t>
  </si>
  <si>
    <t>04/18/2021</t>
  </si>
  <si>
    <t>04/17/2021</t>
  </si>
  <si>
    <t>04/16/2021</t>
  </si>
  <si>
    <t>04/15/2021</t>
  </si>
  <si>
    <t>04/14/2021</t>
  </si>
  <si>
    <t>04/13/2021</t>
  </si>
  <si>
    <t>04/12/2021</t>
  </si>
  <si>
    <t>04/11/2021</t>
  </si>
  <si>
    <t>04/10/2021</t>
  </si>
  <si>
    <t>04/09/2021</t>
  </si>
  <si>
    <t>04/08/2021</t>
  </si>
  <si>
    <t>04/07/2021</t>
  </si>
  <si>
    <t>04/06/2021</t>
  </si>
  <si>
    <t>04/05/2021</t>
  </si>
  <si>
    <t>04/04/2021</t>
  </si>
  <si>
    <t>04/03/2021</t>
  </si>
  <si>
    <t>04/02/2021</t>
  </si>
  <si>
    <t>04/01/2021</t>
  </si>
  <si>
    <t>03/31/2021</t>
  </si>
  <si>
    <t>03/30/2021</t>
  </si>
  <si>
    <t>03/29/2021</t>
  </si>
  <si>
    <t>03/28/2021</t>
  </si>
  <si>
    <t>03/27/2021</t>
  </si>
  <si>
    <t>03/26/2021</t>
  </si>
  <si>
    <t>03/25/2021</t>
  </si>
  <si>
    <t>03/24/2021</t>
  </si>
  <si>
    <t>03/23/2021</t>
  </si>
  <si>
    <t>03/22/2021</t>
  </si>
  <si>
    <t>03/21/2021</t>
  </si>
  <si>
    <t>03/20/2021</t>
  </si>
  <si>
    <t>03/19/2021</t>
  </si>
  <si>
    <t>03/18/2021</t>
  </si>
  <si>
    <t>03/17/2021</t>
  </si>
  <si>
    <t>03/16/2021</t>
  </si>
  <si>
    <t>03/15/2021</t>
  </si>
  <si>
    <t>03/14/2021</t>
  </si>
  <si>
    <t>03/13/2021</t>
  </si>
  <si>
    <t>03/12/2021</t>
  </si>
  <si>
    <t>03/11/2021</t>
  </si>
  <si>
    <t>03/10/2021</t>
  </si>
  <si>
    <t>03/09/2021</t>
  </si>
  <si>
    <t>03/08/2021</t>
  </si>
  <si>
    <t>03/07/2021</t>
  </si>
  <si>
    <t>03/06/2021</t>
  </si>
  <si>
    <t>03/05/2021</t>
  </si>
  <si>
    <t>03/04/2021</t>
  </si>
  <si>
    <t>03/03/2021</t>
  </si>
  <si>
    <t>03/02/2021</t>
  </si>
  <si>
    <t>03/01/2021</t>
  </si>
  <si>
    <t>02/28/2021</t>
  </si>
  <si>
    <t>02/27/2021</t>
  </si>
  <si>
    <t>02/26/2021</t>
  </si>
  <si>
    <t>02/25/2021</t>
  </si>
  <si>
    <t>02/24/2021</t>
  </si>
  <si>
    <t>02/23/2021</t>
  </si>
  <si>
    <t>02/22/2021</t>
  </si>
  <si>
    <t>02/21/2021</t>
  </si>
  <si>
    <t>02/20/2021</t>
  </si>
  <si>
    <t>02/19/2021</t>
  </si>
  <si>
    <t>02/18/2021</t>
  </si>
  <si>
    <t>02/17/2021</t>
  </si>
  <si>
    <t>02/16/2021</t>
  </si>
  <si>
    <t>02/15/2021</t>
  </si>
  <si>
    <t>02/14/2021</t>
  </si>
  <si>
    <t>02/13/2021</t>
  </si>
  <si>
    <t>02/12/2021</t>
  </si>
  <si>
    <t>02/11/2021</t>
  </si>
  <si>
    <t>02/10/2021</t>
  </si>
  <si>
    <t>02/09/2021</t>
  </si>
  <si>
    <t>02/08/2021</t>
  </si>
  <si>
    <t>02/07/2021</t>
  </si>
  <si>
    <t>02/06/2021</t>
  </si>
  <si>
    <t>02/05/2021</t>
  </si>
  <si>
    <t>02/04/2021</t>
  </si>
  <si>
    <t>02/03/2021</t>
  </si>
  <si>
    <t>02/02/2021</t>
  </si>
  <si>
    <t>02/01/2021</t>
  </si>
  <si>
    <t>01/31/2021</t>
  </si>
  <si>
    <t>01/30/2021</t>
  </si>
  <si>
    <t>01/29/2021</t>
  </si>
  <si>
    <t>01/28/2021</t>
  </si>
  <si>
    <t>01/27/2021</t>
  </si>
  <si>
    <t>01/26/2021</t>
  </si>
  <si>
    <t>01/25/2021</t>
  </si>
  <si>
    <t>01/24/2021</t>
  </si>
  <si>
    <t>01/23/2021</t>
  </si>
  <si>
    <t>01/22/2021</t>
  </si>
  <si>
    <t>01/21/2021</t>
  </si>
  <si>
    <t>01/20/2021</t>
  </si>
  <si>
    <t>01/19/2021</t>
  </si>
  <si>
    <t>01/18/2021</t>
  </si>
  <si>
    <t>01/17/2021</t>
  </si>
  <si>
    <t>01/16/2021</t>
  </si>
  <si>
    <t>01/15/2021</t>
  </si>
  <si>
    <t>01/14/2021</t>
  </si>
  <si>
    <t>01/13/2021</t>
  </si>
  <si>
    <t>01/12/2021</t>
  </si>
  <si>
    <t>01/11/2021</t>
  </si>
  <si>
    <t>01/10/2021</t>
  </si>
  <si>
    <t>01/09/2021</t>
  </si>
  <si>
    <t>01/08/2021</t>
  </si>
  <si>
    <t>01/07/2021</t>
  </si>
  <si>
    <t>01/06/2021</t>
  </si>
  <si>
    <t>01/05/2021</t>
  </si>
  <si>
    <t>01/04/2021</t>
  </si>
  <si>
    <t>01/03/2021</t>
  </si>
  <si>
    <t>01/02/2021</t>
  </si>
  <si>
    <t>01/01/2021</t>
  </si>
  <si>
    <t>12/31/2020</t>
  </si>
  <si>
    <t>12/30/2020</t>
  </si>
  <si>
    <t>12/29/2020</t>
  </si>
  <si>
    <t>12/28/2020</t>
  </si>
  <si>
    <t>12/27/2020</t>
  </si>
  <si>
    <t>12/26/2020</t>
  </si>
  <si>
    <t>12/25/2020</t>
  </si>
  <si>
    <t>12/24/2020</t>
  </si>
  <si>
    <t>12/23/2020</t>
  </si>
  <si>
    <t>12/22/2020</t>
  </si>
  <si>
    <t>12/21/2020</t>
  </si>
  <si>
    <t>12/20/2020</t>
  </si>
  <si>
    <t>12/19/2020</t>
  </si>
  <si>
    <t>12/18/2020</t>
  </si>
  <si>
    <t>12/17/2020</t>
  </si>
  <si>
    <t>12/16/2020</t>
  </si>
  <si>
    <t>12/15/2020</t>
  </si>
  <si>
    <t>12/14/2020</t>
  </si>
  <si>
    <t>12/13/2020</t>
  </si>
  <si>
    <t>12/12/2020</t>
  </si>
  <si>
    <t>12/11/2020</t>
  </si>
  <si>
    <t>12/10/2020</t>
  </si>
  <si>
    <t>12/09/2020</t>
  </si>
  <si>
    <t>12/08/2020</t>
  </si>
  <si>
    <t>12/07/2020</t>
  </si>
  <si>
    <t>12/06/2020</t>
  </si>
  <si>
    <t>12/05/2020</t>
  </si>
  <si>
    <t>12/04/2020</t>
  </si>
  <si>
    <t>12/03/2020</t>
  </si>
  <si>
    <t>12/02/2020</t>
  </si>
  <si>
    <t>12/01/2020</t>
  </si>
  <si>
    <t>11/30/2020</t>
  </si>
  <si>
    <t>11/29/2020</t>
  </si>
  <si>
    <t>11/28/2020</t>
  </si>
  <si>
    <t>11/27/2020</t>
  </si>
  <si>
    <t>11/26/2020</t>
  </si>
  <si>
    <t>11/25/2020</t>
  </si>
  <si>
    <t>11/24/2020</t>
  </si>
  <si>
    <t>11/23/2020</t>
  </si>
  <si>
    <t>11/22/2020</t>
  </si>
  <si>
    <t>11/21/2020</t>
  </si>
  <si>
    <t>11/20/2020</t>
  </si>
  <si>
    <t>11/19/2020</t>
  </si>
  <si>
    <t>11/18/2020</t>
  </si>
  <si>
    <t>11/17/2020</t>
  </si>
  <si>
    <t>11/16/2020</t>
  </si>
  <si>
    <t>11/15/2020</t>
  </si>
  <si>
    <t>11/14/2020</t>
  </si>
  <si>
    <t>11/13/2020</t>
  </si>
  <si>
    <t>11/12/2020</t>
  </si>
  <si>
    <t>11/11/2020</t>
  </si>
  <si>
    <t>11/10/2020</t>
  </si>
  <si>
    <t>11/09/2020</t>
  </si>
  <si>
    <t>11/08/2020</t>
  </si>
  <si>
    <t>11/07/2020</t>
  </si>
  <si>
    <t>11/06/2020</t>
  </si>
  <si>
    <t>11/05/2020</t>
  </si>
  <si>
    <t>11/04/2020</t>
  </si>
  <si>
    <t>11/03/2020</t>
  </si>
  <si>
    <t>11/02/2020</t>
  </si>
  <si>
    <t>11/01/2020</t>
  </si>
  <si>
    <t>10/31/2020</t>
  </si>
  <si>
    <t>10/30/2020</t>
  </si>
  <si>
    <t>10/29/2020</t>
  </si>
  <si>
    <t>10/28/2020</t>
  </si>
  <si>
    <t>10/27/2020</t>
  </si>
  <si>
    <t>10/26/2020</t>
  </si>
  <si>
    <t>10/25/2020</t>
  </si>
  <si>
    <t>10/24/2020</t>
  </si>
  <si>
    <t>10/23/2020</t>
  </si>
  <si>
    <t>10/22/2020</t>
  </si>
  <si>
    <t>10/21/2020</t>
  </si>
  <si>
    <t>10/20/2020</t>
  </si>
  <si>
    <t>10/19/2020</t>
  </si>
  <si>
    <t>10/18/2020</t>
  </si>
  <si>
    <t>10/17/2020</t>
  </si>
  <si>
    <t>10/16/2020</t>
  </si>
  <si>
    <t>10/15/2020</t>
  </si>
  <si>
    <t>10/14/2020</t>
  </si>
  <si>
    <t>10/13/2020</t>
  </si>
  <si>
    <t>10/12/2020</t>
  </si>
  <si>
    <t>10/11/2020</t>
  </si>
  <si>
    <t>10/10/2020</t>
  </si>
  <si>
    <t>10/09/2020</t>
  </si>
  <si>
    <t>10/08/2020</t>
  </si>
  <si>
    <t>10/07/2020</t>
  </si>
  <si>
    <t>10/06/2020</t>
  </si>
  <si>
    <t>10/05/2020</t>
  </si>
  <si>
    <t>10/04/2020</t>
  </si>
  <si>
    <t>10/03/2020</t>
  </si>
  <si>
    <t>10/02/2020</t>
  </si>
  <si>
    <t>10/01/2020</t>
  </si>
  <si>
    <t>09/30/2020</t>
  </si>
  <si>
    <t>09/29/2020</t>
  </si>
  <si>
    <t>09/28/2020</t>
  </si>
  <si>
    <t>09/27/2020</t>
  </si>
  <si>
    <t>09/26/2020</t>
  </si>
  <si>
    <t>09/25/2020</t>
  </si>
  <si>
    <t>09/24/2020</t>
  </si>
  <si>
    <t>09/23/2020</t>
  </si>
  <si>
    <t>09/22/2020</t>
  </si>
  <si>
    <t>09/21/2020</t>
  </si>
  <si>
    <t>09/20/2020</t>
  </si>
  <si>
    <t>09/19/2020</t>
  </si>
  <si>
    <t>09/18/2020</t>
  </si>
  <si>
    <t>09/17/2020</t>
  </si>
  <si>
    <t>09/16/2020</t>
  </si>
  <si>
    <t>09/15/2020</t>
  </si>
  <si>
    <t>09/14/2020</t>
  </si>
  <si>
    <t>09/13/2020</t>
  </si>
  <si>
    <t>09/12/2020</t>
  </si>
  <si>
    <t>09/11/2020</t>
  </si>
  <si>
    <t>09/10/2020</t>
  </si>
  <si>
    <t>09/09/2020</t>
  </si>
  <si>
    <t>09/08/2020</t>
  </si>
  <si>
    <t>09/07/2020</t>
  </si>
  <si>
    <t>09/06/2020</t>
  </si>
  <si>
    <t>09/05/2020</t>
  </si>
  <si>
    <t>09/04/2020</t>
  </si>
  <si>
    <t>09/03/2020</t>
  </si>
  <si>
    <t>09/02/2020</t>
  </si>
  <si>
    <t>09/01/2020</t>
  </si>
  <si>
    <t>08/31/2020</t>
  </si>
  <si>
    <t>08/30/2020</t>
  </si>
  <si>
    <t>08/29/2020</t>
  </si>
  <si>
    <t>08/28/2020</t>
  </si>
  <si>
    <t>08/27/2020</t>
  </si>
  <si>
    <t>08/26/2020</t>
  </si>
  <si>
    <t>08/25/2020</t>
  </si>
  <si>
    <t>08/24/2020</t>
  </si>
  <si>
    <t>08/23/2020</t>
  </si>
  <si>
    <t>08/22/2020</t>
  </si>
  <si>
    <t>08/21/2020</t>
  </si>
  <si>
    <t>08/20/2020</t>
  </si>
  <si>
    <t>08/19/2020</t>
  </si>
  <si>
    <t>08/18/2020</t>
  </si>
  <si>
    <t>08/17/2020</t>
  </si>
  <si>
    <t>08/16/2020</t>
  </si>
  <si>
    <t>08/15/2020</t>
  </si>
  <si>
    <t>08/14/2020</t>
  </si>
  <si>
    <t>08/13/2020</t>
  </si>
  <si>
    <t>08/12/2020</t>
  </si>
  <si>
    <t>08/11/2020</t>
  </si>
  <si>
    <t>08/10/2020</t>
  </si>
  <si>
    <t>08/09/2020</t>
  </si>
  <si>
    <t>08/08/2020</t>
  </si>
  <si>
    <t>08/07/2020</t>
  </si>
  <si>
    <t>08/06/2020</t>
  </si>
  <si>
    <t>08/05/2020</t>
  </si>
  <si>
    <t>08/04/2020</t>
  </si>
  <si>
    <t>08/03/2020</t>
  </si>
  <si>
    <t>08/02/2020</t>
  </si>
  <si>
    <t>08/01/2020</t>
  </si>
  <si>
    <t>07/31/2020</t>
  </si>
  <si>
    <t>07/30/2020</t>
  </si>
  <si>
    <t>07/29/2020</t>
  </si>
  <si>
    <t>07/28/2020</t>
  </si>
  <si>
    <t>07/27/2020</t>
  </si>
  <si>
    <t>07/26/2020</t>
  </si>
  <si>
    <t>07/25/2020</t>
  </si>
  <si>
    <t>07/24/2020</t>
  </si>
  <si>
    <t>07/23/2020</t>
  </si>
  <si>
    <t>07/22/2020</t>
  </si>
  <si>
    <t>07/21/2020</t>
  </si>
  <si>
    <t>07/20/2020</t>
  </si>
  <si>
    <t>07/19/2020</t>
  </si>
  <si>
    <t>07/18/2020</t>
  </si>
  <si>
    <t>07/17/2020</t>
  </si>
  <si>
    <t>07/16/2020</t>
  </si>
  <si>
    <t>07/15/2020</t>
  </si>
  <si>
    <t>07/14/2020</t>
  </si>
  <si>
    <t>07/13/2020</t>
  </si>
  <si>
    <t>07/12/2020</t>
  </si>
  <si>
    <t>07/11/2020</t>
  </si>
  <si>
    <t>07/10/2020</t>
  </si>
  <si>
    <t>07/09/2020</t>
  </si>
  <si>
    <t>07/08/2020</t>
  </si>
  <si>
    <t>07/07/2020</t>
  </si>
  <si>
    <t>07/06/2020</t>
  </si>
  <si>
    <t>07/05/2020</t>
  </si>
  <si>
    <t>07/04/2020</t>
  </si>
  <si>
    <t>07/03/2020</t>
  </si>
  <si>
    <t>07/02/2020</t>
  </si>
  <si>
    <t>07/01/2020</t>
  </si>
  <si>
    <t>06/30/2020</t>
  </si>
  <si>
    <t>06/29/2020</t>
  </si>
  <si>
    <t>06/28/2020</t>
  </si>
  <si>
    <t>06/27/2020</t>
  </si>
  <si>
    <t>06/26/2020</t>
  </si>
  <si>
    <t>06/25/2020</t>
  </si>
  <si>
    <t>06/24/2020</t>
  </si>
  <si>
    <t>06/23/2020</t>
  </si>
  <si>
    <t>06/22/2020</t>
  </si>
  <si>
    <t>06/21/2020</t>
  </si>
  <si>
    <t>06/20/2020</t>
  </si>
  <si>
    <t>06/19/2020</t>
  </si>
  <si>
    <t>06/18/2020</t>
  </si>
  <si>
    <t>06/17/2020</t>
  </si>
  <si>
    <t>06/16/2020</t>
  </si>
  <si>
    <t>06/15/2020</t>
  </si>
  <si>
    <t>06/14/2020</t>
  </si>
  <si>
    <t>06/13/2020</t>
  </si>
  <si>
    <t>06/12/2020</t>
  </si>
  <si>
    <t>06/11/2020</t>
  </si>
  <si>
    <t>06/10/2020</t>
  </si>
  <si>
    <t>06/09/2020</t>
  </si>
  <si>
    <t>06/08/2020</t>
  </si>
  <si>
    <t>06/07/2020</t>
  </si>
  <si>
    <t>06/06/2020</t>
  </si>
  <si>
    <t>06/05/2020</t>
  </si>
  <si>
    <t>06/04/2020</t>
  </si>
  <si>
    <t>06/03/2020</t>
  </si>
  <si>
    <t>06/02/2020</t>
  </si>
  <si>
    <t>06/01/2020</t>
  </si>
  <si>
    <t>05/31/2020</t>
  </si>
  <si>
    <t>05/30/2020</t>
  </si>
  <si>
    <t>05/29/2020</t>
  </si>
  <si>
    <t>05/28/2020</t>
  </si>
  <si>
    <t>05/27/2020</t>
  </si>
  <si>
    <t>05/26/2020</t>
  </si>
  <si>
    <t>05/25/2020</t>
  </si>
  <si>
    <t>05/24/2020</t>
  </si>
  <si>
    <t>05/23/2020</t>
  </si>
  <si>
    <t>05/22/2020</t>
  </si>
  <si>
    <t>05/21/2020</t>
  </si>
  <si>
    <t>05/20/2020</t>
  </si>
  <si>
    <t>05/19/2020</t>
  </si>
  <si>
    <t>05/18/2020</t>
  </si>
  <si>
    <t>05/17/2020</t>
  </si>
  <si>
    <t>05/16/2020</t>
  </si>
  <si>
    <t>05/15/2020</t>
  </si>
  <si>
    <t>05/14/2020</t>
  </si>
  <si>
    <t>05/13/2020</t>
  </si>
  <si>
    <t>05/12/2020</t>
  </si>
  <si>
    <t>05/11/2020</t>
  </si>
  <si>
    <t>05/10/2020</t>
  </si>
  <si>
    <t>05/09/2020</t>
  </si>
  <si>
    <t>05/08/2020</t>
  </si>
  <si>
    <t>05/07/2020</t>
  </si>
  <si>
    <t>05/06/2020</t>
  </si>
  <si>
    <t>05/05/2020</t>
  </si>
  <si>
    <t>05/04/2020</t>
  </si>
  <si>
    <t>05/03/2020</t>
  </si>
  <si>
    <t>05/02/2020</t>
  </si>
  <si>
    <t>05/01/2020</t>
  </si>
  <si>
    <t>04/30/2020</t>
  </si>
  <si>
    <t>04/29/2020</t>
  </si>
  <si>
    <t>04/28/2020</t>
  </si>
  <si>
    <t>04/27/2020</t>
  </si>
  <si>
    <t>04/26/2020</t>
  </si>
  <si>
    <t>04/25/2020</t>
  </si>
  <si>
    <t>04/24/2020</t>
  </si>
  <si>
    <t>04/23/2020</t>
  </si>
  <si>
    <t>04/22/2020</t>
  </si>
  <si>
    <t>04/21/2020</t>
  </si>
  <si>
    <t>04/20/2020</t>
  </si>
  <si>
    <t>04/19/2020</t>
  </si>
  <si>
    <t>04/18/2020</t>
  </si>
  <si>
    <t>04/17/2020</t>
  </si>
  <si>
    <t>04/16/2020</t>
  </si>
  <si>
    <t>04/15/2020</t>
  </si>
  <si>
    <t>04/14/2020</t>
  </si>
  <si>
    <t>04/13/2020</t>
  </si>
  <si>
    <t>04/12/2020</t>
  </si>
  <si>
    <t>04/11/2020</t>
  </si>
  <si>
    <t>04/10/2020</t>
  </si>
  <si>
    <t>04/09/2020</t>
  </si>
  <si>
    <t>04/08/2020</t>
  </si>
  <si>
    <t>04/07/2020</t>
  </si>
  <si>
    <t>04/06/2020</t>
  </si>
  <si>
    <t>04/05/2020</t>
  </si>
  <si>
    <t>04/04/2020</t>
  </si>
  <si>
    <t>04/03/2020</t>
  </si>
  <si>
    <t>04/02/2020</t>
  </si>
  <si>
    <t>04/01/2020</t>
  </si>
  <si>
    <t>03/31/2020</t>
  </si>
  <si>
    <t>03/30/2020</t>
  </si>
  <si>
    <t>03/29/2020</t>
  </si>
  <si>
    <t>03/28/2020</t>
  </si>
  <si>
    <t>03/27/2020</t>
  </si>
  <si>
    <t>03/26/2020</t>
  </si>
  <si>
    <t>03/25/2020</t>
  </si>
  <si>
    <t>03/24/2020</t>
  </si>
  <si>
    <t>03/23/2020</t>
  </si>
  <si>
    <t>03/22/2020</t>
  </si>
  <si>
    <t>03/21/2020</t>
  </si>
  <si>
    <t>03/20/2020</t>
  </si>
  <si>
    <t>03/19/2020</t>
  </si>
  <si>
    <t>03/18/2020</t>
  </si>
  <si>
    <t>03/17/2020</t>
  </si>
  <si>
    <t>03/16/2020</t>
  </si>
  <si>
    <t>03/15/2020</t>
  </si>
  <si>
    <t>03/14/2020</t>
  </si>
  <si>
    <t>03/13/2020</t>
  </si>
  <si>
    <t>03/12/2020</t>
  </si>
  <si>
    <t>03/11/2020</t>
  </si>
  <si>
    <t>03/10/2020</t>
  </si>
  <si>
    <t>03/09/2020</t>
  </si>
  <si>
    <t>03/08/2020</t>
  </si>
  <si>
    <t>03/07/2020</t>
  </si>
  <si>
    <t>03/06/2020</t>
  </si>
  <si>
    <t>03/05/2020</t>
  </si>
  <si>
    <t>03/04/2020</t>
  </si>
  <si>
    <t>03/03/2020</t>
  </si>
  <si>
    <t>03/02/2020</t>
  </si>
  <si>
    <t>03/01/2020</t>
  </si>
  <si>
    <t>02/28/2020</t>
  </si>
  <si>
    <t>02/27/2020</t>
  </si>
  <si>
    <t>02/26/2020</t>
  </si>
  <si>
    <t>02/25/2020</t>
  </si>
  <si>
    <t>02/24/2020</t>
  </si>
  <si>
    <t>02/23/2020</t>
  </si>
  <si>
    <t>02/22/2020</t>
  </si>
  <si>
    <t>02/21/2020</t>
  </si>
  <si>
    <t>02/20/2020</t>
  </si>
  <si>
    <t>02/19/2020</t>
  </si>
  <si>
    <t>02/18/2020</t>
  </si>
  <si>
    <t>02/17/2020</t>
  </si>
  <si>
    <t>02/16/2020</t>
  </si>
  <si>
    <t>02/15/2020</t>
  </si>
  <si>
    <t>02/14/2020</t>
  </si>
  <si>
    <t>02/13/2020</t>
  </si>
  <si>
    <t>02/12/2020</t>
  </si>
  <si>
    <t>02/11/2020</t>
  </si>
  <si>
    <t>02/10/2020</t>
  </si>
  <si>
    <t>02/09/2020</t>
  </si>
  <si>
    <t>02/08/2020</t>
  </si>
  <si>
    <t>02/07/2020</t>
  </si>
  <si>
    <t>02/06/2020</t>
  </si>
  <si>
    <t>02/05/2020</t>
  </si>
  <si>
    <t>02/04/2020</t>
  </si>
  <si>
    <t>02/03/2020</t>
  </si>
  <si>
    <t>02/02/2020</t>
  </si>
  <si>
    <t>02/01/2020</t>
  </si>
  <si>
    <t>01/31/2020</t>
  </si>
  <si>
    <t>01/30/2020</t>
  </si>
  <si>
    <t>01/29/2020</t>
  </si>
  <si>
    <t>01/28/2020</t>
  </si>
  <si>
    <t>01/27/2020</t>
  </si>
  <si>
    <t>01/26/2020</t>
  </si>
  <si>
    <t>01/25/2020</t>
  </si>
  <si>
    <t>01/24/2020</t>
  </si>
  <si>
    <t>01/23/2020</t>
  </si>
  <si>
    <t>01/22/2020</t>
  </si>
  <si>
    <t>01/21/2020</t>
  </si>
  <si>
    <t>01/20/2020</t>
  </si>
  <si>
    <t>01/19/2020</t>
  </si>
  <si>
    <t>01/18/2020</t>
  </si>
  <si>
    <t>01/17/2020</t>
  </si>
  <si>
    <t>01/16/2020</t>
  </si>
  <si>
    <t>01/15/2020</t>
  </si>
  <si>
    <t>01/14/2020</t>
  </si>
  <si>
    <t>01/13/2020</t>
  </si>
  <si>
    <t>01/12/2020</t>
  </si>
  <si>
    <t>01/11/2020</t>
  </si>
  <si>
    <t>01/10/2020</t>
  </si>
  <si>
    <t>01/09/2020</t>
  </si>
  <si>
    <t>01/08/2020</t>
  </si>
  <si>
    <t>01/07/2020</t>
  </si>
  <si>
    <t>01/06/2020</t>
  </si>
  <si>
    <t>01/05/2020</t>
  </si>
  <si>
    <t>01/04/2020</t>
  </si>
  <si>
    <t>01/03/2020</t>
  </si>
  <si>
    <t>01/02/2020</t>
  </si>
  <si>
    <t>01/01/2020</t>
  </si>
  <si>
    <t>12/31/2019</t>
  </si>
  <si>
    <t>12/30/2019</t>
  </si>
  <si>
    <t>12/29/2019</t>
  </si>
  <si>
    <t>12/28/2019</t>
  </si>
  <si>
    <t>12/27/2019</t>
  </si>
  <si>
    <t>12/26/2019</t>
  </si>
  <si>
    <t>12/25/2019</t>
  </si>
  <si>
    <t>12/24/2019</t>
  </si>
  <si>
    <t>12/23/2019</t>
  </si>
  <si>
    <t>12/22/2019</t>
  </si>
  <si>
    <t>12/21/2019</t>
  </si>
  <si>
    <t>12/20/2019</t>
  </si>
  <si>
    <t>12/19/2019</t>
  </si>
  <si>
    <t>12/18/2019</t>
  </si>
  <si>
    <t>12/17/2019</t>
  </si>
  <si>
    <t>12/16/2019</t>
  </si>
  <si>
    <t>12/15/2019</t>
  </si>
  <si>
    <t>12/14/2019</t>
  </si>
  <si>
    <t>12/13/2019</t>
  </si>
  <si>
    <t>12/12/2019</t>
  </si>
  <si>
    <t>12/11/2019</t>
  </si>
  <si>
    <t>12/10/2019</t>
  </si>
  <si>
    <t>12/09/2019</t>
  </si>
  <si>
    <t>12/08/2019</t>
  </si>
  <si>
    <t>12/07/2019</t>
  </si>
  <si>
    <t>12/06/2019</t>
  </si>
  <si>
    <t>12/05/2019</t>
  </si>
  <si>
    <t>12/04/2019</t>
  </si>
  <si>
    <t>12/03/2019</t>
  </si>
  <si>
    <t>12/02/2019</t>
  </si>
  <si>
    <t>12/01/2019</t>
  </si>
  <si>
    <t>11/30/2019</t>
  </si>
  <si>
    <t>11/29/2019</t>
  </si>
  <si>
    <t>11/28/2019</t>
  </si>
  <si>
    <t>11/27/2019</t>
  </si>
  <si>
    <t>11/26/2019</t>
  </si>
  <si>
    <t>11/25/2019</t>
  </si>
  <si>
    <t>11/24/2019</t>
  </si>
  <si>
    <t>11/23/2019</t>
  </si>
  <si>
    <t>11/22/2019</t>
  </si>
  <si>
    <t>11/21/2019</t>
  </si>
  <si>
    <t>11/20/2019</t>
  </si>
  <si>
    <t>11/19/2019</t>
  </si>
  <si>
    <t>11/18/2019</t>
  </si>
  <si>
    <t>11/17/2019</t>
  </si>
  <si>
    <t>11/16/2019</t>
  </si>
  <si>
    <t>11/15/2019</t>
  </si>
  <si>
    <t>11/14/2019</t>
  </si>
  <si>
    <t>11/13/2019</t>
  </si>
  <si>
    <t>11/12/2019</t>
  </si>
  <si>
    <t>11/11/2019</t>
  </si>
  <si>
    <t>11/10/2019</t>
  </si>
  <si>
    <t>11/09/2019</t>
  </si>
  <si>
    <t>11/08/2019</t>
  </si>
  <si>
    <t>11/07/2019</t>
  </si>
  <si>
    <t>11/06/2019</t>
  </si>
  <si>
    <t>11/05/2019</t>
  </si>
  <si>
    <t>11/04/2019</t>
  </si>
  <si>
    <t>11/03/2019</t>
  </si>
  <si>
    <t>11/02/2019</t>
  </si>
  <si>
    <t>11/01/2019</t>
  </si>
  <si>
    <t>10/31/2019</t>
  </si>
  <si>
    <t>10/30/2019</t>
  </si>
  <si>
    <t>10/29/2019</t>
  </si>
  <si>
    <t>10/28/2019</t>
  </si>
  <si>
    <t>10/27/2019</t>
  </si>
  <si>
    <t>10/26/2019</t>
  </si>
  <si>
    <t>10/25/2019</t>
  </si>
  <si>
    <t>10/24/2019</t>
  </si>
  <si>
    <t>10/23/2019</t>
  </si>
  <si>
    <t>10/22/2019</t>
  </si>
  <si>
    <t>10/21/2019</t>
  </si>
  <si>
    <t>10/20/2019</t>
  </si>
  <si>
    <t>10/19/2019</t>
  </si>
  <si>
    <t>10/18/2019</t>
  </si>
  <si>
    <t>10/17/2019</t>
  </si>
  <si>
    <t>10/16/2019</t>
  </si>
  <si>
    <t>10/15/2019</t>
  </si>
  <si>
    <t>10/14/2019</t>
  </si>
  <si>
    <t>10/13/2019</t>
  </si>
  <si>
    <t>10/12/2019</t>
  </si>
  <si>
    <t>10/11/2019</t>
  </si>
  <si>
    <t>10/10/2019</t>
  </si>
  <si>
    <t>10/09/2019</t>
  </si>
  <si>
    <t>10/08/2019</t>
  </si>
  <si>
    <t>10/07/2019</t>
  </si>
  <si>
    <t>10/06/2019</t>
  </si>
  <si>
    <t>10/05/2019</t>
  </si>
  <si>
    <t>10/04/2019</t>
  </si>
  <si>
    <t>10/03/2019</t>
  </si>
  <si>
    <t>10/02/2019</t>
  </si>
  <si>
    <t>10/01/2019</t>
  </si>
  <si>
    <t>09/30/2019</t>
  </si>
  <si>
    <t>09/29/2019</t>
  </si>
  <si>
    <t>09/28/2019</t>
  </si>
  <si>
    <t>09/27/2019</t>
  </si>
  <si>
    <t>09/26/2019</t>
  </si>
  <si>
    <t>09/25/2019</t>
  </si>
  <si>
    <t>09/24/2019</t>
  </si>
  <si>
    <t>09/23/2019</t>
  </si>
  <si>
    <t>09/22/2019</t>
  </si>
  <si>
    <t>09/21/2019</t>
  </si>
  <si>
    <t>09/20/2019</t>
  </si>
  <si>
    <t>09/19/2019</t>
  </si>
  <si>
    <t>09/18/2019</t>
  </si>
  <si>
    <t>09/17/2019</t>
  </si>
  <si>
    <t>09/16/2019</t>
  </si>
  <si>
    <t>09/15/2019</t>
  </si>
  <si>
    <t>09/14/2019</t>
  </si>
  <si>
    <t>09/13/2019</t>
  </si>
  <si>
    <t>09/12/2019</t>
  </si>
  <si>
    <t>09/11/2019</t>
  </si>
  <si>
    <t>09/10/2019</t>
  </si>
  <si>
    <t>09/09/2019</t>
  </si>
  <si>
    <t>09/08/2019</t>
  </si>
  <si>
    <t>09/07/2019</t>
  </si>
  <si>
    <t>09/06/2019</t>
  </si>
  <si>
    <t>09/05/2019</t>
  </si>
  <si>
    <t>09/04/2019</t>
  </si>
  <si>
    <t>09/03/2019</t>
  </si>
  <si>
    <t>09/02/2019</t>
  </si>
  <si>
    <t>09/01/2019</t>
  </si>
  <si>
    <t>08/31/2019</t>
  </si>
  <si>
    <t>08/30/2019</t>
  </si>
  <si>
    <t>08/29/2019</t>
  </si>
  <si>
    <t>08/28/2019</t>
  </si>
  <si>
    <t>08/27/2019</t>
  </si>
  <si>
    <t>08/26/2019</t>
  </si>
  <si>
    <t>08/25/2019</t>
  </si>
  <si>
    <t>08/24/2019</t>
  </si>
  <si>
    <t>08/23/2019</t>
  </si>
  <si>
    <t>08/22/2019</t>
  </si>
  <si>
    <t>08/21/2019</t>
  </si>
  <si>
    <t>08/20/2019</t>
  </si>
  <si>
    <t>08/19/2019</t>
  </si>
  <si>
    <t>08/18/2019</t>
  </si>
  <si>
    <t>08/17/2019</t>
  </si>
  <si>
    <t>08/16/2019</t>
  </si>
  <si>
    <t>08/15/2019</t>
  </si>
  <si>
    <t>08/14/2019</t>
  </si>
  <si>
    <t>08/13/2019</t>
  </si>
  <si>
    <t>08/12/2019</t>
  </si>
  <si>
    <t>08/11/2019</t>
  </si>
  <si>
    <t>08/10/2019</t>
  </si>
  <si>
    <t>08/09/2019</t>
  </si>
  <si>
    <t>08/08/2019</t>
  </si>
  <si>
    <t>08/07/2019</t>
  </si>
  <si>
    <t>08/06/2019</t>
  </si>
  <si>
    <t>08/05/2019</t>
  </si>
  <si>
    <t>08/04/2019</t>
  </si>
  <si>
    <t>08/03/2019</t>
  </si>
  <si>
    <t>08/02/2019</t>
  </si>
  <si>
    <t>08/01/2019</t>
  </si>
  <si>
    <t>07/31/2019</t>
  </si>
  <si>
    <t>07/30/2019</t>
  </si>
  <si>
    <t>07/29/2019</t>
  </si>
  <si>
    <t>07/28/2019</t>
  </si>
  <si>
    <t>07/27/2019</t>
  </si>
  <si>
    <t>07/26/2019</t>
  </si>
  <si>
    <t>07/25/2019</t>
  </si>
  <si>
    <t>07/24/2019</t>
  </si>
  <si>
    <t>07/23/2019</t>
  </si>
  <si>
    <t>07/22/2019</t>
  </si>
  <si>
    <t>07/21/2019</t>
  </si>
  <si>
    <t>07/20/2019</t>
  </si>
  <si>
    <t>07/19/2019</t>
  </si>
  <si>
    <t>07/18/2019</t>
  </si>
  <si>
    <t>07/17/2019</t>
  </si>
  <si>
    <t>07/16/2019</t>
  </si>
  <si>
    <t>07/15/2019</t>
  </si>
  <si>
    <t>07/14/2019</t>
  </si>
  <si>
    <t>07/13/2019</t>
  </si>
  <si>
    <t>07/12/2019</t>
  </si>
  <si>
    <t>07/11/2019</t>
  </si>
  <si>
    <t>07/10/2019</t>
  </si>
  <si>
    <t>07/09/2019</t>
  </si>
  <si>
    <t>07/08/2019</t>
  </si>
  <si>
    <t>07/07/2019</t>
  </si>
  <si>
    <t>07/06/2019</t>
  </si>
  <si>
    <t>07/05/2019</t>
  </si>
  <si>
    <t>07/04/2019</t>
  </si>
  <si>
    <t>07/03/2019</t>
  </si>
  <si>
    <t>07/02/2019</t>
  </si>
  <si>
    <t>07/01/2019</t>
  </si>
  <si>
    <t>06/30/2019</t>
  </si>
  <si>
    <t>06/29/2019</t>
  </si>
  <si>
    <t>06/28/2019</t>
  </si>
  <si>
    <t>06/27/2019</t>
  </si>
  <si>
    <t>06/26/2019</t>
  </si>
  <si>
    <t>06/25/2019</t>
  </si>
  <si>
    <t>06/24/2019</t>
  </si>
  <si>
    <t>06/23/2019</t>
  </si>
  <si>
    <t>06/22/2019</t>
  </si>
  <si>
    <t>06/21/2019</t>
  </si>
  <si>
    <t>06/20/2019</t>
  </si>
  <si>
    <t>06/19/2019</t>
  </si>
  <si>
    <t>06/18/2019</t>
  </si>
  <si>
    <t>06/17/2019</t>
  </si>
  <si>
    <t>06/16/2019</t>
  </si>
  <si>
    <t>06/15/2019</t>
  </si>
  <si>
    <t>06/14/2019</t>
  </si>
  <si>
    <t>06/13/2019</t>
  </si>
  <si>
    <t>06/12/2019</t>
  </si>
  <si>
    <t>06/11/2019</t>
  </si>
  <si>
    <t>06/10/2019</t>
  </si>
  <si>
    <t>06/09/2019</t>
  </si>
  <si>
    <t>06/08/2019</t>
  </si>
  <si>
    <t>06/07/2019</t>
  </si>
  <si>
    <t>06/06/2019</t>
  </si>
  <si>
    <t>06/05/2019</t>
  </si>
  <si>
    <t>06/04/2019</t>
  </si>
  <si>
    <t>06/03/2019</t>
  </si>
  <si>
    <t>06/02/2019</t>
  </si>
  <si>
    <t>06/01/2019</t>
  </si>
  <si>
    <t>05/31/2019</t>
  </si>
  <si>
    <t>05/30/2019</t>
  </si>
  <si>
    <t>05/29/2019</t>
  </si>
  <si>
    <t>05/28/2019</t>
  </si>
  <si>
    <t>05/27/2019</t>
  </si>
  <si>
    <t>05/26/2019</t>
  </si>
  <si>
    <t>05/25/2019</t>
  </si>
  <si>
    <t>05/24/2019</t>
  </si>
  <si>
    <t>05/23/2019</t>
  </si>
  <si>
    <t>05/22/2019</t>
  </si>
  <si>
    <t>05/21/2019</t>
  </si>
  <si>
    <t>05/20/2019</t>
  </si>
  <si>
    <t>05/19/2019</t>
  </si>
  <si>
    <t>05/18/2019</t>
  </si>
  <si>
    <t>05/17/2019</t>
  </si>
  <si>
    <t>05/16/2019</t>
  </si>
  <si>
    <t>05/15/2019</t>
  </si>
  <si>
    <t>05/14/2019</t>
  </si>
  <si>
    <t>05/13/2019</t>
  </si>
  <si>
    <t>05/12/2019</t>
  </si>
  <si>
    <t>05/11/2019</t>
  </si>
  <si>
    <t>05/10/2019</t>
  </si>
  <si>
    <t>05/09/2019</t>
  </si>
  <si>
    <t>05/08/2019</t>
  </si>
  <si>
    <t>05/07/2019</t>
  </si>
  <si>
    <t>05/06/2019</t>
  </si>
  <si>
    <t>05/05/2019</t>
  </si>
  <si>
    <t>05/04/2019</t>
  </si>
  <si>
    <t>05/03/2019</t>
  </si>
  <si>
    <t>05/02/2019</t>
  </si>
  <si>
    <t>05/01/2019</t>
  </si>
  <si>
    <t>04/30/2019</t>
  </si>
  <si>
    <t>04/29/2019</t>
  </si>
  <si>
    <t>04/28/2019</t>
  </si>
  <si>
    <t>04/27/2019</t>
  </si>
  <si>
    <t>04/26/2019</t>
  </si>
  <si>
    <t>04/25/2019</t>
  </si>
  <si>
    <t>04/24/2019</t>
  </si>
  <si>
    <t>04/23/2019</t>
  </si>
  <si>
    <t>04/22/2019</t>
  </si>
  <si>
    <t>04/21/2019</t>
  </si>
  <si>
    <t>04/20/2019</t>
  </si>
  <si>
    <t>04/19/2019</t>
  </si>
  <si>
    <t>04/18/2019</t>
  </si>
  <si>
    <t>04/17/2019</t>
  </si>
  <si>
    <t>04/16/2019</t>
  </si>
  <si>
    <t>04/15/2019</t>
  </si>
  <si>
    <t>04/14/2019</t>
  </si>
  <si>
    <t>04/13/2019</t>
  </si>
  <si>
    <t>04/12/2019</t>
  </si>
  <si>
    <t>04/11/2019</t>
  </si>
  <si>
    <t>04/10/2019</t>
  </si>
  <si>
    <t>04/09/2019</t>
  </si>
  <si>
    <t>04/08/2019</t>
  </si>
  <si>
    <t>04/07/2019</t>
  </si>
  <si>
    <t>04/06/2019</t>
  </si>
  <si>
    <t>04/05/2019</t>
  </si>
  <si>
    <t>04/04/2019</t>
  </si>
  <si>
    <t>04/03/2019</t>
  </si>
  <si>
    <t>04/02/2019</t>
  </si>
  <si>
    <t>04/01/2019</t>
  </si>
  <si>
    <t>03/31/2019</t>
  </si>
  <si>
    <t>03/30/2019</t>
  </si>
  <si>
    <t>03/29/2019</t>
  </si>
  <si>
    <t>03/28/2019</t>
  </si>
  <si>
    <t>03/27/2019</t>
  </si>
  <si>
    <t>03/26/2019</t>
  </si>
  <si>
    <t>03/25/2019</t>
  </si>
  <si>
    <t>03/24/2019</t>
  </si>
  <si>
    <t>03/23/2019</t>
  </si>
  <si>
    <t>03/22/2019</t>
  </si>
  <si>
    <t>03/21/2019</t>
  </si>
  <si>
    <t>03/20/2019</t>
  </si>
  <si>
    <t>03/19/2019</t>
  </si>
  <si>
    <t>03/18/2019</t>
  </si>
  <si>
    <t>03/17/2019</t>
  </si>
  <si>
    <t>03/16/2019</t>
  </si>
  <si>
    <t>03/15/2019</t>
  </si>
  <si>
    <t>03/14/2019</t>
  </si>
  <si>
    <t>03/13/2019</t>
  </si>
  <si>
    <t>03/12/2019</t>
  </si>
  <si>
    <t>03/11/2019</t>
  </si>
  <si>
    <t>03/10/2019</t>
  </si>
  <si>
    <t>03/09/2019</t>
  </si>
  <si>
    <t>03/08/2019</t>
  </si>
  <si>
    <t>03/07/2019</t>
  </si>
  <si>
    <t>03/06/2019</t>
  </si>
  <si>
    <t>03/05/2019</t>
  </si>
  <si>
    <t>03/04/2019</t>
  </si>
  <si>
    <t>03/03/2019</t>
  </si>
  <si>
    <t>03/02/2019</t>
  </si>
  <si>
    <t>03/01/2019</t>
  </si>
  <si>
    <t>02/28/2019</t>
  </si>
  <si>
    <t>02/27/2019</t>
  </si>
  <si>
    <t>02/26/2019</t>
  </si>
  <si>
    <t>02/25/2019</t>
  </si>
  <si>
    <t>02/24/2019</t>
  </si>
  <si>
    <t>02/23/2019</t>
  </si>
  <si>
    <t>02/22/2019</t>
  </si>
  <si>
    <t>02/21/2019</t>
  </si>
  <si>
    <t>02/20/2019</t>
  </si>
  <si>
    <t>02/19/2019</t>
  </si>
  <si>
    <t>02/18/2019</t>
  </si>
  <si>
    <t>02/17/2019</t>
  </si>
  <si>
    <t>02/16/2019</t>
  </si>
  <si>
    <t>02/15/2019</t>
  </si>
  <si>
    <t>02/14/2019</t>
  </si>
  <si>
    <t>02/13/2019</t>
  </si>
  <si>
    <t>02/12/2019</t>
  </si>
  <si>
    <t>02/11/2019</t>
  </si>
  <si>
    <t>02/10/2019</t>
  </si>
  <si>
    <t>02/09/2019</t>
  </si>
  <si>
    <t>02/08/2019</t>
  </si>
  <si>
    <t>02/07/2019</t>
  </si>
  <si>
    <t>02/06/2019</t>
  </si>
  <si>
    <t>02/05/2019</t>
  </si>
  <si>
    <t>02/04/2019</t>
  </si>
  <si>
    <t>02/03/2019</t>
  </si>
  <si>
    <t>02/02/2019</t>
  </si>
  <si>
    <t>02/01/2019</t>
  </si>
  <si>
    <t>01/31/2019</t>
  </si>
  <si>
    <t>01/30/2019</t>
  </si>
  <si>
    <t>01/29/2019</t>
  </si>
  <si>
    <t>01/28/2019</t>
  </si>
  <si>
    <t>01/27/2019</t>
  </si>
  <si>
    <t>01/26/2019</t>
  </si>
  <si>
    <t>01/25/2019</t>
  </si>
  <si>
    <t>01/24/2019</t>
  </si>
  <si>
    <t>01/23/2019</t>
  </si>
  <si>
    <t>01/22/2019</t>
  </si>
  <si>
    <t>01/21/2019</t>
  </si>
  <si>
    <t>01/20/2019</t>
  </si>
  <si>
    <t>01/19/2019</t>
  </si>
  <si>
    <t>01/18/2019</t>
  </si>
  <si>
    <t>01/17/2019</t>
  </si>
  <si>
    <t>01/16/2019</t>
  </si>
  <si>
    <t>01/15/2019</t>
  </si>
  <si>
    <t>01/14/2019</t>
  </si>
  <si>
    <t>01/13/2019</t>
  </si>
  <si>
    <t>01/12/2019</t>
  </si>
  <si>
    <t>01/11/2019</t>
  </si>
  <si>
    <t>01/10/2019</t>
  </si>
  <si>
    <t>01/09/2019</t>
  </si>
  <si>
    <t>01/08/2019</t>
  </si>
  <si>
    <t>01/07/2019</t>
  </si>
  <si>
    <t>01/06/2019</t>
  </si>
  <si>
    <t>01/05/2019</t>
  </si>
  <si>
    <t>01/04/2019</t>
  </si>
  <si>
    <t>01/03/2019</t>
  </si>
  <si>
    <t>01/02/2019</t>
  </si>
  <si>
    <t>01/01/2019</t>
  </si>
  <si>
    <t>12/31/2018</t>
  </si>
  <si>
    <t>12/30/2018</t>
  </si>
  <si>
    <t>12/29/2018</t>
  </si>
  <si>
    <t>12/28/2018</t>
  </si>
  <si>
    <t>12/27/2018</t>
  </si>
  <si>
    <t>12/26/2018</t>
  </si>
  <si>
    <t>12/25/2018</t>
  </si>
  <si>
    <t>12/24/2018</t>
  </si>
  <si>
    <t>12/23/2018</t>
  </si>
  <si>
    <t>12/22/2018</t>
  </si>
  <si>
    <t>12/21/2018</t>
  </si>
  <si>
    <t>12/20/2018</t>
  </si>
  <si>
    <t>12/19/2018</t>
  </si>
  <si>
    <t>12/18/2018</t>
  </si>
  <si>
    <t>12/17/2018</t>
  </si>
  <si>
    <t>12/16/2018</t>
  </si>
  <si>
    <t>12/15/2018</t>
  </si>
  <si>
    <t>12/14/2018</t>
  </si>
  <si>
    <t>12/13/2018</t>
  </si>
  <si>
    <t>12/12/2018</t>
  </si>
  <si>
    <t>12/11/2018</t>
  </si>
  <si>
    <t>12/10/2018</t>
  </si>
  <si>
    <t>12/09/2018</t>
  </si>
  <si>
    <t>12/08/2018</t>
  </si>
  <si>
    <t>12/07/2018</t>
  </si>
  <si>
    <t>12/06/2018</t>
  </si>
  <si>
    <t>12/05/2018</t>
  </si>
  <si>
    <t>12/04/2018</t>
  </si>
  <si>
    <t>12/03/2018</t>
  </si>
  <si>
    <t>12/02/2018</t>
  </si>
  <si>
    <t>12/01/2018</t>
  </si>
  <si>
    <t>11/30/2018</t>
  </si>
  <si>
    <t>11/29/2018</t>
  </si>
  <si>
    <t>11/28/2018</t>
  </si>
  <si>
    <t>11/27/2018</t>
  </si>
  <si>
    <t>11/26/2018</t>
  </si>
  <si>
    <t>11/25/2018</t>
  </si>
  <si>
    <t>11/24/2018</t>
  </si>
  <si>
    <t>11/23/2018</t>
  </si>
  <si>
    <t>11/22/2018</t>
  </si>
  <si>
    <t>11/21/2018</t>
  </si>
  <si>
    <t>11/20/2018</t>
  </si>
  <si>
    <t>11/19/2018</t>
  </si>
  <si>
    <t>11/18/2018</t>
  </si>
  <si>
    <t>11/17/2018</t>
  </si>
  <si>
    <t>11/16/2018</t>
  </si>
  <si>
    <t>11/15/2018</t>
  </si>
  <si>
    <t>11/14/2018</t>
  </si>
  <si>
    <t>11/13/2018</t>
  </si>
  <si>
    <t>11/12/2018</t>
  </si>
  <si>
    <t>11/11/2018</t>
  </si>
  <si>
    <t>11/10/2018</t>
  </si>
  <si>
    <t>11/09/2018</t>
  </si>
  <si>
    <t>11/08/2018</t>
  </si>
  <si>
    <t>11/07/2018</t>
  </si>
  <si>
    <t>11/06/2018</t>
  </si>
  <si>
    <t>11/05/2018</t>
  </si>
  <si>
    <t>11/04/2018</t>
  </si>
  <si>
    <t>11/03/2018</t>
  </si>
  <si>
    <t>11/02/2018</t>
  </si>
  <si>
    <t>11/01/2018</t>
  </si>
  <si>
    <t>10/31/2018</t>
  </si>
  <si>
    <t>10/30/2018</t>
  </si>
  <si>
    <t>10/29/2018</t>
  </si>
  <si>
    <t>10/28/2018</t>
  </si>
  <si>
    <t>10/27/2018</t>
  </si>
  <si>
    <t>10/26/2018</t>
  </si>
  <si>
    <t>10/25/2018</t>
  </si>
  <si>
    <t>10/24/2018</t>
  </si>
  <si>
    <t>10/23/2018</t>
  </si>
  <si>
    <t>10/22/2018</t>
  </si>
  <si>
    <t>10/21/2018</t>
  </si>
  <si>
    <t>10/20/2018</t>
  </si>
  <si>
    <t>10/19/2018</t>
  </si>
  <si>
    <t>10/18/2018</t>
  </si>
  <si>
    <t>10/17/2018</t>
  </si>
  <si>
    <t>10/16/2018</t>
  </si>
  <si>
    <t>10/15/2018</t>
  </si>
  <si>
    <t>10/14/2018</t>
  </si>
  <si>
    <t>10/13/2018</t>
  </si>
  <si>
    <t>10/12/2018</t>
  </si>
  <si>
    <t>10/11/2018</t>
  </si>
  <si>
    <t>10/10/2018</t>
  </si>
  <si>
    <t>10/09/2018</t>
  </si>
  <si>
    <t>10/08/2018</t>
  </si>
  <si>
    <t>10/07/2018</t>
  </si>
  <si>
    <t>10/06/2018</t>
  </si>
  <si>
    <t>10/05/2018</t>
  </si>
  <si>
    <t>10/04/2018</t>
  </si>
  <si>
    <t>10/03/2018</t>
  </si>
  <si>
    <t>10/02/2018</t>
  </si>
  <si>
    <t>10/01/2018</t>
  </si>
  <si>
    <t>09/30/2018</t>
  </si>
  <si>
    <t>09/29/2018</t>
  </si>
  <si>
    <t>09/28/2018</t>
  </si>
  <si>
    <t>09/27/2018</t>
  </si>
  <si>
    <t>09/26/2018</t>
  </si>
  <si>
    <t>09/25/2018</t>
  </si>
  <si>
    <t>09/24/2018</t>
  </si>
  <si>
    <t>09/23/2018</t>
  </si>
  <si>
    <t>09/22/2018</t>
  </si>
  <si>
    <t>09/21/2018</t>
  </si>
  <si>
    <t>09/20/2018</t>
  </si>
  <si>
    <t>09/19/2018</t>
  </si>
  <si>
    <t>09/18/2018</t>
  </si>
  <si>
    <t>09/17/2018</t>
  </si>
  <si>
    <t>09/16/2018</t>
  </si>
  <si>
    <t>09/15/2018</t>
  </si>
  <si>
    <t>09/14/2018</t>
  </si>
  <si>
    <t>09/13/2018</t>
  </si>
  <si>
    <t>09/12/2018</t>
  </si>
  <si>
    <t>09/11/2018</t>
  </si>
  <si>
    <t>09/10/2018</t>
  </si>
  <si>
    <t>09/09/2018</t>
  </si>
  <si>
    <t>09/08/2018</t>
  </si>
  <si>
    <t>09/07/2018</t>
  </si>
  <si>
    <t>09/06/2018</t>
  </si>
  <si>
    <t>09/05/2018</t>
  </si>
  <si>
    <t>09/04/2018</t>
  </si>
  <si>
    <t>09/03/2018</t>
  </si>
  <si>
    <t>09/02/2018</t>
  </si>
  <si>
    <t>09/01/2018</t>
  </si>
  <si>
    <t>08/31/2018</t>
  </si>
  <si>
    <t>08/30/2018</t>
  </si>
  <si>
    <t>08/29/2018</t>
  </si>
  <si>
    <t>08/28/2018</t>
  </si>
  <si>
    <t>08/27/2018</t>
  </si>
  <si>
    <t>08/26/2018</t>
  </si>
  <si>
    <t>08/25/2018</t>
  </si>
  <si>
    <t>08/24/2018</t>
  </si>
  <si>
    <t>08/23/2018</t>
  </si>
  <si>
    <t>08/22/2018</t>
  </si>
  <si>
    <t>08/21/2018</t>
  </si>
  <si>
    <t>08/20/2018</t>
  </si>
  <si>
    <t>08/19/2018</t>
  </si>
  <si>
    <t>08/18/2018</t>
  </si>
  <si>
    <t>08/17/2018</t>
  </si>
  <si>
    <t>08/16/2018</t>
  </si>
  <si>
    <t>08/15/2018</t>
  </si>
  <si>
    <t>08/14/2018</t>
  </si>
  <si>
    <t>08/13/2018</t>
  </si>
  <si>
    <t>08/12/2018</t>
  </si>
  <si>
    <t>08/11/2018</t>
  </si>
  <si>
    <t>08/10/2018</t>
  </si>
  <si>
    <t>08/09/2018</t>
  </si>
  <si>
    <t>08/08/2018</t>
  </si>
  <si>
    <t>08/07/2018</t>
  </si>
  <si>
    <t>08/06/2018</t>
  </si>
  <si>
    <t>08/05/2018</t>
  </si>
  <si>
    <t>08/04/2018</t>
  </si>
  <si>
    <t>08/03/2018</t>
  </si>
  <si>
    <t>08/02/2018</t>
  </si>
  <si>
    <t>08/01/2018</t>
  </si>
  <si>
    <t>07/31/2018</t>
  </si>
  <si>
    <t>07/30/2018</t>
  </si>
  <si>
    <t>07/29/2018</t>
  </si>
  <si>
    <t>07/28/2018</t>
  </si>
  <si>
    <t>07/27/2018</t>
  </si>
  <si>
    <t>07/26/2018</t>
  </si>
  <si>
    <t>07/25/2018</t>
  </si>
  <si>
    <t>07/24/2018</t>
  </si>
  <si>
    <t>07/23/2018</t>
  </si>
  <si>
    <t>07/22/2018</t>
  </si>
  <si>
    <t>07/21/2018</t>
  </si>
  <si>
    <t>07/20/2018</t>
  </si>
  <si>
    <t>07/19/2018</t>
  </si>
  <si>
    <t>07/18/2018</t>
  </si>
  <si>
    <t>07/17/2018</t>
  </si>
  <si>
    <t>07/16/2018</t>
  </si>
  <si>
    <t>07/15/2018</t>
  </si>
  <si>
    <t>07/14/2018</t>
  </si>
  <si>
    <t>07/13/2018</t>
  </si>
  <si>
    <t>07/12/2018</t>
  </si>
  <si>
    <t>07/11/2018</t>
  </si>
  <si>
    <t>07/10/2018</t>
  </si>
  <si>
    <t>07/09/2018</t>
  </si>
  <si>
    <t>07/08/2018</t>
  </si>
  <si>
    <t>07/07/2018</t>
  </si>
  <si>
    <t>07/06/2018</t>
  </si>
  <si>
    <t>07/05/2018</t>
  </si>
  <si>
    <t>07/04/2018</t>
  </si>
  <si>
    <t>07/03/2018</t>
  </si>
  <si>
    <t>07/02/2018</t>
  </si>
  <si>
    <t>07/01/2018</t>
  </si>
  <si>
    <t>06/30/2018</t>
  </si>
  <si>
    <t>06/29/2018</t>
  </si>
  <si>
    <t>06/28/2018</t>
  </si>
  <si>
    <t>06/27/2018</t>
  </si>
  <si>
    <t>06/26/2018</t>
  </si>
  <si>
    <t>06/25/2018</t>
  </si>
  <si>
    <t>06/24/2018</t>
  </si>
  <si>
    <t>06/23/2018</t>
  </si>
  <si>
    <t>06/22/2018</t>
  </si>
  <si>
    <t>06/21/2018</t>
  </si>
  <si>
    <t>06/20/2018</t>
  </si>
  <si>
    <t>06/19/2018</t>
  </si>
  <si>
    <t>06/18/2018</t>
  </si>
  <si>
    <t>06/17/2018</t>
  </si>
  <si>
    <t>06/16/2018</t>
  </si>
  <si>
    <t>06/15/2018</t>
  </si>
  <si>
    <t>06/14/2018</t>
  </si>
  <si>
    <t>06/13/2018</t>
  </si>
  <si>
    <t>06/12/2018</t>
  </si>
  <si>
    <t>06/11/2018</t>
  </si>
  <si>
    <t>06/10/2018</t>
  </si>
  <si>
    <t>06/09/2018</t>
  </si>
  <si>
    <t>06/08/2018</t>
  </si>
  <si>
    <t>06/07/2018</t>
  </si>
  <si>
    <t>06/06/2018</t>
  </si>
  <si>
    <t>06/05/2018</t>
  </si>
  <si>
    <t>06/04/2018</t>
  </si>
  <si>
    <t>06/03/2018</t>
  </si>
  <si>
    <t>06/02/2018</t>
  </si>
  <si>
    <t>06/01/2018</t>
  </si>
  <si>
    <t>05/31/2018</t>
  </si>
  <si>
    <t>05/30/2018</t>
  </si>
  <si>
    <t>05/29/2018</t>
  </si>
  <si>
    <t>05/28/2018</t>
  </si>
  <si>
    <t>05/27/2018</t>
  </si>
  <si>
    <t>05/26/2018</t>
  </si>
  <si>
    <t>05/25/2018</t>
  </si>
  <si>
    <t>05/24/2018</t>
  </si>
  <si>
    <t>05/23/2018</t>
  </si>
  <si>
    <t>05/22/2018</t>
  </si>
  <si>
    <t>05/21/2018</t>
  </si>
  <si>
    <t>05/20/2018</t>
  </si>
  <si>
    <t>05/19/2018</t>
  </si>
  <si>
    <t>05/18/2018</t>
  </si>
  <si>
    <t>05/17/2018</t>
  </si>
  <si>
    <t>05/16/2018</t>
  </si>
  <si>
    <t>05/15/2018</t>
  </si>
  <si>
    <t>05/14/2018</t>
  </si>
  <si>
    <t>05/13/2018</t>
  </si>
  <si>
    <t>05/12/2018</t>
  </si>
  <si>
    <t>05/11/2018</t>
  </si>
  <si>
    <t>05/10/2018</t>
  </si>
  <si>
    <t>05/09/2018</t>
  </si>
  <si>
    <t>05/08/2018</t>
  </si>
  <si>
    <t>05/07/2018</t>
  </si>
  <si>
    <t>05/06/2018</t>
  </si>
  <si>
    <t>05/05/2018</t>
  </si>
  <si>
    <t>05/04/2018</t>
  </si>
  <si>
    <t>05/03/2018</t>
  </si>
  <si>
    <t>05/02/2018</t>
  </si>
  <si>
    <t>05/01/2018</t>
  </si>
  <si>
    <t>04/30/2018</t>
  </si>
  <si>
    <t>04/29/2018</t>
  </si>
  <si>
    <t>04/28/2018</t>
  </si>
  <si>
    <t>04/27/2018</t>
  </si>
  <si>
    <t>04/26/2018</t>
  </si>
  <si>
    <t>04/25/2018</t>
  </si>
  <si>
    <t>04/24/2018</t>
  </si>
  <si>
    <t>04/23/2018</t>
  </si>
  <si>
    <t>04/22/2018</t>
  </si>
  <si>
    <t>04/21/2018</t>
  </si>
  <si>
    <t>04/20/2018</t>
  </si>
  <si>
    <t>04/19/2018</t>
  </si>
  <si>
    <t>04/18/2018</t>
  </si>
  <si>
    <t>04/17/2018</t>
  </si>
  <si>
    <t>04/16/2018</t>
  </si>
  <si>
    <t>04/15/2018</t>
  </si>
  <si>
    <t>04/14/2018</t>
  </si>
  <si>
    <t>04/13/2018</t>
  </si>
  <si>
    <t>04/12/2018</t>
  </si>
  <si>
    <t>04/11/2018</t>
  </si>
  <si>
    <t>04/10/2018</t>
  </si>
  <si>
    <t>04/09/2018</t>
  </si>
  <si>
    <t>04/08/2018</t>
  </si>
  <si>
    <t>04/07/2018</t>
  </si>
  <si>
    <t>04/06/2018</t>
  </si>
  <si>
    <t>04/05/2018</t>
  </si>
  <si>
    <t>04/04/2018</t>
  </si>
  <si>
    <t>04/03/2018</t>
  </si>
  <si>
    <t>04/02/2018</t>
  </si>
  <si>
    <t>04/01/2018</t>
  </si>
  <si>
    <t>03/31/2018</t>
  </si>
  <si>
    <t>03/30/2018</t>
  </si>
  <si>
    <t>03/29/2018</t>
  </si>
  <si>
    <t>03/28/2018</t>
  </si>
  <si>
    <t>03/27/2018</t>
  </si>
  <si>
    <t>03/26/2018</t>
  </si>
  <si>
    <t>03/25/2018</t>
  </si>
  <si>
    <t>03/24/2018</t>
  </si>
  <si>
    <t>03/23/2018</t>
  </si>
  <si>
    <t>03/22/2018</t>
  </si>
  <si>
    <t>03/21/2018</t>
  </si>
  <si>
    <t>03/20/2018</t>
  </si>
  <si>
    <t>03/19/2018</t>
  </si>
  <si>
    <t>03/18/2018</t>
  </si>
  <si>
    <t>03/17/2018</t>
  </si>
  <si>
    <t>03/16/2018</t>
  </si>
  <si>
    <t>03/15/2018</t>
  </si>
  <si>
    <t>03/14/2018</t>
  </si>
  <si>
    <t>03/13/2018</t>
  </si>
  <si>
    <t>03/12/2018</t>
  </si>
  <si>
    <t>03/11/2018</t>
  </si>
  <si>
    <t>03/10/2018</t>
  </si>
  <si>
    <t>03/09/2018</t>
  </si>
  <si>
    <t>03/08/2018</t>
  </si>
  <si>
    <t>03/07/2018</t>
  </si>
  <si>
    <t>03/06/2018</t>
  </si>
  <si>
    <t>03/05/2018</t>
  </si>
  <si>
    <t>03/04/2018</t>
  </si>
  <si>
    <t>03/03/2018</t>
  </si>
  <si>
    <t>03/02/2018</t>
  </si>
  <si>
    <t>03/01/2018</t>
  </si>
  <si>
    <t>02/28/2018</t>
  </si>
  <si>
    <t>02/27/2018</t>
  </si>
  <si>
    <t>02/26/2018</t>
  </si>
  <si>
    <t>02/25/2018</t>
  </si>
  <si>
    <t>02/24/2018</t>
  </si>
  <si>
    <t>02/23/2018</t>
  </si>
  <si>
    <t>02/22/2018</t>
  </si>
  <si>
    <t>02/21/2018</t>
  </si>
  <si>
    <t>02/20/2018</t>
  </si>
  <si>
    <t>02/19/2018</t>
  </si>
  <si>
    <t>02/18/2018</t>
  </si>
  <si>
    <t>02/17/2018</t>
  </si>
  <si>
    <t>02/16/2018</t>
  </si>
  <si>
    <t>02/15/2018</t>
  </si>
  <si>
    <t>02/14/2018</t>
  </si>
  <si>
    <t>02/13/2018</t>
  </si>
  <si>
    <t>02/12/2018</t>
  </si>
  <si>
    <t>02/11/2018</t>
  </si>
  <si>
    <t>02/10/2018</t>
  </si>
  <si>
    <t>02/09/2018</t>
  </si>
  <si>
    <t>02/08/2018</t>
  </si>
  <si>
    <t>02/07/2018</t>
  </si>
  <si>
    <t>02/06/2018</t>
  </si>
  <si>
    <t>02/05/2018</t>
  </si>
  <si>
    <t>02/04/2018</t>
  </si>
  <si>
    <t>02/03/2018</t>
  </si>
  <si>
    <t>02/02/2018</t>
  </si>
  <si>
    <t>02/01/2018</t>
  </si>
  <si>
    <t>01/31/2018</t>
  </si>
  <si>
    <t>01/30/2018</t>
  </si>
  <si>
    <t>01/29/2018</t>
  </si>
  <si>
    <t>01/28/2018</t>
  </si>
  <si>
    <t>01/27/2018</t>
  </si>
  <si>
    <t>01/26/2018</t>
  </si>
  <si>
    <t>01/25/2018</t>
  </si>
  <si>
    <t>01/24/2018</t>
  </si>
  <si>
    <t>01/23/2018</t>
  </si>
  <si>
    <t>01/22/2018</t>
  </si>
  <si>
    <t>01/21/2018</t>
  </si>
  <si>
    <t>01/20/2018</t>
  </si>
  <si>
    <t>01/19/2018</t>
  </si>
  <si>
    <t>01/18/2018</t>
  </si>
  <si>
    <t>01/17/2018</t>
  </si>
  <si>
    <t>01/16/2018</t>
  </si>
  <si>
    <t>01/15/2018</t>
  </si>
  <si>
    <t>01/14/2018</t>
  </si>
  <si>
    <t>01/13/2018</t>
  </si>
  <si>
    <t>01/12/2018</t>
  </si>
  <si>
    <t>01/11/2018</t>
  </si>
  <si>
    <t>01/10/2018</t>
  </si>
  <si>
    <t>01/09/2018</t>
  </si>
  <si>
    <t>01/08/2018</t>
  </si>
  <si>
    <t>01/07/2018</t>
  </si>
  <si>
    <t>01/06/2018</t>
  </si>
  <si>
    <t>01/05/2018</t>
  </si>
  <si>
    <t>01/04/2018</t>
  </si>
  <si>
    <t>01/03/2018</t>
  </si>
  <si>
    <t>01/02/2018</t>
  </si>
  <si>
    <t>01/01/2018</t>
  </si>
  <si>
    <t>12/31/2017</t>
  </si>
  <si>
    <t>12/30/2017</t>
  </si>
  <si>
    <t>12/29/2017</t>
  </si>
  <si>
    <t>12/28/2017</t>
  </si>
  <si>
    <t>12/27/2017</t>
  </si>
  <si>
    <t>12/26/2017</t>
  </si>
  <si>
    <t>12/25/2017</t>
  </si>
  <si>
    <t>12/24/2017</t>
  </si>
  <si>
    <t>12/23/2017</t>
  </si>
  <si>
    <t>12/22/2017</t>
  </si>
  <si>
    <t>12/21/2017</t>
  </si>
  <si>
    <t>12/20/2017</t>
  </si>
  <si>
    <t>12/19/2017</t>
  </si>
  <si>
    <t>12/18/2017</t>
  </si>
  <si>
    <t>12/17/2017</t>
  </si>
  <si>
    <t>12/16/2017</t>
  </si>
  <si>
    <t>12/15/2017</t>
  </si>
  <si>
    <t>12/14/2017</t>
  </si>
  <si>
    <t>12/13/2017</t>
  </si>
  <si>
    <t>12/12/2017</t>
  </si>
  <si>
    <t>12/11/2017</t>
  </si>
  <si>
    <t>12/10/2017</t>
  </si>
  <si>
    <t>12/09/2017</t>
  </si>
  <si>
    <t>12/08/2017</t>
  </si>
  <si>
    <t>12/07/2017</t>
  </si>
  <si>
    <t>12/06/2017</t>
  </si>
  <si>
    <t>12/05/2017</t>
  </si>
  <si>
    <t>12/04/2017</t>
  </si>
  <si>
    <t>12/03/2017</t>
  </si>
  <si>
    <t>12/02/2017</t>
  </si>
  <si>
    <t>12/01/2017</t>
  </si>
  <si>
    <t>11/30/2017</t>
  </si>
  <si>
    <t>11/29/2017</t>
  </si>
  <si>
    <t>11/28/2017</t>
  </si>
  <si>
    <t>11/27/2017</t>
  </si>
  <si>
    <t>11/26/2017</t>
  </si>
  <si>
    <t>11/25/2017</t>
  </si>
  <si>
    <t>11/24/2017</t>
  </si>
  <si>
    <t>11/23/2017</t>
  </si>
  <si>
    <t>11/22/2017</t>
  </si>
  <si>
    <t>11/21/2017</t>
  </si>
  <si>
    <t>11/20/2017</t>
  </si>
  <si>
    <t>11/19/2017</t>
  </si>
  <si>
    <t>11/18/2017</t>
  </si>
  <si>
    <t>11/17/2017</t>
  </si>
  <si>
    <t>11/16/2017</t>
  </si>
  <si>
    <t>11/15/2017</t>
  </si>
  <si>
    <t>11/14/2017</t>
  </si>
  <si>
    <t>11/13/2017</t>
  </si>
  <si>
    <t>11/12/2017</t>
  </si>
  <si>
    <t>11/11/2017</t>
  </si>
  <si>
    <t>11/10/2017</t>
  </si>
  <si>
    <t>11/09/2017</t>
  </si>
  <si>
    <t>11/08/2017</t>
  </si>
  <si>
    <t>11/07/2017</t>
  </si>
  <si>
    <t>11/06/2017</t>
  </si>
  <si>
    <t>11/05/2017</t>
  </si>
  <si>
    <t>11/04/2017</t>
  </si>
  <si>
    <t>11/03/2017</t>
  </si>
  <si>
    <t>11/02/2017</t>
  </si>
  <si>
    <t>11/01/2017</t>
  </si>
  <si>
    <t>10/31/2017</t>
  </si>
  <si>
    <t>10/30/2017</t>
  </si>
  <si>
    <t>10/29/2017</t>
  </si>
  <si>
    <t>10/28/2017</t>
  </si>
  <si>
    <t>10/27/2017</t>
  </si>
  <si>
    <t>10/26/2017</t>
  </si>
  <si>
    <t>10/25/2017</t>
  </si>
  <si>
    <t>10/24/2017</t>
  </si>
  <si>
    <t>10/23/2017</t>
  </si>
  <si>
    <t>10/22/2017</t>
  </si>
  <si>
    <t>10/21/2017</t>
  </si>
  <si>
    <t>10/20/2017</t>
  </si>
  <si>
    <t>10/19/2017</t>
  </si>
  <si>
    <t>10/18/2017</t>
  </si>
  <si>
    <t>10/17/2017</t>
  </si>
  <si>
    <t>10/16/2017</t>
  </si>
  <si>
    <t>10/15/2017</t>
  </si>
  <si>
    <t>10/14/2017</t>
  </si>
  <si>
    <t>10/13/2017</t>
  </si>
  <si>
    <t>10/12/2017</t>
  </si>
  <si>
    <t>10/11/2017</t>
  </si>
  <si>
    <t>10/10/2017</t>
  </si>
  <si>
    <t>10/09/2017</t>
  </si>
  <si>
    <t>10/08/2017</t>
  </si>
  <si>
    <t>10/07/2017</t>
  </si>
  <si>
    <t>10/06/2017</t>
  </si>
  <si>
    <t>10/05/2017</t>
  </si>
  <si>
    <t>10/04/2017</t>
  </si>
  <si>
    <t>10/03/2017</t>
  </si>
  <si>
    <t>10/02/2017</t>
  </si>
  <si>
    <t>10/01/2017</t>
  </si>
  <si>
    <t>09/30/2017</t>
  </si>
  <si>
    <t>09/29/2017</t>
  </si>
  <si>
    <t>09/28/2017</t>
  </si>
  <si>
    <t>09/27/2017</t>
  </si>
  <si>
    <t>09/26/2017</t>
  </si>
  <si>
    <t>09/25/2017</t>
  </si>
  <si>
    <t>09/24/2017</t>
  </si>
  <si>
    <t>09/23/2017</t>
  </si>
  <si>
    <t>09/22/2017</t>
  </si>
  <si>
    <t>09/21/2017</t>
  </si>
  <si>
    <t>09/20/2017</t>
  </si>
  <si>
    <t>09/19/2017</t>
  </si>
  <si>
    <t>09/18/2017</t>
  </si>
  <si>
    <t>09/17/2017</t>
  </si>
  <si>
    <t>09/16/2017</t>
  </si>
  <si>
    <t>09/15/2017</t>
  </si>
  <si>
    <t>09/14/2017</t>
  </si>
  <si>
    <t>09/13/2017</t>
  </si>
  <si>
    <t>09/12/2017</t>
  </si>
  <si>
    <t>09/11/2017</t>
  </si>
  <si>
    <t>09/10/2017</t>
  </si>
  <si>
    <t>09/09/2017</t>
  </si>
  <si>
    <t>09/08/2017</t>
  </si>
  <si>
    <t>09/07/2017</t>
  </si>
  <si>
    <t>09/06/2017</t>
  </si>
  <si>
    <t>09/05/2017</t>
  </si>
  <si>
    <t>09/04/2017</t>
  </si>
  <si>
    <t>09/03/2017</t>
  </si>
  <si>
    <t>09/02/2017</t>
  </si>
  <si>
    <t>09/01/2017</t>
  </si>
  <si>
    <t>08/31/2017</t>
  </si>
  <si>
    <t>08/30/2017</t>
  </si>
  <si>
    <t>08/29/2017</t>
  </si>
  <si>
    <t>08/28/2017</t>
  </si>
  <si>
    <t>08/27/2017</t>
  </si>
  <si>
    <t>08/26/2017</t>
  </si>
  <si>
    <t>08/25/2017</t>
  </si>
  <si>
    <t>08/24/2017</t>
  </si>
  <si>
    <t>08/23/2017</t>
  </si>
  <si>
    <t>08/22/2017</t>
  </si>
  <si>
    <t>08/21/2017</t>
  </si>
  <si>
    <t>08/20/2017</t>
  </si>
  <si>
    <t>08/19/2017</t>
  </si>
  <si>
    <t>08/18/2017</t>
  </si>
  <si>
    <t>08/17/2017</t>
  </si>
  <si>
    <t>08/16/2017</t>
  </si>
  <si>
    <t>08/15/2017</t>
  </si>
  <si>
    <t>08/14/2017</t>
  </si>
  <si>
    <t>08/13/2017</t>
  </si>
  <si>
    <t>08/12/2017</t>
  </si>
  <si>
    <t>08/11/2017</t>
  </si>
  <si>
    <t>08/10/2017</t>
  </si>
  <si>
    <t>08/09/2017</t>
  </si>
  <si>
    <t>08/08/2017</t>
  </si>
  <si>
    <t>08/07/2017</t>
  </si>
  <si>
    <t>08/06/2017</t>
  </si>
  <si>
    <t>08/05/2017</t>
  </si>
  <si>
    <t>08/04/2017</t>
  </si>
  <si>
    <t>08/03/2017</t>
  </si>
  <si>
    <t>08/02/2017</t>
  </si>
  <si>
    <t>08/01/2017</t>
  </si>
  <si>
    <t>07/31/2017</t>
  </si>
  <si>
    <t>07/30/2017</t>
  </si>
  <si>
    <t>07/29/2017</t>
  </si>
  <si>
    <t>07/28/2017</t>
  </si>
  <si>
    <t>07/27/2017</t>
  </si>
  <si>
    <t>07/26/2017</t>
  </si>
  <si>
    <t>07/25/2017</t>
  </si>
  <si>
    <t>07/24/2017</t>
  </si>
  <si>
    <t>07/23/2017</t>
  </si>
  <si>
    <t>07/22/2017</t>
  </si>
  <si>
    <t>07/21/2017</t>
  </si>
  <si>
    <t>07/20/2017</t>
  </si>
  <si>
    <t>07/19/2017</t>
  </si>
  <si>
    <t>07/18/2017</t>
  </si>
  <si>
    <t>07/17/2017</t>
  </si>
  <si>
    <t>07/16/2017</t>
  </si>
  <si>
    <t>07/15/2017</t>
  </si>
  <si>
    <t>07/14/2017</t>
  </si>
  <si>
    <t>07/13/2017</t>
  </si>
  <si>
    <t>07/12/2017</t>
  </si>
  <si>
    <t>07/11/2017</t>
  </si>
  <si>
    <t>07/10/2017</t>
  </si>
  <si>
    <t>07/09/2017</t>
  </si>
  <si>
    <t>07/08/2017</t>
  </si>
  <si>
    <t>07/07/2017</t>
  </si>
  <si>
    <t>07/06/2017</t>
  </si>
  <si>
    <t>07/05/2017</t>
  </si>
  <si>
    <t>07/04/2017</t>
  </si>
  <si>
    <t>07/03/2017</t>
  </si>
  <si>
    <t>07/02/2017</t>
  </si>
  <si>
    <t>07/01/2017</t>
  </si>
  <si>
    <t>06/30/2017</t>
  </si>
  <si>
    <t>06/29/2017</t>
  </si>
  <si>
    <t>06/28/2017</t>
  </si>
  <si>
    <t>06/27/2017</t>
  </si>
  <si>
    <t>06/26/2017</t>
  </si>
  <si>
    <t>06/25/2017</t>
  </si>
  <si>
    <t>06/24/2017</t>
  </si>
  <si>
    <t>06/23/2017</t>
  </si>
  <si>
    <t>06/22/2017</t>
  </si>
  <si>
    <t>06/21/2017</t>
  </si>
  <si>
    <t>06/20/2017</t>
  </si>
  <si>
    <t>06/19/2017</t>
  </si>
  <si>
    <t>06/18/2017</t>
  </si>
  <si>
    <t>06/17/2017</t>
  </si>
  <si>
    <t>06/16/2017</t>
  </si>
  <si>
    <t>06/15/2017</t>
  </si>
  <si>
    <t>06/14/2017</t>
  </si>
  <si>
    <t>06/13/2017</t>
  </si>
  <si>
    <t>06/12/2017</t>
  </si>
  <si>
    <t>06/11/2017</t>
  </si>
  <si>
    <t>06/10/2017</t>
  </si>
  <si>
    <t>06/09/2017</t>
  </si>
  <si>
    <t>06/08/2017</t>
  </si>
  <si>
    <t>06/07/2017</t>
  </si>
  <si>
    <t>06/06/2017</t>
  </si>
  <si>
    <t>06/05/2017</t>
  </si>
  <si>
    <t>06/04/2017</t>
  </si>
  <si>
    <t>06/03/2017</t>
  </si>
  <si>
    <t>06/02/2017</t>
  </si>
  <si>
    <t>06/01/2017</t>
  </si>
  <si>
    <t>05/31/2017</t>
  </si>
  <si>
    <t>05/30/2017</t>
  </si>
  <si>
    <t>05/29/2017</t>
  </si>
  <si>
    <t>05/28/2017</t>
  </si>
  <si>
    <t>05/27/2017</t>
  </si>
  <si>
    <t>05/26/2017</t>
  </si>
  <si>
    <t>05/25/2017</t>
  </si>
  <si>
    <t>05/24/2017</t>
  </si>
  <si>
    <t>05/23/2017</t>
  </si>
  <si>
    <t>05/22/2017</t>
  </si>
  <si>
    <t>05/21/2017</t>
  </si>
  <si>
    <t>05/20/2017</t>
  </si>
  <si>
    <t>05/19/2017</t>
  </si>
  <si>
    <t>05/18/2017</t>
  </si>
  <si>
    <t>05/17/2017</t>
  </si>
  <si>
    <t>05/16/2017</t>
  </si>
  <si>
    <t>05/15/2017</t>
  </si>
  <si>
    <t>05/14/2017</t>
  </si>
  <si>
    <t>05/13/2017</t>
  </si>
  <si>
    <t>05/12/2017</t>
  </si>
  <si>
    <t>05/11/2017</t>
  </si>
  <si>
    <t>05/10/2017</t>
  </si>
  <si>
    <t>05/09/2017</t>
  </si>
  <si>
    <t>05/08/2017</t>
  </si>
  <si>
    <t>05/07/2017</t>
  </si>
  <si>
    <t>05/06/2017</t>
  </si>
  <si>
    <t>05/05/2017</t>
  </si>
  <si>
    <t>05/04/2017</t>
  </si>
  <si>
    <t>05/03/2017</t>
  </si>
  <si>
    <t>05/02/2017</t>
  </si>
  <si>
    <t>05/01/2017</t>
  </si>
  <si>
    <t>04/30/2017</t>
  </si>
  <si>
    <t>04/29/2017</t>
  </si>
  <si>
    <t>04/28/2017</t>
  </si>
  <si>
    <t>04/27/2017</t>
  </si>
  <si>
    <t>04/26/2017</t>
  </si>
  <si>
    <t>04/25/2017</t>
  </si>
  <si>
    <t>04/24/2017</t>
  </si>
  <si>
    <t>04/23/2017</t>
  </si>
  <si>
    <t>04/22/2017</t>
  </si>
  <si>
    <t>04/21/2017</t>
  </si>
  <si>
    <t>04/20/2017</t>
  </si>
  <si>
    <t>04/19/2017</t>
  </si>
  <si>
    <t>04/18/2017</t>
  </si>
  <si>
    <t>04/17/2017</t>
  </si>
  <si>
    <t>04/16/2017</t>
  </si>
  <si>
    <t>04/15/2017</t>
  </si>
  <si>
    <t>04/14/2017</t>
  </si>
  <si>
    <t>04/13/2017</t>
  </si>
  <si>
    <t>04/12/2017</t>
  </si>
  <si>
    <t>04/11/2017</t>
  </si>
  <si>
    <t>04/10/2017</t>
  </si>
  <si>
    <t>04/09/2017</t>
  </si>
  <si>
    <t>04/08/2017</t>
  </si>
  <si>
    <t>04/07/2017</t>
  </si>
  <si>
    <t>04/06/2017</t>
  </si>
  <si>
    <t>04/05/2017</t>
  </si>
  <si>
    <t>04/04/2017</t>
  </si>
  <si>
    <t>04/03/2017</t>
  </si>
  <si>
    <t>04/02/2017</t>
  </si>
  <si>
    <t>04/01/2017</t>
  </si>
  <si>
    <t>03/31/2017</t>
  </si>
  <si>
    <t>03/30/2017</t>
  </si>
  <si>
    <t>03/29/2017</t>
  </si>
  <si>
    <t>03/28/2017</t>
  </si>
  <si>
    <t>03/27/2017</t>
  </si>
  <si>
    <t>03/26/2017</t>
  </si>
  <si>
    <t>03/25/2017</t>
  </si>
  <si>
    <t>03/24/2017</t>
  </si>
  <si>
    <t>03/23/2017</t>
  </si>
  <si>
    <t>03/22/2017</t>
  </si>
  <si>
    <t>03/21/2017</t>
  </si>
  <si>
    <t>03/20/2017</t>
  </si>
  <si>
    <t>03/19/2017</t>
  </si>
  <si>
    <t>03/18/2017</t>
  </si>
  <si>
    <t>03/17/2017</t>
  </si>
  <si>
    <t>03/16/2017</t>
  </si>
  <si>
    <t>03/15/2017</t>
  </si>
  <si>
    <t>03/14/2017</t>
  </si>
  <si>
    <t>03/13/2017</t>
  </si>
  <si>
    <t>03/12/2017</t>
  </si>
  <si>
    <t>03/11/2017</t>
  </si>
  <si>
    <t>03/10/2017</t>
  </si>
  <si>
    <t>03/09/2017</t>
  </si>
  <si>
    <t>03/08/2017</t>
  </si>
  <si>
    <t>03/07/2017</t>
  </si>
  <si>
    <t>03/06/2017</t>
  </si>
  <si>
    <t>03/05/2017</t>
  </si>
  <si>
    <t>03/04/2017</t>
  </si>
  <si>
    <t>03/03/2017</t>
  </si>
  <si>
    <t>03/02/2017</t>
  </si>
  <si>
    <t>03/01/2017</t>
  </si>
  <si>
    <t>02/28/2017</t>
  </si>
  <si>
    <t>02/27/2017</t>
  </si>
  <si>
    <t>02/26/2017</t>
  </si>
  <si>
    <t>02/25/2017</t>
  </si>
  <si>
    <t>02/24/2017</t>
  </si>
  <si>
    <t>02/23/2017</t>
  </si>
  <si>
    <t>02/22/2017</t>
  </si>
  <si>
    <t>02/21/2017</t>
  </si>
  <si>
    <t>02/20/2017</t>
  </si>
  <si>
    <t>02/19/2017</t>
  </si>
  <si>
    <t>02/18/2017</t>
  </si>
  <si>
    <t>02/17/2017</t>
  </si>
  <si>
    <t>02/16/2017</t>
  </si>
  <si>
    <t>02/15/2017</t>
  </si>
  <si>
    <t>02/14/2017</t>
  </si>
  <si>
    <t>02/13/2017</t>
  </si>
  <si>
    <t>02/12/2017</t>
  </si>
  <si>
    <t>02/11/2017</t>
  </si>
  <si>
    <t>02/10/2017</t>
  </si>
  <si>
    <t>02/09/2017</t>
  </si>
  <si>
    <t>02/08/2017</t>
  </si>
  <si>
    <t>02/07/2017</t>
  </si>
  <si>
    <t>02/06/2017</t>
  </si>
  <si>
    <t>02/05/2017</t>
  </si>
  <si>
    <t>02/04/2017</t>
  </si>
  <si>
    <t>02/03/2017</t>
  </si>
  <si>
    <t>02/02/2017</t>
  </si>
  <si>
    <t>02/01/2017</t>
  </si>
  <si>
    <t>01/31/2017</t>
  </si>
  <si>
    <t>01/30/2017</t>
  </si>
  <si>
    <t>01/29/2017</t>
  </si>
  <si>
    <t>01/28/2017</t>
  </si>
  <si>
    <t>01/27/2017</t>
  </si>
  <si>
    <t>01/26/2017</t>
  </si>
  <si>
    <t>01/25/2017</t>
  </si>
  <si>
    <t>01/24/2017</t>
  </si>
  <si>
    <t>01/23/2017</t>
  </si>
  <si>
    <t>01/22/2017</t>
  </si>
  <si>
    <t>01/21/2017</t>
  </si>
  <si>
    <t>01/20/2017</t>
  </si>
  <si>
    <t>01/19/2017</t>
  </si>
  <si>
    <t>01/18/2017</t>
  </si>
  <si>
    <t>01/17/2017</t>
  </si>
  <si>
    <t>01/16/2017</t>
  </si>
  <si>
    <t>01/15/2017</t>
  </si>
  <si>
    <t>01/14/2017</t>
  </si>
  <si>
    <t>01/13/2017</t>
  </si>
  <si>
    <t>01/12/2017</t>
  </si>
  <si>
    <t>01/11/2017</t>
  </si>
  <si>
    <t>01/10/2017</t>
  </si>
  <si>
    <t>01/09/2017</t>
  </si>
  <si>
    <t>01/08/2017</t>
  </si>
  <si>
    <t>01/07/2017</t>
  </si>
  <si>
    <t>01/06/2017</t>
  </si>
  <si>
    <t>01/05/2017</t>
  </si>
  <si>
    <t>01/04/2017</t>
  </si>
  <si>
    <t>01/03/2017</t>
  </si>
  <si>
    <t>01/02/2017</t>
  </si>
  <si>
    <t>01/01/2017</t>
  </si>
  <si>
    <t>12/31/2016</t>
  </si>
  <si>
    <t>12/30/2016</t>
  </si>
  <si>
    <t>12/29/2016</t>
  </si>
  <si>
    <t>12/28/2016</t>
  </si>
  <si>
    <t>12/27/2016</t>
  </si>
  <si>
    <t>12/26/2016</t>
  </si>
  <si>
    <t>12/25/2016</t>
  </si>
  <si>
    <t>12/24/2016</t>
  </si>
  <si>
    <t>12/23/2016</t>
  </si>
  <si>
    <t>12/22/2016</t>
  </si>
  <si>
    <t>12/21/2016</t>
  </si>
  <si>
    <t>12/20/2016</t>
  </si>
  <si>
    <t>12/19/2016</t>
  </si>
  <si>
    <t>12/18/2016</t>
  </si>
  <si>
    <t>12/17/2016</t>
  </si>
  <si>
    <t>12/16/2016</t>
  </si>
  <si>
    <t>12/15/2016</t>
  </si>
  <si>
    <t>12/14/2016</t>
  </si>
  <si>
    <t>12/13/2016</t>
  </si>
  <si>
    <t>12/12/2016</t>
  </si>
  <si>
    <t>12/11/2016</t>
  </si>
  <si>
    <t>12/10/2016</t>
  </si>
  <si>
    <t>12/09/2016</t>
  </si>
  <si>
    <t>12/08/2016</t>
  </si>
  <si>
    <t>12/07/2016</t>
  </si>
  <si>
    <t>12/06/2016</t>
  </si>
  <si>
    <t>12/05/2016</t>
  </si>
  <si>
    <t>12/04/2016</t>
  </si>
  <si>
    <t>12/03/2016</t>
  </si>
  <si>
    <t>12/02/2016</t>
  </si>
  <si>
    <t>12/01/2016</t>
  </si>
  <si>
    <t>11/30/2016</t>
  </si>
  <si>
    <t>11/29/2016</t>
  </si>
  <si>
    <t>11/28/2016</t>
  </si>
  <si>
    <t>11/27/2016</t>
  </si>
  <si>
    <t>11/26/2016</t>
  </si>
  <si>
    <t>11/25/2016</t>
  </si>
  <si>
    <t>11/24/2016</t>
  </si>
  <si>
    <t>11/23/2016</t>
  </si>
  <si>
    <t>11/22/2016</t>
  </si>
  <si>
    <t>11/21/2016</t>
  </si>
  <si>
    <t>11/20/2016</t>
  </si>
  <si>
    <t>11/19/2016</t>
  </si>
  <si>
    <t>11/18/2016</t>
  </si>
  <si>
    <t>11/17/2016</t>
  </si>
  <si>
    <t>11/16/2016</t>
  </si>
  <si>
    <t>11/15/2016</t>
  </si>
  <si>
    <t>11/14/2016</t>
  </si>
  <si>
    <t>11/13/2016</t>
  </si>
  <si>
    <t>11/12/2016</t>
  </si>
  <si>
    <t>11/11/2016</t>
  </si>
  <si>
    <t>11/10/2016</t>
  </si>
  <si>
    <t>11/09/2016</t>
  </si>
  <si>
    <t>11/08/2016</t>
  </si>
  <si>
    <t>11/07/2016</t>
  </si>
  <si>
    <t>11/06/2016</t>
  </si>
  <si>
    <t>11/05/2016</t>
  </si>
  <si>
    <t>11/04/2016</t>
  </si>
  <si>
    <t>11/03/2016</t>
  </si>
  <si>
    <t>11/02/2016</t>
  </si>
  <si>
    <t>11/01/2016</t>
  </si>
  <si>
    <t>10/31/2016</t>
  </si>
  <si>
    <t>10/30/2016</t>
  </si>
  <si>
    <t>10/29/2016</t>
  </si>
  <si>
    <t>10/28/2016</t>
  </si>
  <si>
    <t>10/27/2016</t>
  </si>
  <si>
    <t>10/26/2016</t>
  </si>
  <si>
    <t>10/25/2016</t>
  </si>
  <si>
    <t>10/24/2016</t>
  </si>
  <si>
    <t>10/23/2016</t>
  </si>
  <si>
    <t>10/22/2016</t>
  </si>
  <si>
    <t>10/21/2016</t>
  </si>
  <si>
    <t>10/20/2016</t>
  </si>
  <si>
    <t>10/19/2016</t>
  </si>
  <si>
    <t>10/18/2016</t>
  </si>
  <si>
    <t>10/17/2016</t>
  </si>
  <si>
    <t>10/16/2016</t>
  </si>
  <si>
    <t>10/15/2016</t>
  </si>
  <si>
    <t>10/14/2016</t>
  </si>
  <si>
    <t>10/13/2016</t>
  </si>
  <si>
    <t>10/12/2016</t>
  </si>
  <si>
    <t>10/11/2016</t>
  </si>
  <si>
    <t>10/10/2016</t>
  </si>
  <si>
    <t>10/09/2016</t>
  </si>
  <si>
    <t>10/08/2016</t>
  </si>
  <si>
    <t>10/07/2016</t>
  </si>
  <si>
    <t>10/06/2016</t>
  </si>
  <si>
    <t>10/05/2016</t>
  </si>
  <si>
    <t>10/04/2016</t>
  </si>
  <si>
    <t>10/03/2016</t>
  </si>
  <si>
    <t>10/02/2016</t>
  </si>
  <si>
    <t>10/01/2016</t>
  </si>
  <si>
    <t>09/30/2016</t>
  </si>
  <si>
    <t>09/29/2016</t>
  </si>
  <si>
    <t>09/28/2016</t>
  </si>
  <si>
    <t>09/27/2016</t>
  </si>
  <si>
    <t>09/26/2016</t>
  </si>
  <si>
    <t>09/25/2016</t>
  </si>
  <si>
    <t>09/24/2016</t>
  </si>
  <si>
    <t>09/23/2016</t>
  </si>
  <si>
    <t>09/22/2016</t>
  </si>
  <si>
    <t>09/21/2016</t>
  </si>
  <si>
    <t>09/20/2016</t>
  </si>
  <si>
    <t>09/19/2016</t>
  </si>
  <si>
    <t>09/18/2016</t>
  </si>
  <si>
    <t>09/17/2016</t>
  </si>
  <si>
    <t>09/16/2016</t>
  </si>
  <si>
    <t>09/15/2016</t>
  </si>
  <si>
    <t>09/14/2016</t>
  </si>
  <si>
    <t>09/13/2016</t>
  </si>
  <si>
    <t>09/12/2016</t>
  </si>
  <si>
    <t>09/11/2016</t>
  </si>
  <si>
    <t>09/10/2016</t>
  </si>
  <si>
    <t>09/09/2016</t>
  </si>
  <si>
    <t>09/08/2016</t>
  </si>
  <si>
    <t>09/07/2016</t>
  </si>
  <si>
    <t>09/06/2016</t>
  </si>
  <si>
    <t>09/05/2016</t>
  </si>
  <si>
    <t>09/04/2016</t>
  </si>
  <si>
    <t>09/03/2016</t>
  </si>
  <si>
    <t>09/02/2016</t>
  </si>
  <si>
    <t>09/01/2016</t>
  </si>
  <si>
    <t>08/31/2016</t>
  </si>
  <si>
    <t>08/30/2016</t>
  </si>
  <si>
    <t>08/29/2016</t>
  </si>
  <si>
    <t>08/28/2016</t>
  </si>
  <si>
    <t>08/27/2016</t>
  </si>
  <si>
    <t>08/26/2016</t>
  </si>
  <si>
    <t>08/25/2016</t>
  </si>
  <si>
    <t>08/24/2016</t>
  </si>
  <si>
    <t>08/23/2016</t>
  </si>
  <si>
    <t>08/22/2016</t>
  </si>
  <si>
    <t>08/21/2016</t>
  </si>
  <si>
    <t>08/20/2016</t>
  </si>
  <si>
    <t>08/19/2016</t>
  </si>
  <si>
    <t>08/18/2016</t>
  </si>
  <si>
    <t>08/17/2016</t>
  </si>
  <si>
    <t>08/16/2016</t>
  </si>
  <si>
    <t>08/15/2016</t>
  </si>
  <si>
    <t>08/14/2016</t>
  </si>
  <si>
    <t>08/13/2016</t>
  </si>
  <si>
    <t>08/12/2016</t>
  </si>
  <si>
    <t>08/11/2016</t>
  </si>
  <si>
    <t>08/10/2016</t>
  </si>
  <si>
    <t>08/09/2016</t>
  </si>
  <si>
    <t>08/08/2016</t>
  </si>
  <si>
    <t>08/07/2016</t>
  </si>
  <si>
    <t>08/06/2016</t>
  </si>
  <si>
    <t>08/05/2016</t>
  </si>
  <si>
    <t>08/04/2016</t>
  </si>
  <si>
    <t>08/03/2016</t>
  </si>
  <si>
    <t>08/02/2016</t>
  </si>
  <si>
    <t>08/01/2016</t>
  </si>
  <si>
    <t>07/31/2016</t>
  </si>
  <si>
    <t>07/30/2016</t>
  </si>
  <si>
    <t>07/29/2016</t>
  </si>
  <si>
    <t>07/28/2016</t>
  </si>
  <si>
    <t>07/27/2016</t>
  </si>
  <si>
    <t>07/26/2016</t>
  </si>
  <si>
    <t>07/25/2016</t>
  </si>
  <si>
    <t>07/24/2016</t>
  </si>
  <si>
    <t>07/23/2016</t>
  </si>
  <si>
    <t>07/22/2016</t>
  </si>
  <si>
    <t>07/21/2016</t>
  </si>
  <si>
    <t>07/20/2016</t>
  </si>
  <si>
    <t>07/19/2016</t>
  </si>
  <si>
    <t>07/18/2016</t>
  </si>
  <si>
    <t>07/17/2016</t>
  </si>
  <si>
    <t>07/16/2016</t>
  </si>
  <si>
    <t>07/15/2016</t>
  </si>
  <si>
    <t>07/14/2016</t>
  </si>
  <si>
    <t>07/13/2016</t>
  </si>
  <si>
    <t>07/12/2016</t>
  </si>
  <si>
    <t>07/11/2016</t>
  </si>
  <si>
    <t>07/10/2016</t>
  </si>
  <si>
    <t>07/09/2016</t>
  </si>
  <si>
    <t>07/08/2016</t>
  </si>
  <si>
    <t>07/07/2016</t>
  </si>
  <si>
    <t>07/06/2016</t>
  </si>
  <si>
    <t>07/05/2016</t>
  </si>
  <si>
    <t>07/04/2016</t>
  </si>
  <si>
    <t>07/03/2016</t>
  </si>
  <si>
    <t>07/02/2016</t>
  </si>
  <si>
    <t>07/01/2016</t>
  </si>
  <si>
    <t>06/30/2016</t>
  </si>
  <si>
    <t>06/29/2016</t>
  </si>
  <si>
    <t>06/28/2016</t>
  </si>
  <si>
    <t>06/27/2016</t>
  </si>
  <si>
    <t>06/26/2016</t>
  </si>
  <si>
    <t>06/25/2016</t>
  </si>
  <si>
    <t>06/24/2016</t>
  </si>
  <si>
    <t>06/23/2016</t>
  </si>
  <si>
    <t>06/22/2016</t>
  </si>
  <si>
    <t>06/21/2016</t>
  </si>
  <si>
    <t>06/20/2016</t>
  </si>
  <si>
    <t>06/19/2016</t>
  </si>
  <si>
    <t>06/18/2016</t>
  </si>
  <si>
    <t>06/17/2016</t>
  </si>
  <si>
    <t>06/16/2016</t>
  </si>
  <si>
    <t>06/15/2016</t>
  </si>
  <si>
    <t>06/14/2016</t>
  </si>
  <si>
    <t>06/13/2016</t>
  </si>
  <si>
    <t>06/12/2016</t>
  </si>
  <si>
    <t>06/11/2016</t>
  </si>
  <si>
    <t>06/10/2016</t>
  </si>
  <si>
    <t>06/09/2016</t>
  </si>
  <si>
    <t>06/08/2016</t>
  </si>
  <si>
    <t>06/07/2016</t>
  </si>
  <si>
    <t>06/06/2016</t>
  </si>
  <si>
    <t>06/05/2016</t>
  </si>
  <si>
    <t>06/04/2016</t>
  </si>
  <si>
    <t>06/03/2016</t>
  </si>
  <si>
    <t>06/02/2016</t>
  </si>
  <si>
    <t>06/01/2016</t>
  </si>
  <si>
    <t>05/31/2016</t>
  </si>
  <si>
    <t>05/30/2016</t>
  </si>
  <si>
    <t>05/29/2016</t>
  </si>
  <si>
    <t>05/28/2016</t>
  </si>
  <si>
    <t>05/27/2016</t>
  </si>
  <si>
    <t>05/26/2016</t>
  </si>
  <si>
    <t>05/25/2016</t>
  </si>
  <si>
    <t>05/24/2016</t>
  </si>
  <si>
    <t>05/23/2016</t>
  </si>
  <si>
    <t>05/22/2016</t>
  </si>
  <si>
    <t>05/21/2016</t>
  </si>
  <si>
    <t>05/20/2016</t>
  </si>
  <si>
    <t>05/19/2016</t>
  </si>
  <si>
    <t>05/18/2016</t>
  </si>
  <si>
    <t>05/17/2016</t>
  </si>
  <si>
    <t>05/16/2016</t>
  </si>
  <si>
    <t>05/15/2016</t>
  </si>
  <si>
    <t>05/14/2016</t>
  </si>
  <si>
    <t>05/13/2016</t>
  </si>
  <si>
    <t>05/12/2016</t>
  </si>
  <si>
    <t>05/11/2016</t>
  </si>
  <si>
    <t>05/10/2016</t>
  </si>
  <si>
    <t>05/09/2016</t>
  </si>
  <si>
    <t>05/08/2016</t>
  </si>
  <si>
    <t>05/07/2016</t>
  </si>
  <si>
    <t>05/06/2016</t>
  </si>
  <si>
    <t>05/05/2016</t>
  </si>
  <si>
    <t>05/04/2016</t>
  </si>
  <si>
    <t>05/03/2016</t>
  </si>
  <si>
    <t>05/02/2016</t>
  </si>
  <si>
    <t>05/01/2016</t>
  </si>
  <si>
    <t>04/30/2016</t>
  </si>
  <si>
    <t>04/29/2016</t>
  </si>
  <si>
    <t>04/28/2016</t>
  </si>
  <si>
    <t>04/27/2016</t>
  </si>
  <si>
    <t>04/26/2016</t>
  </si>
  <si>
    <t>04/25/2016</t>
  </si>
  <si>
    <t>04/24/2016</t>
  </si>
  <si>
    <t>04/23/2016</t>
  </si>
  <si>
    <t>04/22/2016</t>
  </si>
  <si>
    <t>04/21/2016</t>
  </si>
  <si>
    <t>04/20/2016</t>
  </si>
  <si>
    <t>04/19/2016</t>
  </si>
  <si>
    <t>04/18/2016</t>
  </si>
  <si>
    <t>04/17/2016</t>
  </si>
  <si>
    <t>04/16/2016</t>
  </si>
  <si>
    <t>04/15/2016</t>
  </si>
  <si>
    <t>04/14/2016</t>
  </si>
  <si>
    <t>04/13/2016</t>
  </si>
  <si>
    <t>04/12/2016</t>
  </si>
  <si>
    <t>04/11/2016</t>
  </si>
  <si>
    <t>04/10/2016</t>
  </si>
  <si>
    <t>04/09/2016</t>
  </si>
  <si>
    <t>04/08/2016</t>
  </si>
  <si>
    <t>04/07/2016</t>
  </si>
  <si>
    <t>04/06/2016</t>
  </si>
  <si>
    <t>04/05/2016</t>
  </si>
  <si>
    <t>04/04/2016</t>
  </si>
  <si>
    <t>04/03/2016</t>
  </si>
  <si>
    <t>04/02/2016</t>
  </si>
  <si>
    <t>04/01/2016</t>
  </si>
  <si>
    <t>03/31/2016</t>
  </si>
  <si>
    <t>03/30/2016</t>
  </si>
  <si>
    <t>03/29/2016</t>
  </si>
  <si>
    <t>03/28/2016</t>
  </si>
  <si>
    <t>03/27/2016</t>
  </si>
  <si>
    <t>03/26/2016</t>
  </si>
  <si>
    <t>03/25/2016</t>
  </si>
  <si>
    <t>03/24/2016</t>
  </si>
  <si>
    <t>03/23/2016</t>
  </si>
  <si>
    <t>03/22/2016</t>
  </si>
  <si>
    <t>03/21/2016</t>
  </si>
  <si>
    <t>03/20/2016</t>
  </si>
  <si>
    <t>03/19/2016</t>
  </si>
  <si>
    <t>03/18/2016</t>
  </si>
  <si>
    <t>03/17/2016</t>
  </si>
  <si>
    <t>03/16/2016</t>
  </si>
  <si>
    <t>03/15/2016</t>
  </si>
  <si>
    <t>03/14/2016</t>
  </si>
  <si>
    <t>03/13/2016</t>
  </si>
  <si>
    <t>03/12/2016</t>
  </si>
  <si>
    <t>03/11/2016</t>
  </si>
  <si>
    <t>03/10/2016</t>
  </si>
  <si>
    <t>03/09/2016</t>
  </si>
  <si>
    <t>03/08/2016</t>
  </si>
  <si>
    <t>03/07/2016</t>
  </si>
  <si>
    <t>03/06/2016</t>
  </si>
  <si>
    <t>03/05/2016</t>
  </si>
  <si>
    <t>03/04/2016</t>
  </si>
  <si>
    <t>03/03/2016</t>
  </si>
  <si>
    <t>03/02/2016</t>
  </si>
  <si>
    <t>03/01/2016</t>
  </si>
  <si>
    <t>02/28/2016</t>
  </si>
  <si>
    <t>02/27/2016</t>
  </si>
  <si>
    <t>02/26/2016</t>
  </si>
  <si>
    <t>02/25/2016</t>
  </si>
  <si>
    <t>02/24/2016</t>
  </si>
  <si>
    <t>02/23/2016</t>
  </si>
  <si>
    <t>02/22/2016</t>
  </si>
  <si>
    <t>02/21/2016</t>
  </si>
  <si>
    <t>02/20/2016</t>
  </si>
  <si>
    <t>02/19/2016</t>
  </si>
  <si>
    <t>02/18/2016</t>
  </si>
  <si>
    <t>02/17/2016</t>
  </si>
  <si>
    <t>02/16/2016</t>
  </si>
  <si>
    <t>02/15/2016</t>
  </si>
  <si>
    <t>02/14/2016</t>
  </si>
  <si>
    <t>02/13/2016</t>
  </si>
  <si>
    <t>02/12/2016</t>
  </si>
  <si>
    <t>02/11/2016</t>
  </si>
  <si>
    <t>02/10/2016</t>
  </si>
  <si>
    <t>02/09/2016</t>
  </si>
  <si>
    <t>02/08/2016</t>
  </si>
  <si>
    <t>02/07/2016</t>
  </si>
  <si>
    <t>02/06/2016</t>
  </si>
  <si>
    <t>02/05/2016</t>
  </si>
  <si>
    <t>02/04/2016</t>
  </si>
  <si>
    <t>02/03/2016</t>
  </si>
  <si>
    <t>02/02/2016</t>
  </si>
  <si>
    <t>02/01/2016</t>
  </si>
  <si>
    <t>01/31/2016</t>
  </si>
  <si>
    <t>01/30/2016</t>
  </si>
  <si>
    <t>01/29/2016</t>
  </si>
  <si>
    <t>01/28/2016</t>
  </si>
  <si>
    <t>01/27/2016</t>
  </si>
  <si>
    <t>01/26/2016</t>
  </si>
  <si>
    <t>01/25/2016</t>
  </si>
  <si>
    <t>01/24/2016</t>
  </si>
  <si>
    <t>01/23/2016</t>
  </si>
  <si>
    <t>01/22/2016</t>
  </si>
  <si>
    <t>01/21/2016</t>
  </si>
  <si>
    <t>01/20/2016</t>
  </si>
  <si>
    <t>01/19/2016</t>
  </si>
  <si>
    <t>01/18/2016</t>
  </si>
  <si>
    <t>01/17/2016</t>
  </si>
  <si>
    <t>01/16/2016</t>
  </si>
  <si>
    <t>01/15/2016</t>
  </si>
  <si>
    <t>01/14/2016</t>
  </si>
  <si>
    <t>01/13/2016</t>
  </si>
  <si>
    <t>01/12/2016</t>
  </si>
  <si>
    <t>01/11/2016</t>
  </si>
  <si>
    <t>01/10/2016</t>
  </si>
  <si>
    <t>01/09/2016</t>
  </si>
  <si>
    <t>01/08/2016</t>
  </si>
  <si>
    <t>01/07/2016</t>
  </si>
  <si>
    <t>01/06/2016</t>
  </si>
  <si>
    <t>01/05/2016</t>
  </si>
  <si>
    <t>01/04/2016</t>
  </si>
  <si>
    <t>01/03/2016</t>
  </si>
  <si>
    <t>01/02/2016</t>
  </si>
  <si>
    <t>01/01/2016</t>
  </si>
  <si>
    <t>12/31/2015</t>
  </si>
  <si>
    <t>12/30/2015</t>
  </si>
  <si>
    <t>12/29/2015</t>
  </si>
  <si>
    <t>12/28/2015</t>
  </si>
  <si>
    <t>12/27/2015</t>
  </si>
  <si>
    <t>12/26/2015</t>
  </si>
  <si>
    <t>12/25/2015</t>
  </si>
  <si>
    <t>12/24/2015</t>
  </si>
  <si>
    <t>12/23/2015</t>
  </si>
  <si>
    <t>12/22/2015</t>
  </si>
  <si>
    <t>12/21/2015</t>
  </si>
  <si>
    <t>12/20/2015</t>
  </si>
  <si>
    <t>12/19/2015</t>
  </si>
  <si>
    <t>12/18/2015</t>
  </si>
  <si>
    <t>12/17/2015</t>
  </si>
  <si>
    <t>12/16/2015</t>
  </si>
  <si>
    <t>12/15/2015</t>
  </si>
  <si>
    <t>12/14/2015</t>
  </si>
  <si>
    <t>12/13/2015</t>
  </si>
  <si>
    <t>12/12/2015</t>
  </si>
  <si>
    <t>12/11/2015</t>
  </si>
  <si>
    <t>12/10/2015</t>
  </si>
  <si>
    <t>12/09/2015</t>
  </si>
  <si>
    <t>12/08/2015</t>
  </si>
  <si>
    <t>12/07/2015</t>
  </si>
  <si>
    <t>12/06/2015</t>
  </si>
  <si>
    <t>12/05/2015</t>
  </si>
  <si>
    <t>12/04/2015</t>
  </si>
  <si>
    <t>12/03/2015</t>
  </si>
  <si>
    <t>12/02/2015</t>
  </si>
  <si>
    <t>12/01/2015</t>
  </si>
  <si>
    <t>11/30/2015</t>
  </si>
  <si>
    <t>11/29/2015</t>
  </si>
  <si>
    <t>11/28/2015</t>
  </si>
  <si>
    <t>11/27/2015</t>
  </si>
  <si>
    <t>11/26/2015</t>
  </si>
  <si>
    <t>11/25/2015</t>
  </si>
  <si>
    <t>11/24/2015</t>
  </si>
  <si>
    <t>11/23/2015</t>
  </si>
  <si>
    <t>11/22/2015</t>
  </si>
  <si>
    <t>11/21/2015</t>
  </si>
  <si>
    <t>11/20/2015</t>
  </si>
  <si>
    <t>11/19/2015</t>
  </si>
  <si>
    <t>11/18/2015</t>
  </si>
  <si>
    <t>11/17/2015</t>
  </si>
  <si>
    <t>11/16/2015</t>
  </si>
  <si>
    <t>11/15/2015</t>
  </si>
  <si>
    <t>11/14/2015</t>
  </si>
  <si>
    <t>11/13/2015</t>
  </si>
  <si>
    <t>11/12/2015</t>
  </si>
  <si>
    <t>11/11/2015</t>
  </si>
  <si>
    <t>11/10/2015</t>
  </si>
  <si>
    <t>11/09/2015</t>
  </si>
  <si>
    <t>11/08/2015</t>
  </si>
  <si>
    <t>11/07/2015</t>
  </si>
  <si>
    <t>11/06/2015</t>
  </si>
  <si>
    <t>11/05/2015</t>
  </si>
  <si>
    <t>11/04/2015</t>
  </si>
  <si>
    <t>11/03/2015</t>
  </si>
  <si>
    <t>11/02/2015</t>
  </si>
  <si>
    <t>11/01/2015</t>
  </si>
  <si>
    <t>10/31/2015</t>
  </si>
  <si>
    <t>10/30/2015</t>
  </si>
  <si>
    <t>10/29/2015</t>
  </si>
  <si>
    <t>10/28/2015</t>
  </si>
  <si>
    <t>10/27/2015</t>
  </si>
  <si>
    <t>10/26/2015</t>
  </si>
  <si>
    <t>10/25/2015</t>
  </si>
  <si>
    <t>10/24/2015</t>
  </si>
  <si>
    <t>10/23/2015</t>
  </si>
  <si>
    <t>10/22/2015</t>
  </si>
  <si>
    <t>10/21/2015</t>
  </si>
  <si>
    <t>10/20/2015</t>
  </si>
  <si>
    <t>10/19/2015</t>
  </si>
  <si>
    <t>10/18/2015</t>
  </si>
  <si>
    <t>10/17/2015</t>
  </si>
  <si>
    <t>10/16/2015</t>
  </si>
  <si>
    <t>10/15/2015</t>
  </si>
  <si>
    <t>10/14/2015</t>
  </si>
  <si>
    <t>10/13/2015</t>
  </si>
  <si>
    <t>10/12/2015</t>
  </si>
  <si>
    <t>10/11/2015</t>
  </si>
  <si>
    <t>10/10/2015</t>
  </si>
  <si>
    <t>10/09/2015</t>
  </si>
  <si>
    <t>10/08/2015</t>
  </si>
  <si>
    <t>10/07/2015</t>
  </si>
  <si>
    <t>10/06/2015</t>
  </si>
  <si>
    <t>10/05/2015</t>
  </si>
  <si>
    <t>10/04/2015</t>
  </si>
  <si>
    <t>10/03/2015</t>
  </si>
  <si>
    <t>10/02/2015</t>
  </si>
  <si>
    <t>10/01/2015</t>
  </si>
  <si>
    <t>09/30/2015</t>
  </si>
  <si>
    <t>09/29/2015</t>
  </si>
  <si>
    <t>09/28/2015</t>
  </si>
  <si>
    <t>09/27/2015</t>
  </si>
  <si>
    <t>09/26/2015</t>
  </si>
  <si>
    <t>09/25/2015</t>
  </si>
  <si>
    <t>09/24/2015</t>
  </si>
  <si>
    <t>09/23/2015</t>
  </si>
  <si>
    <t>09/22/2015</t>
  </si>
  <si>
    <t>09/21/2015</t>
  </si>
  <si>
    <t>09/20/2015</t>
  </si>
  <si>
    <t>09/19/2015</t>
  </si>
  <si>
    <t>09/18/2015</t>
  </si>
  <si>
    <t>09/17/2015</t>
  </si>
  <si>
    <t>09/16/2015</t>
  </si>
  <si>
    <t>09/15/2015</t>
  </si>
  <si>
    <t>09/14/2015</t>
  </si>
  <si>
    <t>09/13/2015</t>
  </si>
  <si>
    <t>09/12/2015</t>
  </si>
  <si>
    <t>09/11/2015</t>
  </si>
  <si>
    <t>09/10/2015</t>
  </si>
  <si>
    <t>09/09/2015</t>
  </si>
  <si>
    <t>09/08/2015</t>
  </si>
  <si>
    <t>09/07/2015</t>
  </si>
  <si>
    <t>09/06/2015</t>
  </si>
  <si>
    <t>09/05/2015</t>
  </si>
  <si>
    <t>09/04/2015</t>
  </si>
  <si>
    <t>09/03/2015</t>
  </si>
  <si>
    <t>09/02/2015</t>
  </si>
  <si>
    <t>09/01/2015</t>
  </si>
  <si>
    <t>08/31/2015</t>
  </si>
  <si>
    <t>08/30/2015</t>
  </si>
  <si>
    <t>08/29/2015</t>
  </si>
  <si>
    <t>08/28/2015</t>
  </si>
  <si>
    <t>08/27/2015</t>
  </si>
  <si>
    <t>08/26/2015</t>
  </si>
  <si>
    <t>08/25/2015</t>
  </si>
  <si>
    <t>08/24/2015</t>
  </si>
  <si>
    <t>08/23/2015</t>
  </si>
  <si>
    <t>08/22/2015</t>
  </si>
  <si>
    <t>08/21/2015</t>
  </si>
  <si>
    <t>08/20/2015</t>
  </si>
  <si>
    <t>08/19/2015</t>
  </si>
  <si>
    <t>08/18/2015</t>
  </si>
  <si>
    <t>08/17/2015</t>
  </si>
  <si>
    <t>08/16/2015</t>
  </si>
  <si>
    <t>08/15/2015</t>
  </si>
  <si>
    <t>08/14/2015</t>
  </si>
  <si>
    <t>08/13/2015</t>
  </si>
  <si>
    <t>08/12/2015</t>
  </si>
  <si>
    <t>08/11/2015</t>
  </si>
  <si>
    <t>08/10/2015</t>
  </si>
  <si>
    <t>08/09/2015</t>
  </si>
  <si>
    <t>08/08/2015</t>
  </si>
  <si>
    <t>08/07/2015</t>
  </si>
  <si>
    <t>08/06/2015</t>
  </si>
  <si>
    <t>08/05/2015</t>
  </si>
  <si>
    <t>08/04/2015</t>
  </si>
  <si>
    <t>08/03/2015</t>
  </si>
  <si>
    <t>08/02/2015</t>
  </si>
  <si>
    <t>08/01/2015</t>
  </si>
  <si>
    <t>07/31/2015</t>
  </si>
  <si>
    <t>07/30/2015</t>
  </si>
  <si>
    <t>07/29/2015</t>
  </si>
  <si>
    <t>07/28/2015</t>
  </si>
  <si>
    <t>07/27/2015</t>
  </si>
  <si>
    <t>07/26/2015</t>
  </si>
  <si>
    <t>07/25/2015</t>
  </si>
  <si>
    <t>07/24/2015</t>
  </si>
  <si>
    <t>07/23/2015</t>
  </si>
  <si>
    <t>07/22/2015</t>
  </si>
  <si>
    <t>07/21/2015</t>
  </si>
  <si>
    <t>07/20/2015</t>
  </si>
  <si>
    <t>07/19/2015</t>
  </si>
  <si>
    <t>07/18/2015</t>
  </si>
  <si>
    <t>07/17/2015</t>
  </si>
  <si>
    <t>07/16/2015</t>
  </si>
  <si>
    <t>07/15/2015</t>
  </si>
  <si>
    <t>07/14/2015</t>
  </si>
  <si>
    <t>07/13/2015</t>
  </si>
  <si>
    <t>07/12/2015</t>
  </si>
  <si>
    <t>07/11/2015</t>
  </si>
  <si>
    <t>07/10/2015</t>
  </si>
  <si>
    <t>07/09/2015</t>
  </si>
  <si>
    <t>07/08/2015</t>
  </si>
  <si>
    <t>07/07/2015</t>
  </si>
  <si>
    <t>07/06/2015</t>
  </si>
  <si>
    <t>07/05/2015</t>
  </si>
  <si>
    <t>07/04/2015</t>
  </si>
  <si>
    <t>07/03/2015</t>
  </si>
  <si>
    <t>07/02/2015</t>
  </si>
  <si>
    <t>07/01/2015</t>
  </si>
  <si>
    <t>06/30/2015</t>
  </si>
  <si>
    <t>06/29/2015</t>
  </si>
  <si>
    <t>06/28/2015</t>
  </si>
  <si>
    <t>06/27/2015</t>
  </si>
  <si>
    <t>06/26/2015</t>
  </si>
  <si>
    <t>06/25/2015</t>
  </si>
  <si>
    <t>06/24/2015</t>
  </si>
  <si>
    <t>06/23/2015</t>
  </si>
  <si>
    <t>06/22/2015</t>
  </si>
  <si>
    <t>06/21/2015</t>
  </si>
  <si>
    <t>06/20/2015</t>
  </si>
  <si>
    <t>06/19/2015</t>
  </si>
  <si>
    <t>06/18/2015</t>
  </si>
  <si>
    <t>06/17/2015</t>
  </si>
  <si>
    <t>06/16/2015</t>
  </si>
  <si>
    <t>06/15/2015</t>
  </si>
  <si>
    <t>06/14/2015</t>
  </si>
  <si>
    <t>06/13/2015</t>
  </si>
  <si>
    <t>06/12/2015</t>
  </si>
  <si>
    <t>06/11/2015</t>
  </si>
  <si>
    <t>06/10/2015</t>
  </si>
  <si>
    <t>06/09/2015</t>
  </si>
  <si>
    <t>06/08/2015</t>
  </si>
  <si>
    <t>06/07/2015</t>
  </si>
  <si>
    <t>06/06/2015</t>
  </si>
  <si>
    <t>06/05/2015</t>
  </si>
  <si>
    <t>06/04/2015</t>
  </si>
  <si>
    <t>06/03/2015</t>
  </si>
  <si>
    <t>06/02/2015</t>
  </si>
  <si>
    <t>06/01/2015</t>
  </si>
  <si>
    <t>05/31/2015</t>
  </si>
  <si>
    <t>05/30/2015</t>
  </si>
  <si>
    <t>05/29/2015</t>
  </si>
  <si>
    <t>05/28/2015</t>
  </si>
  <si>
    <t>05/27/2015</t>
  </si>
  <si>
    <t>05/26/2015</t>
  </si>
  <si>
    <t>05/25/2015</t>
  </si>
  <si>
    <t>05/24/2015</t>
  </si>
  <si>
    <t>05/23/2015</t>
  </si>
  <si>
    <t>05/22/2015</t>
  </si>
  <si>
    <t>05/21/2015</t>
  </si>
  <si>
    <t>05/20/2015</t>
  </si>
  <si>
    <t>05/19/2015</t>
  </si>
  <si>
    <t>05/18/2015</t>
  </si>
  <si>
    <t>05/17/2015</t>
  </si>
  <si>
    <t>05/16/2015</t>
  </si>
  <si>
    <t>05/15/2015</t>
  </si>
  <si>
    <t>05/14/2015</t>
  </si>
  <si>
    <t>05/13/2015</t>
  </si>
  <si>
    <t>05/12/2015</t>
  </si>
  <si>
    <t>05/11/2015</t>
  </si>
  <si>
    <t>05/10/2015</t>
  </si>
  <si>
    <t>05/09/2015</t>
  </si>
  <si>
    <t>05/08/2015</t>
  </si>
  <si>
    <t>05/07/2015</t>
  </si>
  <si>
    <t>05/06/2015</t>
  </si>
  <si>
    <t>05/05/2015</t>
  </si>
  <si>
    <t>05/04/2015</t>
  </si>
  <si>
    <t>05/03/2015</t>
  </si>
  <si>
    <t>05/02/2015</t>
  </si>
  <si>
    <t>05/01/2015</t>
  </si>
  <si>
    <t>04/30/2015</t>
  </si>
  <si>
    <t>04/29/2015</t>
  </si>
  <si>
    <t>04/28/2015</t>
  </si>
  <si>
    <t>04/27/2015</t>
  </si>
  <si>
    <t>04/26/2015</t>
  </si>
  <si>
    <t>04/25/2015</t>
  </si>
  <si>
    <t>04/24/2015</t>
  </si>
  <si>
    <t>04/23/2015</t>
  </si>
  <si>
    <t>04/22/2015</t>
  </si>
  <si>
    <t>04/21/2015</t>
  </si>
  <si>
    <t>04/20/2015</t>
  </si>
  <si>
    <t>04/19/2015</t>
  </si>
  <si>
    <t>04/18/2015</t>
  </si>
  <si>
    <t>04/17/2015</t>
  </si>
  <si>
    <t>04/16/2015</t>
  </si>
  <si>
    <t>04/15/2015</t>
  </si>
  <si>
    <t>04/14/2015</t>
  </si>
  <si>
    <t>04/13/2015</t>
  </si>
  <si>
    <t>04/12/2015</t>
  </si>
  <si>
    <t>04/11/2015</t>
  </si>
  <si>
    <t>04/10/2015</t>
  </si>
  <si>
    <t>04/09/2015</t>
  </si>
  <si>
    <t>04/08/2015</t>
  </si>
  <si>
    <t>04/07/2015</t>
  </si>
  <si>
    <t>04/06/2015</t>
  </si>
  <si>
    <t>04/05/2015</t>
  </si>
  <si>
    <t>04/04/2015</t>
  </si>
  <si>
    <t>04/03/2015</t>
  </si>
  <si>
    <t>04/02/2015</t>
  </si>
  <si>
    <t>04/01/2015</t>
  </si>
  <si>
    <t>03/31/2015</t>
  </si>
  <si>
    <t>03/30/2015</t>
  </si>
  <si>
    <t>03/29/2015</t>
  </si>
  <si>
    <t>03/28/2015</t>
  </si>
  <si>
    <t>03/27/2015</t>
  </si>
  <si>
    <t>03/26/2015</t>
  </si>
  <si>
    <t>03/25/2015</t>
  </si>
  <si>
    <t>03/24/2015</t>
  </si>
  <si>
    <t>03/23/2015</t>
  </si>
  <si>
    <t>03/22/2015</t>
  </si>
  <si>
    <t>03/21/2015</t>
  </si>
  <si>
    <t>03/20/2015</t>
  </si>
  <si>
    <t>03/19/2015</t>
  </si>
  <si>
    <t>03/18/2015</t>
  </si>
  <si>
    <t>03/17/2015</t>
  </si>
  <si>
    <t>03/16/2015</t>
  </si>
  <si>
    <t>03/15/2015</t>
  </si>
  <si>
    <t>03/14/2015</t>
  </si>
  <si>
    <t>03/13/2015</t>
  </si>
  <si>
    <t>03/12/2015</t>
  </si>
  <si>
    <t>03/11/2015</t>
  </si>
  <si>
    <t>03/10/2015</t>
  </si>
  <si>
    <t>03/09/2015</t>
  </si>
  <si>
    <t>03/08/2015</t>
  </si>
  <si>
    <t>03/07/2015</t>
  </si>
  <si>
    <t>03/06/2015</t>
  </si>
  <si>
    <t>03/05/2015</t>
  </si>
  <si>
    <t>03/04/2015</t>
  </si>
  <si>
    <t>03/03/2015</t>
  </si>
  <si>
    <t>03/02/2015</t>
  </si>
  <si>
    <t>03/01/2015</t>
  </si>
  <si>
    <t>02/28/2015</t>
  </si>
  <si>
    <t>02/27/2015</t>
  </si>
  <si>
    <t>02/26/2015</t>
  </si>
  <si>
    <t>02/25/2015</t>
  </si>
  <si>
    <t>02/24/2015</t>
  </si>
  <si>
    <t>02/23/2015</t>
  </si>
  <si>
    <t>02/22/2015</t>
  </si>
  <si>
    <t>02/21/2015</t>
  </si>
  <si>
    <t>02/20/2015</t>
  </si>
  <si>
    <t>02/19/2015</t>
  </si>
  <si>
    <t>02/18/2015</t>
  </si>
  <si>
    <t>02/17/2015</t>
  </si>
  <si>
    <t>02/16/2015</t>
  </si>
  <si>
    <t>02/15/2015</t>
  </si>
  <si>
    <t>02/14/2015</t>
  </si>
  <si>
    <t>02/13/2015</t>
  </si>
  <si>
    <t>02/12/2015</t>
  </si>
  <si>
    <t>02/11/2015</t>
  </si>
  <si>
    <t>02/10/2015</t>
  </si>
  <si>
    <t>02/09/2015</t>
  </si>
  <si>
    <t>02/08/2015</t>
  </si>
  <si>
    <t>02/07/2015</t>
  </si>
  <si>
    <t>02/06/2015</t>
  </si>
  <si>
    <t>02/05/2015</t>
  </si>
  <si>
    <t>02/04/2015</t>
  </si>
  <si>
    <t>02/03/2015</t>
  </si>
  <si>
    <t>02/02/2015</t>
  </si>
  <si>
    <t>02/01/2015</t>
  </si>
  <si>
    <t>01/31/2015</t>
  </si>
  <si>
    <t>01/30/2015</t>
  </si>
  <si>
    <t>01/29/2015</t>
  </si>
  <si>
    <t>01/28/2015</t>
  </si>
  <si>
    <t>01/27/2015</t>
  </si>
  <si>
    <t>01/26/2015</t>
  </si>
  <si>
    <t>01/25/2015</t>
  </si>
  <si>
    <t>01/24/2015</t>
  </si>
  <si>
    <t>01/23/2015</t>
  </si>
  <si>
    <t>01/22/2015</t>
  </si>
  <si>
    <t>01/21/2015</t>
  </si>
  <si>
    <t>01/20/2015</t>
  </si>
  <si>
    <t>01/19/2015</t>
  </si>
  <si>
    <t>01/18/2015</t>
  </si>
  <si>
    <t>01/17/2015</t>
  </si>
  <si>
    <t>01/16/2015</t>
  </si>
  <si>
    <t>01/15/2015</t>
  </si>
  <si>
    <t>01/14/2015</t>
  </si>
  <si>
    <t>01/13/2015</t>
  </si>
  <si>
    <t>01/12/2015</t>
  </si>
  <si>
    <t>01/11/2015</t>
  </si>
  <si>
    <t>01/10/2015</t>
  </si>
  <si>
    <t>01/09/2015</t>
  </si>
  <si>
    <t>01/08/2015</t>
  </si>
  <si>
    <t>01/07/2015</t>
  </si>
  <si>
    <t>01/06/2015</t>
  </si>
  <si>
    <t>01/05/2015</t>
  </si>
  <si>
    <t>01/04/2015</t>
  </si>
  <si>
    <t>01/03/2015</t>
  </si>
  <si>
    <t>01/02/2015</t>
  </si>
  <si>
    <t>01/01/2015</t>
  </si>
  <si>
    <t>12/31/2014</t>
  </si>
  <si>
    <t>12/30/2014</t>
  </si>
  <si>
    <t>12/29/2014</t>
  </si>
  <si>
    <t>12/28/2014</t>
  </si>
  <si>
    <t>12/27/2014</t>
  </si>
  <si>
    <t>12/26/2014</t>
  </si>
  <si>
    <t>12/25/2014</t>
  </si>
  <si>
    <t>12/24/2014</t>
  </si>
  <si>
    <t>12/23/2014</t>
  </si>
  <si>
    <t>12/22/2014</t>
  </si>
  <si>
    <t>12/21/2014</t>
  </si>
  <si>
    <t>12/20/2014</t>
  </si>
  <si>
    <t>12/19/2014</t>
  </si>
  <si>
    <t>12/18/2014</t>
  </si>
  <si>
    <t>12/17/2014</t>
  </si>
  <si>
    <t>12/16/2014</t>
  </si>
  <si>
    <t>12/15/2014</t>
  </si>
  <si>
    <t>12/14/2014</t>
  </si>
  <si>
    <t>12/13/2014</t>
  </si>
  <si>
    <t>12/12/2014</t>
  </si>
  <si>
    <t>12/11/2014</t>
  </si>
  <si>
    <t>12/10/2014</t>
  </si>
  <si>
    <t>12/09/2014</t>
  </si>
  <si>
    <t>12/08/2014</t>
  </si>
  <si>
    <t>12/07/2014</t>
  </si>
  <si>
    <t>12/06/2014</t>
  </si>
  <si>
    <t>12/05/2014</t>
  </si>
  <si>
    <t>12/04/2014</t>
  </si>
  <si>
    <t>12/03/2014</t>
  </si>
  <si>
    <t>12/02/2014</t>
  </si>
  <si>
    <t>12/01/2014</t>
  </si>
  <si>
    <t>11/30/2014</t>
  </si>
  <si>
    <t>11/29/2014</t>
  </si>
  <si>
    <t>11/28/2014</t>
  </si>
  <si>
    <t>11/27/2014</t>
  </si>
  <si>
    <t>11/26/2014</t>
  </si>
  <si>
    <t>11/25/2014</t>
  </si>
  <si>
    <t>11/24/2014</t>
  </si>
  <si>
    <t>11/23/2014</t>
  </si>
  <si>
    <t>11/22/2014</t>
  </si>
  <si>
    <t>11/21/2014</t>
  </si>
  <si>
    <t>11/20/2014</t>
  </si>
  <si>
    <t>11/19/2014</t>
  </si>
  <si>
    <t>11/18/2014</t>
  </si>
  <si>
    <t>11/17/2014</t>
  </si>
  <si>
    <t>11/16/2014</t>
  </si>
  <si>
    <t>11/15/2014</t>
  </si>
  <si>
    <t>11/14/2014</t>
  </si>
  <si>
    <t>11/13/2014</t>
  </si>
  <si>
    <t>11/12/2014</t>
  </si>
  <si>
    <t>11/11/2014</t>
  </si>
  <si>
    <t>11/10/2014</t>
  </si>
  <si>
    <t>11/09/2014</t>
  </si>
  <si>
    <t>11/08/2014</t>
  </si>
  <si>
    <t>11/07/2014</t>
  </si>
  <si>
    <t>11/06/2014</t>
  </si>
  <si>
    <t>11/05/2014</t>
  </si>
  <si>
    <t>11/04/2014</t>
  </si>
  <si>
    <t>11/03/2014</t>
  </si>
  <si>
    <t>11/02/2014</t>
  </si>
  <si>
    <t>11/01/2014</t>
  </si>
  <si>
    <t>10/31/2014</t>
  </si>
  <si>
    <t>10/30/2014</t>
  </si>
  <si>
    <t>10/29/2014</t>
  </si>
  <si>
    <t>10/28/2014</t>
  </si>
  <si>
    <t>10/27/2014</t>
  </si>
  <si>
    <t>10/26/2014</t>
  </si>
  <si>
    <t>10/25/2014</t>
  </si>
  <si>
    <t>10/24/2014</t>
  </si>
  <si>
    <t>10/23/2014</t>
  </si>
  <si>
    <t>10/22/2014</t>
  </si>
  <si>
    <t>10/21/2014</t>
  </si>
  <si>
    <t>10/20/2014</t>
  </si>
  <si>
    <t>10/19/2014</t>
  </si>
  <si>
    <t>10/18/2014</t>
  </si>
  <si>
    <t>10/17/2014</t>
  </si>
  <si>
    <t>10/16/2014</t>
  </si>
  <si>
    <t>10/15/2014</t>
  </si>
  <si>
    <t>10/14/2014</t>
  </si>
  <si>
    <t>10/13/2014</t>
  </si>
  <si>
    <t>10/12/2014</t>
  </si>
  <si>
    <t>10/11/2014</t>
  </si>
  <si>
    <t>10/10/2014</t>
  </si>
  <si>
    <t>10/09/2014</t>
  </si>
  <si>
    <t>10/08/2014</t>
  </si>
  <si>
    <t>10/07/2014</t>
  </si>
  <si>
    <t>10/06/2014</t>
  </si>
  <si>
    <t>10/05/2014</t>
  </si>
  <si>
    <t>10/04/2014</t>
  </si>
  <si>
    <t>10/03/2014</t>
  </si>
  <si>
    <t>10/02/2014</t>
  </si>
  <si>
    <t>10/01/2014</t>
  </si>
  <si>
    <t>09/30/2014</t>
  </si>
  <si>
    <t>09/29/2014</t>
  </si>
  <si>
    <t>09/28/2014</t>
  </si>
  <si>
    <t>09/27/2014</t>
  </si>
  <si>
    <t>09/26/2014</t>
  </si>
  <si>
    <t>09/25/2014</t>
  </si>
  <si>
    <t>09/24/2014</t>
  </si>
  <si>
    <t>09/23/2014</t>
  </si>
  <si>
    <t>09/22/2014</t>
  </si>
  <si>
    <t>09/21/2014</t>
  </si>
  <si>
    <t>09/20/2014</t>
  </si>
  <si>
    <t>09/19/2014</t>
  </si>
  <si>
    <t>09/18/2014</t>
  </si>
  <si>
    <t>09/17/2014</t>
  </si>
  <si>
    <t>09/16/2014</t>
  </si>
  <si>
    <t>09/15/2014</t>
  </si>
  <si>
    <t>09/14/2014</t>
  </si>
  <si>
    <t>09/13/2014</t>
  </si>
  <si>
    <t>09/12/2014</t>
  </si>
  <si>
    <t>09/11/2014</t>
  </si>
  <si>
    <t>09/10/2014</t>
  </si>
  <si>
    <t>09/09/2014</t>
  </si>
  <si>
    <t>09/08/2014</t>
  </si>
  <si>
    <t>09/07/2014</t>
  </si>
  <si>
    <t>09/06/2014</t>
  </si>
  <si>
    <t>09/05/2014</t>
  </si>
  <si>
    <t>09/04/2014</t>
  </si>
  <si>
    <t>09/03/2014</t>
  </si>
  <si>
    <t>09/02/2014</t>
  </si>
  <si>
    <t>09/01/2014</t>
  </si>
  <si>
    <t>08/31/2014</t>
  </si>
  <si>
    <t>08/30/2014</t>
  </si>
  <si>
    <t>08/29/2014</t>
  </si>
  <si>
    <t>08/28/2014</t>
  </si>
  <si>
    <t>08/27/2014</t>
  </si>
  <si>
    <t>08/26/2014</t>
  </si>
  <si>
    <t>08/25/2014</t>
  </si>
  <si>
    <t>08/24/2014</t>
  </si>
  <si>
    <t>08/23/2014</t>
  </si>
  <si>
    <t>08/22/2014</t>
  </si>
  <si>
    <t>08/21/2014</t>
  </si>
  <si>
    <t>08/20/2014</t>
  </si>
  <si>
    <t>08/19/2014</t>
  </si>
  <si>
    <t>08/18/2014</t>
  </si>
  <si>
    <t>08/17/2014</t>
  </si>
  <si>
    <t>08/16/2014</t>
  </si>
  <si>
    <t>08/15/2014</t>
  </si>
  <si>
    <t>08/14/2014</t>
  </si>
  <si>
    <t>08/13/2014</t>
  </si>
  <si>
    <t>08/12/2014</t>
  </si>
  <si>
    <t>08/11/2014</t>
  </si>
  <si>
    <t>08/10/2014</t>
  </si>
  <si>
    <t>08/09/2014</t>
  </si>
  <si>
    <t>08/08/2014</t>
  </si>
  <si>
    <t>08/07/2014</t>
  </si>
  <si>
    <t>08/06/2014</t>
  </si>
  <si>
    <t>08/05/2014</t>
  </si>
  <si>
    <t>08/04/2014</t>
  </si>
  <si>
    <t>08/03/2014</t>
  </si>
  <si>
    <t>08/02/2014</t>
  </si>
  <si>
    <t>08/01/2014</t>
  </si>
  <si>
    <t>07/31/2014</t>
  </si>
  <si>
    <t>07/30/2014</t>
  </si>
  <si>
    <t>07/29/2014</t>
  </si>
  <si>
    <t>07/28/2014</t>
  </si>
  <si>
    <t>07/27/2014</t>
  </si>
  <si>
    <t>07/26/2014</t>
  </si>
  <si>
    <t>07/25/2014</t>
  </si>
  <si>
    <t>07/24/2014</t>
  </si>
  <si>
    <t>07/23/2014</t>
  </si>
  <si>
    <t>07/22/2014</t>
  </si>
  <si>
    <t>07/21/2014</t>
  </si>
  <si>
    <t>07/20/2014</t>
  </si>
  <si>
    <t>07/19/2014</t>
  </si>
  <si>
    <t>07/18/2014</t>
  </si>
  <si>
    <t>07/17/2014</t>
  </si>
  <si>
    <t>07/16/2014</t>
  </si>
  <si>
    <t>07/15/2014</t>
  </si>
  <si>
    <t>07/14/2014</t>
  </si>
  <si>
    <t>07/13/2014</t>
  </si>
  <si>
    <t>07/12/2014</t>
  </si>
  <si>
    <t>07/11/2014</t>
  </si>
  <si>
    <t>07/10/2014</t>
  </si>
  <si>
    <t>07/09/2014</t>
  </si>
  <si>
    <t>07/08/2014</t>
  </si>
  <si>
    <t>07/07/2014</t>
  </si>
  <si>
    <t>07/06/2014</t>
  </si>
  <si>
    <t>07/05/2014</t>
  </si>
  <si>
    <t>07/04/2014</t>
  </si>
  <si>
    <t>07/03/2014</t>
  </si>
  <si>
    <t>07/02/2014</t>
  </si>
  <si>
    <t>10-YEAR-RANGE</t>
  </si>
  <si>
    <t>MIN</t>
  </si>
  <si>
    <t>MAX</t>
  </si>
  <si>
    <t>10YEARAVG</t>
  </si>
  <si>
    <t>5YEARAVG</t>
  </si>
  <si>
    <t>07/01/2014</t>
  </si>
  <si>
    <t>06/30/2014</t>
  </si>
  <si>
    <t>Receipts 28-Day Average</t>
  </si>
  <si>
    <t>Receipts 7-Day Average</t>
  </si>
  <si>
    <t>Offlines and MPL Racks 28-Day Average</t>
  </si>
  <si>
    <t>Offlines and MPL Racks 7-Day Average</t>
  </si>
  <si>
    <t>MPL Racks Only</t>
  </si>
  <si>
    <t>System Inventory</t>
  </si>
  <si>
    <t>Date</t>
  </si>
  <si>
    <t>06/11/2025</t>
  </si>
  <si>
    <t>06/12/2025</t>
  </si>
  <si>
    <t>06/13/2025</t>
  </si>
  <si>
    <t>06/14/2025</t>
  </si>
  <si>
    <t>06/17/2025</t>
  </si>
  <si>
    <t>06/16/2025</t>
  </si>
  <si>
    <t>06/15/2025</t>
  </si>
  <si>
    <t>06/19/2025</t>
  </si>
  <si>
    <t>06/18/2025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</si>
  <si>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</si>
  <si>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</si>
  <si>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</si>
  <si>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</si>
  <si>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</si>
  <si>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</si>
  <si>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</si>
  <si>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</si>
  <si>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</si>
  <si>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</si>
  <si>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</si>
  <si>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</si>
  <si>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</si>
  <si>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</si>
  <si>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</si>
  <si>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</si>
  <si>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</si>
  <si>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07/10/2025</t>
  </si>
  <si>
    <t>07/09/2025</t>
  </si>
  <si>
    <t>07/11/2025</t>
  </si>
  <si>
    <t>07/12/2025</t>
  </si>
  <si>
    <t>07/13/2025</t>
  </si>
  <si>
    <t>07/08/2025</t>
  </si>
  <si>
    <t>07/07/2025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</si>
  <si>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</si>
  <si>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</si>
  <si>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</si>
  <si>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</si>
  <si>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</si>
  <si>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</si>
  <si>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</si>
  <si>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</si>
  <si>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</si>
  <si>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</si>
  <si>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</si>
  <si>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</si>
  <si>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</si>
  <si>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</si>
  <si>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</si>
  <si>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</si>
  <si>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</si>
  <si>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</si>
  <si>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</si>
  <si>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</si>
  <si>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</si>
  <si>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</si>
  <si>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08/06/2025</t>
  </si>
  <si>
    <t>08/05/2025</t>
  </si>
  <si>
    <t>08/07/2025</t>
  </si>
  <si>
    <t>08/08/2025</t>
  </si>
  <si>
    <t>08/09/2025</t>
  </si>
  <si>
    <t>08/10/2025</t>
  </si>
  <si>
    <t>08/13/2025</t>
  </si>
  <si>
    <t>08/14/2025</t>
  </si>
  <si>
    <t>08/11/2025</t>
  </si>
  <si>
    <t>08/12/2025</t>
  </si>
  <si>
    <t>08/15/2025</t>
  </si>
  <si>
    <t>08/16/2025</t>
  </si>
  <si>
    <t>08/17/2025</t>
  </si>
  <si>
    <t>08/20/2025</t>
  </si>
  <si>
    <t>08/19/2025</t>
  </si>
  <si>
    <t>08/18/2025</t>
  </si>
  <si>
    <t>08/21/2025</t>
  </si>
  <si>
    <t>08/22/2025</t>
  </si>
  <si>
    <t>08/23/2025</t>
  </si>
  <si>
    <t>08/24/2025</t>
  </si>
  <si>
    <t>08/26/2025</t>
  </si>
  <si>
    <t>08/25/2025</t>
  </si>
  <si>
    <t>08/27/2025</t>
  </si>
  <si>
    <t>08/28/2025</t>
  </si>
  <si>
    <t>08/29/2025</t>
  </si>
  <si>
    <t>08/30/2025</t>
  </si>
  <si>
    <t>08/31/2025</t>
  </si>
  <si>
    <t>09/01/2025</t>
  </si>
  <si>
    <t>09/03/2025</t>
  </si>
  <si>
    <t>09/04/2025</t>
  </si>
  <si>
    <t>09/02/2025</t>
  </si>
  <si>
    <t>09/05/2025</t>
  </si>
  <si>
    <t>09/06/2025</t>
  </si>
  <si>
    <t>09/07/2025</t>
  </si>
  <si>
    <t>09/08/2025</t>
  </si>
  <si>
    <t>09/10/2025</t>
  </si>
  <si>
    <t>09/09/2025</t>
  </si>
  <si>
    <t>09/11/2025</t>
  </si>
  <si>
    <t>09/12/2025</t>
  </si>
  <si>
    <t>09/13/2025</t>
  </si>
  <si>
    <t>09/14/2025</t>
  </si>
  <si>
    <t>09/15/2025</t>
  </si>
  <si>
    <t>09/17/2025</t>
  </si>
  <si>
    <t>09/18/2025</t>
  </si>
  <si>
    <t>09/16/2025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</si>
  <si>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</si>
  <si>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</si>
  <si>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</si>
  <si>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</si>
  <si>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</si>
  <si>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</si>
  <si>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</si>
  <si>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</si>
  <si>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</si>
  <si>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</si>
  <si>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10/02/2025</t>
  </si>
  <si>
    <t>10/01/2025</t>
  </si>
  <si>
    <t>09/30/2025</t>
  </si>
  <si>
    <t>09/29/2025</t>
  </si>
  <si>
    <t>10/03/2025</t>
  </si>
  <si>
    <t>10/04/2025</t>
  </si>
  <si>
    <t>10/05/2025</t>
  </si>
  <si>
    <t>10/06/2025</t>
  </si>
  <si>
    <t>10/08/2025</t>
  </si>
  <si>
    <t>10/07/2025</t>
  </si>
  <si>
    <t>10/09/2025</t>
  </si>
  <si>
    <t>10/10/2025</t>
  </si>
  <si>
    <t>10/11/2025</t>
  </si>
  <si>
    <t>10/12/2025</t>
  </si>
  <si>
    <t>10/13/2025</t>
  </si>
  <si>
    <t>10/14/2025</t>
  </si>
  <si>
    <t>10/16/2025</t>
  </si>
  <si>
    <t>10/15/2025</t>
  </si>
  <si>
    <t>10/17/2025</t>
  </si>
  <si>
    <t>10/18/2025</t>
  </si>
  <si>
    <t>10/19/2025</t>
  </si>
  <si>
    <t>10/23/2025</t>
  </si>
  <si>
    <t>10/20/2025</t>
  </si>
  <si>
    <t>10/21/2025</t>
  </si>
  <si>
    <t>10/22/2025</t>
  </si>
  <si>
    <t>10/24/2025</t>
  </si>
  <si>
    <t>10/25/2025</t>
  </si>
  <si>
    <t>10/26/2025</t>
  </si>
  <si>
    <t>10/29/2025</t>
  </si>
  <si>
    <t>10/30/2025</t>
  </si>
  <si>
    <t>10/27/2025</t>
  </si>
  <si>
    <t>10/28/2025</t>
  </si>
  <si>
    <t>10/31/2025</t>
  </si>
  <si>
    <t>11/01/2025</t>
  </si>
  <si>
    <t>11/02/2025</t>
  </si>
  <si>
    <t>11/06/2025</t>
  </si>
  <si>
    <t>11/05/2025</t>
  </si>
  <si>
    <t>11/03/2025</t>
  </si>
  <si>
    <t>11/04/2025</t>
  </si>
  <si>
    <t>11/07/2025</t>
  </si>
  <si>
    <t>11/08/2025</t>
  </si>
  <si>
    <t>11/09/2025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</si>
  <si>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</si>
  <si>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</si>
  <si>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</si>
  <si>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</si>
  <si>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</si>
  <si>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</si>
  <si>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</si>
  <si>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</si>
  <si>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</si>
  <si>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11/20/2025</t>
  </si>
  <si>
    <t>11/19/2025</t>
  </si>
  <si>
    <t>11/21/2025</t>
  </si>
  <si>
    <t>11/22/2025</t>
  </si>
  <si>
    <t>11/23/2025</t>
  </si>
  <si>
    <t>11/24/2025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</si>
</sst>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2" borderId="0" xfId="0" applyFill="1"/>
    <xf numFmtId="1" fontId="0" fillId="0" borderId="0" xfId="0" applyNumberFormat="1"/>
    <xf numFmtId="1" fontId="0" fillId="2" borderId="0" xfId="0" applyNumberFormat="1" applyFill="1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metadata.xml" Type="http://schemas.openxmlformats.org/officeDocument/2006/relationships/sheetMetadata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9992-6F0E-1347-A4B1-6CA83F3E05E4}">
  <dimension ref="A1:AD4164"/>
  <sheetViews>
    <sheetView tabSelected="1" topLeftCell="A4026" zoomScale="112" workbookViewId="0">
      <selection activeCell="A4050" sqref="A4050"/>
    </sheetView>
  </sheetViews>
  <sheetFormatPr baseColWidth="10" defaultColWidth="8.83203125" defaultRowHeight="15" x14ac:dyDescent="0.2"/>
  <cols>
    <col min="1" max="1" bestFit="true" customWidth="true" width="11.6640625"/>
    <col min="2" max="2" bestFit="true" customWidth="true" width="16.5"/>
    <col min="3" max="3" bestFit="true" customWidth="true" width="15.1640625"/>
    <col min="4" max="4" bestFit="true" customWidth="true" width="35.33203125"/>
    <col min="5" max="5" bestFit="true" customWidth="true" width="36.5"/>
    <col min="6" max="6" bestFit="true" customWidth="true" width="22.1640625"/>
    <col min="7" max="7" bestFit="true" customWidth="true" width="23.33203125"/>
  </cols>
  <sheetData>
    <row r="1" spans="1:30" x14ac:dyDescent="0.2">
      <c r="A1" t="s" s="0">
        <v>4007</v>
      </c>
      <c r="B1" t="s" s="0">
        <v>4006</v>
      </c>
      <c r="C1" t="s" s="0">
        <v>4005</v>
      </c>
      <c r="D1" t="s" s="0">
        <v>4004</v>
      </c>
      <c r="E1" t="s" s="0">
        <v>4003</v>
      </c>
      <c r="F1" t="s" s="0">
        <v>4002</v>
      </c>
      <c r="G1" t="s" s="0">
        <v>4001</v>
      </c>
    </row>
    <row r="2" spans="1:30" x14ac:dyDescent="0.2">
      <c r="A2" t="s" s="0">
        <v>4000</v>
      </c>
      <c r="B2" s="2">
        <v>895903</v>
      </c>
      <c r="C2" s="2">
        <v>36320</v>
      </c>
      <c r="D2" s="2">
        <v>38380</v>
      </c>
      <c r="E2" s="2">
        <v>44325</v>
      </c>
      <c r="F2" s="2">
        <v>46949</v>
      </c>
      <c r="G2" s="2">
        <v>46447</v>
      </c>
    </row>
    <row r="3" spans="1:30" x14ac:dyDescent="0.2">
      <c r="A3" t="s" s="0">
        <v>3999</v>
      </c>
      <c r="B3" s="2">
        <v>888492</v>
      </c>
      <c r="C3" s="2">
        <v>47375</v>
      </c>
      <c r="D3" s="2">
        <v>39809</v>
      </c>
      <c r="E3" s="2">
        <v>44869</v>
      </c>
      <c r="F3" s="2">
        <v>33365</v>
      </c>
      <c r="G3" s="2">
        <v>45213</v>
      </c>
      <c r="J3" s="2">
        <v>2015</v>
      </c>
      <c r="K3" s="2">
        <f t="shared" ref="K3:T3" si="0">J3+1</f>
        <v>2016</v>
      </c>
      <c r="L3" s="2">
        <f t="shared" si="0"/>
        <v>2017</v>
      </c>
      <c r="M3" s="2">
        <f t="shared" si="0"/>
        <v>2018</v>
      </c>
      <c r="N3" s="2">
        <f t="shared" si="0"/>
        <v>2019</v>
      </c>
      <c r="O3" s="2">
        <f t="shared" si="0"/>
        <v>2020</v>
      </c>
      <c r="P3" s="2">
        <f t="shared" si="0"/>
        <v>2021</v>
      </c>
      <c r="Q3" s="2">
        <f t="shared" si="0"/>
        <v>2022</v>
      </c>
      <c r="R3" s="2">
        <f t="shared" si="0"/>
        <v>2023</v>
      </c>
      <c r="S3" s="2">
        <f t="shared" si="0"/>
        <v>2024</v>
      </c>
      <c r="T3" s="2">
        <f t="shared" si="0"/>
        <v>2025</v>
      </c>
      <c r="U3" s="2">
        <v>2026</v>
      </c>
      <c r="V3" s="2">
        <v>2027</v>
      </c>
      <c r="W3" s="2">
        <v>2028</v>
      </c>
      <c r="X3" s="2">
        <v>2029</v>
      </c>
      <c r="Y3" s="2">
        <v>2030</v>
      </c>
      <c r="Z3" t="s" s="0">
        <v>3998</v>
      </c>
      <c r="AA3" t="s" s="0">
        <v>3997</v>
      </c>
      <c r="AB3" t="s" s="0">
        <v>3996</v>
      </c>
      <c r="AC3" t="s" s="0">
        <v>3995</v>
      </c>
      <c r="AD3" t="s" s="0">
        <v>3994</v>
      </c>
    </row>
    <row r="4" spans="1:30" x14ac:dyDescent="0.2">
      <c r="A4" t="s" s="0">
        <v>3993</v>
      </c>
      <c r="B4" s="2">
        <v>902035</v>
      </c>
      <c r="C4" s="2">
        <v>51146</v>
      </c>
      <c r="D4" s="2">
        <v>41842</v>
      </c>
      <c r="E4" s="2">
        <v>44609</v>
      </c>
      <c r="F4" s="2">
        <v>42606</v>
      </c>
      <c r="G4" s="2">
        <v>46461</v>
      </c>
      <c r="I4" t="str" s="0">
        <f t="shared" ref="I4:I67" si="1">LEFT(A187, 5)</f>
        <v>01/01</v>
      </c>
      <c r="J4" s="2">
        <f t="shared" ref="J4:J67" si="2">B187</f>
        <v>1124102</v>
      </c>
      <c r="K4" s="2">
        <f t="shared" ref="K4:K67" si="3">B552</f>
        <v>1026789</v>
      </c>
      <c r="L4" s="2">
        <f t="shared" ref="L4:L67" si="4">B917</f>
        <v>1229041</v>
      </c>
      <c r="M4" s="2">
        <f t="shared" ref="M4:M67" si="5">B1282</f>
        <v>923888</v>
      </c>
      <c r="N4" s="2">
        <f t="shared" ref="N4:N67" si="6">B1647</f>
        <v>1192773</v>
      </c>
      <c r="O4" s="2">
        <f t="shared" ref="O4:O67" si="7">B2012</f>
        <v>1503935</v>
      </c>
      <c r="P4" s="2">
        <f t="shared" ref="P4:P67" si="8">B2377</f>
        <v>1580531</v>
      </c>
      <c r="Q4" s="2">
        <f t="shared" ref="Q4:Q67" si="9">B2742</f>
        <v>1330409</v>
      </c>
      <c r="R4" s="2">
        <f t="shared" ref="R4:R67" si="10">B3107</f>
        <v>1097645</v>
      </c>
      <c r="S4" s="2">
        <f t="shared" ref="S4:S67" si="11">B3472</f>
        <v>1304483</v>
      </c>
      <c r="T4" s="2">
        <f t="shared" ref="T4:T67" si="12">IF(B3837=0, NA(), B3837)</f>
        <v>1404439</v>
      </c>
      <c r="U4" s="2" t="e">
        <f>IF(B4196=0, NA(), B4196)</f>
        <v>#N/A</v>
      </c>
      <c r="V4" s="2" t="e">
        <f>IF(B4561=0, NA(), B4561)</f>
        <v>#N/A</v>
      </c>
      <c r="W4" s="2" t="e">
        <f>IF(B4926=0, NA(), B4926)</f>
        <v>#N/A</v>
      </c>
      <c r="X4" s="2" t="e">
        <f>IF(B5291=0, NA(), B5291)</f>
        <v>#N/A</v>
      </c>
      <c r="Y4" s="2" t="e">
        <f>IF(B5656=0, NA(), B5656)</f>
        <v>#N/A</v>
      </c>
      <c r="Z4" s="0">
        <f ca="1">AVERAGE(OFFSET(J4,0,YEAR(TODAY())-2015-5,1,5))</f>
        <v>1363400.6</v>
      </c>
      <c r="AA4" s="0">
        <f ca="1">AVERAGE(OFFSET(J4,0,YEAR(TODAY())-2015-10,1,10))</f>
        <v>1231359.6000000001</v>
      </c>
      <c r="AB4" cm="1" s="0">
        <f t="array" ref="AB4">MAX(IF(ISNUMBER(J4:Y4),J4:Y4))</f>
        <v>1580531</v>
      </c>
      <c r="AC4" cm="1" s="0">
        <f t="array" ref="AC4">MIN(IF(ISNUMBER(J4:Y4),J4:Y4))</f>
        <v>923888</v>
      </c>
      <c r="AD4" s="0">
        <f t="shared" ref="AD4:AD67" si="13">AB4-AC4</f>
        <v>656643</v>
      </c>
    </row>
    <row r="5" spans="1:30" x14ac:dyDescent="0.2">
      <c r="A5" t="s" s="0">
        <v>3992</v>
      </c>
      <c r="B5" s="2">
        <v>889231</v>
      </c>
      <c r="C5" s="2">
        <v>56843</v>
      </c>
      <c r="D5" s="2">
        <v>44709</v>
      </c>
      <c r="E5" s="2">
        <v>45209</v>
      </c>
      <c r="F5" s="2">
        <v>49749</v>
      </c>
      <c r="G5" s="2">
        <v>47712</v>
      </c>
      <c r="I5" t="str" s="0">
        <f t="shared" si="1"/>
        <v>01/02</v>
      </c>
      <c r="J5" s="2">
        <f t="shared" si="2"/>
        <v>1124102</v>
      </c>
      <c r="K5" s="2">
        <f t="shared" si="3"/>
        <v>1026789</v>
      </c>
      <c r="L5" s="2">
        <f t="shared" si="4"/>
        <v>1200536</v>
      </c>
      <c r="M5" s="2">
        <f t="shared" si="5"/>
        <v>899679</v>
      </c>
      <c r="N5" s="2">
        <f t="shared" si="6"/>
        <v>1130080</v>
      </c>
      <c r="O5" s="2">
        <f t="shared" si="7"/>
        <v>1413267</v>
      </c>
      <c r="P5" s="2">
        <f t="shared" si="8"/>
        <v>1580531</v>
      </c>
      <c r="Q5" s="2">
        <f t="shared" si="9"/>
        <v>1282173</v>
      </c>
      <c r="R5" s="2">
        <f t="shared" si="10"/>
        <v>1059581</v>
      </c>
      <c r="S5" s="2">
        <f t="shared" si="11"/>
        <v>1289461</v>
      </c>
      <c r="T5" s="2">
        <f t="shared" si="12"/>
        <v>1359416</v>
      </c>
      <c r="U5" s="2" t="e">
        <f t="shared" ref="U5:U68" si="14">IF(B4197=0, NA(), B4197)</f>
        <v>#N/A</v>
      </c>
      <c r="V5" s="2" t="e">
        <f t="shared" ref="V5:V68" si="15">IF(B4562=0, NA(), B4562)</f>
        <v>#N/A</v>
      </c>
      <c r="W5" s="2" t="e">
        <f t="shared" ref="W5:W68" si="16">IF(B4927=0, NA(), B4927)</f>
        <v>#N/A</v>
      </c>
      <c r="X5" s="2" t="e">
        <f t="shared" ref="X5:X68" si="17">IF(B5292=0, NA(), B5292)</f>
        <v>#N/A</v>
      </c>
      <c r="Y5" s="2" t="e">
        <f t="shared" ref="Y5:Y68" si="18">IF(B5657=0, NA(), B5657)</f>
        <v>#N/A</v>
      </c>
      <c r="Z5" s="0">
        <f ca="1">AVERAGE(OFFSET(J5,0,YEAR(TODAY())-2015-5,1,5))</f>
        <v>1325002.6000000001</v>
      </c>
      <c r="AA5" s="0">
        <f ca="1">AVERAGE(OFFSET(J5,0,YEAR(TODAY())-2015-10,1,10))</f>
        <v>1200619.8999999999</v>
      </c>
      <c r="AB5" cm="1" s="0">
        <f t="array" ref="AB5">MAX(IF(ISNUMBER(J5:Y5),J5:Y5))</f>
        <v>1580531</v>
      </c>
      <c r="AC5" cm="1" s="0">
        <f t="array" ref="AC5">MIN(IF(ISNUMBER(J5:Y5),J5:Y5))</f>
        <v>899679</v>
      </c>
      <c r="AD5" s="0">
        <f t="shared" si="13"/>
        <v>680852</v>
      </c>
    </row>
    <row r="6" spans="1:30" x14ac:dyDescent="0.2">
      <c r="A6" t="s" s="0">
        <v>3991</v>
      </c>
      <c r="B6" s="3">
        <v>889231</v>
      </c>
      <c r="C6" s="3">
        <v>56843</v>
      </c>
      <c r="D6" s="3">
        <v>44709</v>
      </c>
      <c r="E6" s="3">
        <v>45209</v>
      </c>
      <c r="F6" s="3">
        <v>49749</v>
      </c>
      <c r="G6" s="3">
        <v>47712</v>
      </c>
      <c r="I6" t="str" s="0">
        <f t="shared" si="1"/>
        <v>01/03</v>
      </c>
      <c r="J6" s="2">
        <f t="shared" si="2"/>
        <v>1124102</v>
      </c>
      <c r="K6" s="2">
        <f t="shared" si="3"/>
        <v>1106428</v>
      </c>
      <c r="L6" s="2">
        <f t="shared" si="4"/>
        <v>1202246</v>
      </c>
      <c r="M6" s="2">
        <f t="shared" si="5"/>
        <v>915954</v>
      </c>
      <c r="N6" s="2">
        <f t="shared" si="6"/>
        <v>1223660</v>
      </c>
      <c r="O6" s="2">
        <f t="shared" si="7"/>
        <v>1413267</v>
      </c>
      <c r="P6" s="2">
        <f t="shared" si="8"/>
        <v>1651777</v>
      </c>
      <c r="Q6" s="2">
        <f t="shared" si="9"/>
        <v>1272305</v>
      </c>
      <c r="R6" s="2">
        <f t="shared" si="10"/>
        <v>1087153</v>
      </c>
      <c r="S6" s="2">
        <f t="shared" si="11"/>
        <v>1384962</v>
      </c>
      <c r="T6" s="2">
        <f t="shared" si="12"/>
        <v>1359416</v>
      </c>
      <c r="U6" s="2" t="e">
        <f t="shared" si="14"/>
        <v>#N/A</v>
      </c>
      <c r="V6" s="2" t="e">
        <f t="shared" si="15"/>
        <v>#N/A</v>
      </c>
      <c r="W6" s="2" t="e">
        <f t="shared" si="16"/>
        <v>#N/A</v>
      </c>
      <c r="X6" s="2" t="e">
        <f t="shared" si="17"/>
        <v>#N/A</v>
      </c>
      <c r="Y6" s="2" t="e">
        <f t="shared" si="18"/>
        <v>#N/A</v>
      </c>
      <c r="Z6" s="0">
        <f ca="1">AVERAGE(OFFSET(J6,0,YEAR(TODAY())-2015-5,1,5))</f>
        <v>1361892.8</v>
      </c>
      <c r="AA6" s="0">
        <f t="shared" ref="AA6:AA69" ca="1" si="19">AVERAGE(OFFSET(J6,0,YEAR(TODAY())-2015-10,1,10))</f>
        <v>1238185.3999999999</v>
      </c>
      <c r="AB6" cm="1" s="0">
        <f t="array" ref="AB6">MAX(IF(ISNUMBER(J6:Y6),J6:Y6))</f>
        <v>1651777</v>
      </c>
      <c r="AC6" cm="1" s="0">
        <f t="array" ref="AC6">MIN(IF(ISNUMBER(J6:Y6),J6:Y6))</f>
        <v>915954</v>
      </c>
      <c r="AD6" s="0">
        <f t="shared" si="13"/>
        <v>735823</v>
      </c>
    </row>
    <row r="7" spans="1:30" x14ac:dyDescent="0.2">
      <c r="A7" t="s" s="0">
        <v>3990</v>
      </c>
      <c r="B7" s="3">
        <v>889231</v>
      </c>
      <c r="C7" s="3">
        <v>56843</v>
      </c>
      <c r="D7" s="3">
        <v>44709</v>
      </c>
      <c r="E7" s="3">
        <v>45209</v>
      </c>
      <c r="F7" s="3">
        <v>49749</v>
      </c>
      <c r="G7" s="3">
        <v>47712</v>
      </c>
      <c r="I7" t="str" s="0">
        <f t="shared" si="1"/>
        <v>01/04</v>
      </c>
      <c r="J7" s="2">
        <f t="shared" si="2"/>
        <v>1171530</v>
      </c>
      <c r="K7" s="2">
        <f t="shared" si="3"/>
        <v>1067340</v>
      </c>
      <c r="L7" s="2">
        <f t="shared" si="4"/>
        <v>1202002</v>
      </c>
      <c r="M7" s="2">
        <f t="shared" si="5"/>
        <v>913459</v>
      </c>
      <c r="N7" s="2">
        <f t="shared" si="6"/>
        <v>1223660</v>
      </c>
      <c r="O7" s="2">
        <f t="shared" si="7"/>
        <v>1413267</v>
      </c>
      <c r="P7" s="2">
        <f t="shared" si="8"/>
        <v>1627023</v>
      </c>
      <c r="Q7" s="2">
        <f t="shared" si="9"/>
        <v>1232873</v>
      </c>
      <c r="R7" s="2">
        <f t="shared" si="10"/>
        <v>1144609</v>
      </c>
      <c r="S7" s="2">
        <f t="shared" si="11"/>
        <v>1363533</v>
      </c>
      <c r="T7" s="2">
        <f t="shared" si="12"/>
        <v>1359416</v>
      </c>
      <c r="U7" s="2" t="e">
        <f t="shared" si="14"/>
        <v>#N/A</v>
      </c>
      <c r="V7" s="2" t="e">
        <f t="shared" si="15"/>
        <v>#N/A</v>
      </c>
      <c r="W7" s="2" t="e">
        <f t="shared" si="16"/>
        <v>#N/A</v>
      </c>
      <c r="X7" s="2" t="e">
        <f t="shared" si="17"/>
        <v>#N/A</v>
      </c>
      <c r="Y7" s="2" t="e">
        <f t="shared" si="18"/>
        <v>#N/A</v>
      </c>
      <c r="Z7" s="0">
        <f ca="1">AVERAGE(OFFSET(J7,0,YEAR(TODAY())-2015-5,1,5))</f>
        <v>1356261</v>
      </c>
      <c r="AA7" s="0">
        <f t="shared" ca="1" si="19"/>
        <v>1235929.6000000001</v>
      </c>
      <c r="AB7" cm="1" s="0">
        <f t="array" ref="AB7">MAX(IF(ISNUMBER(J7:Y7),J7:Y7))</f>
        <v>1627023</v>
      </c>
      <c r="AC7" cm="1" s="0">
        <f t="array" ref="AC7">MIN(IF(ISNUMBER(J7:Y7),J7:Y7))</f>
        <v>913459</v>
      </c>
      <c r="AD7" s="0">
        <f t="shared" si="13"/>
        <v>713564</v>
      </c>
    </row>
    <row r="8" spans="1:30" x14ac:dyDescent="0.2">
      <c r="A8" t="s" s="0">
        <v>3989</v>
      </c>
      <c r="B8" s="2">
        <v>879749</v>
      </c>
      <c r="C8" s="2">
        <v>24060</v>
      </c>
      <c r="D8" s="2">
        <v>45238</v>
      </c>
      <c r="E8" s="2">
        <v>45482</v>
      </c>
      <c r="F8" s="2">
        <v>37733</v>
      </c>
      <c r="G8" s="2">
        <v>48050</v>
      </c>
      <c r="I8" t="str" s="0">
        <f t="shared" si="1"/>
        <v>01/05</v>
      </c>
      <c r="J8" s="2">
        <f t="shared" si="2"/>
        <v>1176830</v>
      </c>
      <c r="K8" s="2">
        <f t="shared" si="3"/>
        <v>1081022</v>
      </c>
      <c r="L8" s="2">
        <f t="shared" si="4"/>
        <v>1183589</v>
      </c>
      <c r="M8" s="2">
        <f t="shared" si="5"/>
        <v>913459</v>
      </c>
      <c r="N8" s="2">
        <f t="shared" si="6"/>
        <v>1223660</v>
      </c>
      <c r="O8" s="2">
        <f t="shared" si="7"/>
        <v>1378230</v>
      </c>
      <c r="P8" s="2">
        <f t="shared" si="8"/>
        <v>1606235</v>
      </c>
      <c r="Q8" s="2">
        <f t="shared" si="9"/>
        <v>1210534</v>
      </c>
      <c r="R8" s="2">
        <f t="shared" si="10"/>
        <v>1155962</v>
      </c>
      <c r="S8" s="2">
        <f t="shared" si="11"/>
        <v>1363533</v>
      </c>
      <c r="T8" s="2">
        <f t="shared" si="12"/>
        <v>1321579</v>
      </c>
      <c r="U8" s="2" t="e">
        <f t="shared" si="14"/>
        <v>#N/A</v>
      </c>
      <c r="V8" s="2" t="e">
        <f t="shared" si="15"/>
        <v>#N/A</v>
      </c>
      <c r="W8" s="2" t="e">
        <f t="shared" si="16"/>
        <v>#N/A</v>
      </c>
      <c r="X8" s="2" t="e">
        <f t="shared" si="17"/>
        <v>#N/A</v>
      </c>
      <c r="Y8" s="2" t="e">
        <f t="shared" si="18"/>
        <v>#N/A</v>
      </c>
      <c r="Z8" s="0">
        <f t="shared" ref="Z8:Z71" ca="1" si="20">AVERAGE(OFFSET(J8,0,YEAR(TODAY())-2015-5,1,5))</f>
        <v>1342898.8</v>
      </c>
      <c r="AA8" s="0">
        <f t="shared" ca="1" si="19"/>
        <v>1229305.3999999999</v>
      </c>
      <c r="AB8" cm="1" s="0">
        <f t="array" ref="AB8">MAX(IF(ISNUMBER(J8:Y8),J8:Y8))</f>
        <v>1606235</v>
      </c>
      <c r="AC8" cm="1" s="0">
        <f t="array" ref="AC8">MIN(IF(ISNUMBER(J8:Y8),J8:Y8))</f>
        <v>913459</v>
      </c>
      <c r="AD8" s="0">
        <f t="shared" si="13"/>
        <v>692776</v>
      </c>
    </row>
    <row r="9" spans="1:30" x14ac:dyDescent="0.2">
      <c r="A9" t="s" s="0">
        <v>3988</v>
      </c>
      <c r="B9" s="2">
        <v>894733</v>
      </c>
      <c r="C9" s="2">
        <v>38510</v>
      </c>
      <c r="D9" s="2">
        <v>46102</v>
      </c>
      <c r="E9" s="2">
        <v>45381</v>
      </c>
      <c r="F9" s="2">
        <v>45926</v>
      </c>
      <c r="G9" s="2">
        <v>48677</v>
      </c>
      <c r="I9" t="str" s="0">
        <f t="shared" si="1"/>
        <v>01/06</v>
      </c>
      <c r="J9" s="2">
        <f t="shared" si="2"/>
        <v>1170539</v>
      </c>
      <c r="K9" s="2">
        <f t="shared" si="3"/>
        <v>1191291</v>
      </c>
      <c r="L9" s="2">
        <f t="shared" si="4"/>
        <v>1183589</v>
      </c>
      <c r="M9" s="2">
        <f t="shared" si="5"/>
        <v>913459</v>
      </c>
      <c r="N9" s="2">
        <f t="shared" si="6"/>
        <v>1290917</v>
      </c>
      <c r="O9" s="2">
        <f t="shared" si="7"/>
        <v>1445491</v>
      </c>
      <c r="P9" s="2">
        <f t="shared" si="8"/>
        <v>1571569</v>
      </c>
      <c r="Q9" s="2">
        <f t="shared" si="9"/>
        <v>1251591</v>
      </c>
      <c r="R9" s="2">
        <f t="shared" si="10"/>
        <v>1155962</v>
      </c>
      <c r="S9" s="2">
        <f t="shared" si="11"/>
        <v>1363533</v>
      </c>
      <c r="T9" s="2">
        <f t="shared" si="12"/>
        <v>1406444</v>
      </c>
      <c r="U9" s="2" t="e">
        <f t="shared" si="14"/>
        <v>#N/A</v>
      </c>
      <c r="V9" s="2" t="e">
        <f t="shared" si="15"/>
        <v>#N/A</v>
      </c>
      <c r="W9" s="2" t="e">
        <f t="shared" si="16"/>
        <v>#N/A</v>
      </c>
      <c r="X9" s="2" t="e">
        <f t="shared" si="17"/>
        <v>#N/A</v>
      </c>
      <c r="Y9" s="2" t="e">
        <f t="shared" si="18"/>
        <v>#N/A</v>
      </c>
      <c r="Z9" s="0">
        <f t="shared" ca="1" si="20"/>
        <v>1357629.2</v>
      </c>
      <c r="AA9" s="0">
        <f t="shared" ca="1" si="19"/>
        <v>1253794.1000000001</v>
      </c>
      <c r="AB9" cm="1" s="0">
        <f t="array" ref="AB9">MAX(IF(ISNUMBER(J9:Y9),J9:Y9))</f>
        <v>1571569</v>
      </c>
      <c r="AC9" cm="1" s="0">
        <f t="array" ref="AC9">MIN(IF(ISNUMBER(J9:Y9),J9:Y9))</f>
        <v>913459</v>
      </c>
      <c r="AD9" s="0">
        <f t="shared" si="13"/>
        <v>658110</v>
      </c>
    </row>
    <row r="10" spans="1:30" x14ac:dyDescent="0.2">
      <c r="A10" t="s" s="0">
        <v>3987</v>
      </c>
      <c r="B10" s="2">
        <v>910912</v>
      </c>
      <c r="C10" s="2">
        <v>44351</v>
      </c>
      <c r="D10" s="2">
        <v>44237</v>
      </c>
      <c r="E10" s="2">
        <v>43726</v>
      </c>
      <c r="F10" s="2">
        <v>47352</v>
      </c>
      <c r="G10" s="2">
        <v>46247</v>
      </c>
      <c r="I10" t="str" s="0">
        <f t="shared" si="1"/>
        <v>01/07</v>
      </c>
      <c r="J10" s="2">
        <f t="shared" si="2"/>
        <v>1273167</v>
      </c>
      <c r="K10" s="2">
        <f t="shared" si="3"/>
        <v>1239194</v>
      </c>
      <c r="L10" s="2">
        <f t="shared" si="4"/>
        <v>1183589</v>
      </c>
      <c r="M10" s="2">
        <f t="shared" si="5"/>
        <v>976804</v>
      </c>
      <c r="N10" s="2">
        <f t="shared" si="6"/>
        <v>1308144</v>
      </c>
      <c r="O10" s="2">
        <f t="shared" si="7"/>
        <v>1415067</v>
      </c>
      <c r="P10" s="2">
        <f t="shared" si="8"/>
        <v>1563584</v>
      </c>
      <c r="Q10" s="2">
        <f t="shared" si="9"/>
        <v>1251591</v>
      </c>
      <c r="R10" s="2">
        <f t="shared" si="10"/>
        <v>1155962</v>
      </c>
      <c r="S10" s="2">
        <f t="shared" si="11"/>
        <v>1351187</v>
      </c>
      <c r="T10" s="2">
        <f t="shared" si="12"/>
        <v>1403847</v>
      </c>
      <c r="U10" s="2" t="e">
        <f t="shared" si="14"/>
        <v>#N/A</v>
      </c>
      <c r="V10" s="2" t="e">
        <f t="shared" si="15"/>
        <v>#N/A</v>
      </c>
      <c r="W10" s="2" t="e">
        <f t="shared" si="16"/>
        <v>#N/A</v>
      </c>
      <c r="X10" s="2" t="e">
        <f t="shared" si="17"/>
        <v>#N/A</v>
      </c>
      <c r="Y10" s="2" t="e">
        <f t="shared" si="18"/>
        <v>#N/A</v>
      </c>
      <c r="Z10" s="0">
        <f t="shared" ca="1" si="20"/>
        <v>1347478.2</v>
      </c>
      <c r="AA10" s="0">
        <f t="shared" ca="1" si="19"/>
        <v>1271828.8999999999</v>
      </c>
      <c r="AB10" cm="1" s="0">
        <f t="array" ref="AB10">MAX(IF(ISNUMBER(J10:Y10),J10:Y10))</f>
        <v>1563584</v>
      </c>
      <c r="AC10" cm="1" s="0">
        <f t="array" ref="AC10">MIN(IF(ISNUMBER(J10:Y10),J10:Y10))</f>
        <v>976804</v>
      </c>
      <c r="AD10" s="0">
        <f t="shared" si="13"/>
        <v>586780</v>
      </c>
    </row>
    <row r="11" spans="1:30" x14ac:dyDescent="0.2">
      <c r="A11" t="s" s="0">
        <v>3986</v>
      </c>
      <c r="B11" s="2">
        <v>983143</v>
      </c>
      <c r="C11" s="2">
        <v>39101</v>
      </c>
      <c r="D11" s="2">
        <v>42516</v>
      </c>
      <c r="E11" s="2">
        <v>42965</v>
      </c>
      <c r="F11" s="2">
        <v>54015</v>
      </c>
      <c r="G11" s="2">
        <v>48903</v>
      </c>
      <c r="I11" t="str" s="0">
        <f t="shared" si="1"/>
        <v>01/08</v>
      </c>
      <c r="J11" s="2">
        <f t="shared" si="2"/>
        <v>1228132</v>
      </c>
      <c r="K11" s="2">
        <f t="shared" si="3"/>
        <v>1239194</v>
      </c>
      <c r="L11" s="2">
        <f t="shared" si="4"/>
        <v>1206450</v>
      </c>
      <c r="M11" s="2">
        <f t="shared" si="5"/>
        <v>937142</v>
      </c>
      <c r="N11" s="2">
        <f t="shared" si="6"/>
        <v>1300611</v>
      </c>
      <c r="O11" s="2">
        <f t="shared" si="7"/>
        <v>1414666</v>
      </c>
      <c r="P11" s="2">
        <f t="shared" si="8"/>
        <v>1563584</v>
      </c>
      <c r="Q11" s="2">
        <f t="shared" si="9"/>
        <v>1251591</v>
      </c>
      <c r="R11" s="2">
        <f t="shared" si="10"/>
        <v>1180796</v>
      </c>
      <c r="S11" s="2">
        <f t="shared" si="11"/>
        <v>1416502</v>
      </c>
      <c r="T11" s="2">
        <f t="shared" si="12"/>
        <v>1394931</v>
      </c>
      <c r="U11" s="2" t="e">
        <f t="shared" si="14"/>
        <v>#N/A</v>
      </c>
      <c r="V11" s="2" t="e">
        <f t="shared" si="15"/>
        <v>#N/A</v>
      </c>
      <c r="W11" s="2" t="e">
        <f t="shared" si="16"/>
        <v>#N/A</v>
      </c>
      <c r="X11" s="2" t="e">
        <f t="shared" si="17"/>
        <v>#N/A</v>
      </c>
      <c r="Y11" s="2" t="e">
        <f t="shared" si="18"/>
        <v>#N/A</v>
      </c>
      <c r="Z11" s="0">
        <f t="shared" ca="1" si="20"/>
        <v>1365427.8</v>
      </c>
      <c r="AA11" s="0">
        <f t="shared" ca="1" si="19"/>
        <v>1273866.8</v>
      </c>
      <c r="AB11" cm="1" s="0">
        <f t="array" ref="AB11">MAX(IF(ISNUMBER(J11:Y11),J11:Y11))</f>
        <v>1563584</v>
      </c>
      <c r="AC11" cm="1" s="0">
        <f t="array" ref="AC11">MIN(IF(ISNUMBER(J11:Y11),J11:Y11))</f>
        <v>937142</v>
      </c>
      <c r="AD11" s="0">
        <f t="shared" si="13"/>
        <v>626442</v>
      </c>
    </row>
    <row r="12" spans="1:30" x14ac:dyDescent="0.2">
      <c r="A12" t="s" s="0">
        <v>3985</v>
      </c>
      <c r="B12" s="2">
        <v>928142</v>
      </c>
      <c r="C12" s="2">
        <v>44784</v>
      </c>
      <c r="D12" s="2">
        <v>47212</v>
      </c>
      <c r="E12" s="2">
        <v>44641</v>
      </c>
      <c r="F12" s="2">
        <v>52586</v>
      </c>
      <c r="G12" s="2">
        <v>47890</v>
      </c>
      <c r="I12" t="str" s="0">
        <f t="shared" si="1"/>
        <v>01/09</v>
      </c>
      <c r="J12" s="2">
        <f t="shared" si="2"/>
        <v>1228132</v>
      </c>
      <c r="K12" s="2">
        <f t="shared" si="3"/>
        <v>1239194</v>
      </c>
      <c r="L12" s="2">
        <f t="shared" si="4"/>
        <v>1199632</v>
      </c>
      <c r="M12" s="2">
        <f t="shared" si="5"/>
        <v>890229</v>
      </c>
      <c r="N12" s="2">
        <f t="shared" si="6"/>
        <v>1307811</v>
      </c>
      <c r="O12" s="2">
        <f t="shared" si="7"/>
        <v>1432989</v>
      </c>
      <c r="P12" s="2">
        <f t="shared" si="8"/>
        <v>1563584</v>
      </c>
      <c r="Q12" s="2">
        <f t="shared" si="9"/>
        <v>1237693</v>
      </c>
      <c r="R12" s="2">
        <f t="shared" si="10"/>
        <v>1168365</v>
      </c>
      <c r="S12" s="2">
        <f t="shared" si="11"/>
        <v>1389345</v>
      </c>
      <c r="T12" s="2">
        <f t="shared" si="12"/>
        <v>1359627</v>
      </c>
      <c r="U12" s="2" t="e">
        <f t="shared" si="14"/>
        <v>#N/A</v>
      </c>
      <c r="V12" s="2" t="e">
        <f t="shared" si="15"/>
        <v>#N/A</v>
      </c>
      <c r="W12" s="2" t="e">
        <f t="shared" si="16"/>
        <v>#N/A</v>
      </c>
      <c r="X12" s="2" t="e">
        <f t="shared" si="17"/>
        <v>#N/A</v>
      </c>
      <c r="Y12" s="2" t="e">
        <f t="shared" si="18"/>
        <v>#N/A</v>
      </c>
      <c r="Z12" s="0">
        <f t="shared" ca="1" si="20"/>
        <v>1358395.2</v>
      </c>
      <c r="AA12" s="0">
        <f t="shared" ca="1" si="19"/>
        <v>1265697.3999999999</v>
      </c>
      <c r="AB12" cm="1" s="0">
        <f t="array" ref="AB12">MAX(IF(ISNUMBER(J12:Y12),J12:Y12))</f>
        <v>1563584</v>
      </c>
      <c r="AC12" cm="1" s="0">
        <f t="array" ref="AC12">MIN(IF(ISNUMBER(J12:Y12),J12:Y12))</f>
        <v>890229</v>
      </c>
      <c r="AD12" s="0">
        <f t="shared" si="13"/>
        <v>673355</v>
      </c>
    </row>
    <row r="13" spans="1:30" x14ac:dyDescent="0.2">
      <c r="A13" t="s" s="0">
        <v>3984</v>
      </c>
      <c r="B13" s="3">
        <v>928142</v>
      </c>
      <c r="C13" s="3">
        <v>44784</v>
      </c>
      <c r="D13" s="3">
        <v>47212</v>
      </c>
      <c r="E13" s="3">
        <v>44641</v>
      </c>
      <c r="F13" s="3">
        <v>52586</v>
      </c>
      <c r="G13" s="3">
        <v>47890</v>
      </c>
      <c r="I13" t="str" s="0">
        <f t="shared" si="1"/>
        <v>01/10</v>
      </c>
      <c r="J13" s="2">
        <f t="shared" si="2"/>
        <v>1228132</v>
      </c>
      <c r="K13" s="2">
        <f t="shared" si="3"/>
        <v>1191393</v>
      </c>
      <c r="L13" s="2">
        <f t="shared" si="4"/>
        <v>1142925</v>
      </c>
      <c r="M13" s="2">
        <f t="shared" si="5"/>
        <v>867355</v>
      </c>
      <c r="N13" s="2">
        <f t="shared" si="6"/>
        <v>1369377</v>
      </c>
      <c r="O13" s="2">
        <f t="shared" si="7"/>
        <v>1432989</v>
      </c>
      <c r="P13" s="2">
        <f t="shared" si="8"/>
        <v>1659107</v>
      </c>
      <c r="Q13" s="2">
        <f t="shared" si="9"/>
        <v>1276007</v>
      </c>
      <c r="R13" s="2">
        <f t="shared" si="10"/>
        <v>1119305</v>
      </c>
      <c r="S13" s="2">
        <f t="shared" si="11"/>
        <v>1466996</v>
      </c>
      <c r="T13" s="2">
        <f t="shared" si="12"/>
        <v>1359627</v>
      </c>
      <c r="U13" s="2" t="e">
        <f t="shared" si="14"/>
        <v>#N/A</v>
      </c>
      <c r="V13" s="2" t="e">
        <f t="shared" si="15"/>
        <v>#N/A</v>
      </c>
      <c r="W13" s="2" t="e">
        <f t="shared" si="16"/>
        <v>#N/A</v>
      </c>
      <c r="X13" s="2" t="e">
        <f t="shared" si="17"/>
        <v>#N/A</v>
      </c>
      <c r="Y13" s="2" t="e">
        <f t="shared" si="18"/>
        <v>#N/A</v>
      </c>
      <c r="Z13" s="0">
        <f t="shared" ca="1" si="20"/>
        <v>1390880.8</v>
      </c>
      <c r="AA13" s="0">
        <f t="shared" ca="1" si="19"/>
        <v>1275358.6000000001</v>
      </c>
      <c r="AB13" cm="1" s="0">
        <f t="array" ref="AB13">MAX(IF(ISNUMBER(J13:Y13),J13:Y13))</f>
        <v>1659107</v>
      </c>
      <c r="AC13" cm="1" s="0">
        <f t="array" ref="AC13">MIN(IF(ISNUMBER(J13:Y13),J13:Y13))</f>
        <v>867355</v>
      </c>
      <c r="AD13" s="0">
        <f t="shared" si="13"/>
        <v>791752</v>
      </c>
    </row>
    <row r="14" spans="1:30" x14ac:dyDescent="0.2">
      <c r="A14" t="s" s="0">
        <v>3983</v>
      </c>
      <c r="B14" s="3">
        <v>928142</v>
      </c>
      <c r="C14" s="3">
        <v>44784</v>
      </c>
      <c r="D14" s="3">
        <v>47212</v>
      </c>
      <c r="E14" s="3">
        <v>44641</v>
      </c>
      <c r="F14" s="3">
        <v>52586</v>
      </c>
      <c r="G14" s="3">
        <v>47890</v>
      </c>
      <c r="I14" t="str" s="0">
        <f t="shared" si="1"/>
        <v>01/11</v>
      </c>
      <c r="J14" s="2">
        <f t="shared" si="2"/>
        <v>1199996</v>
      </c>
      <c r="K14" s="2">
        <f t="shared" si="3"/>
        <v>1193808</v>
      </c>
      <c r="L14" s="2">
        <f t="shared" si="4"/>
        <v>1145802</v>
      </c>
      <c r="M14" s="2">
        <f t="shared" si="5"/>
        <v>871701</v>
      </c>
      <c r="N14" s="2">
        <f t="shared" si="6"/>
        <v>1369377</v>
      </c>
      <c r="O14" s="2">
        <f t="shared" si="7"/>
        <v>1432989</v>
      </c>
      <c r="P14" s="2">
        <f t="shared" si="8"/>
        <v>1619850</v>
      </c>
      <c r="Q14" s="2">
        <f t="shared" si="9"/>
        <v>1329056</v>
      </c>
      <c r="R14" s="2">
        <f t="shared" si="10"/>
        <v>1248389</v>
      </c>
      <c r="S14" s="2">
        <f t="shared" si="11"/>
        <v>1406140</v>
      </c>
      <c r="T14" s="2">
        <f t="shared" si="12"/>
        <v>1359627</v>
      </c>
      <c r="U14" s="2" t="e">
        <f t="shared" si="14"/>
        <v>#N/A</v>
      </c>
      <c r="V14" s="2" t="e">
        <f t="shared" si="15"/>
        <v>#N/A</v>
      </c>
      <c r="W14" s="2" t="e">
        <f t="shared" si="16"/>
        <v>#N/A</v>
      </c>
      <c r="X14" s="2" t="e">
        <f t="shared" si="17"/>
        <v>#N/A</v>
      </c>
      <c r="Y14" s="2" t="e">
        <f t="shared" si="18"/>
        <v>#N/A</v>
      </c>
      <c r="Z14" s="0">
        <f t="shared" ca="1" si="20"/>
        <v>1407284.8</v>
      </c>
      <c r="AA14" s="0">
        <f t="shared" ca="1" si="19"/>
        <v>1281710.8</v>
      </c>
      <c r="AB14" cm="1" s="0">
        <f t="array" ref="AB14">MAX(IF(ISNUMBER(J14:Y14),J14:Y14))</f>
        <v>1619850</v>
      </c>
      <c r="AC14" cm="1" s="0">
        <f t="array" ref="AC14">MIN(IF(ISNUMBER(J14:Y14),J14:Y14))</f>
        <v>871701</v>
      </c>
      <c r="AD14" s="0">
        <f t="shared" si="13"/>
        <v>748149</v>
      </c>
    </row>
    <row r="15" spans="1:30" x14ac:dyDescent="0.2">
      <c r="A15" t="s" s="0">
        <v>3982</v>
      </c>
      <c r="B15" s="2">
        <v>884532</v>
      </c>
      <c r="C15" s="2">
        <v>25415</v>
      </c>
      <c r="D15" s="2">
        <v>51400</v>
      </c>
      <c r="E15" s="2">
        <v>44813</v>
      </c>
      <c r="F15" s="2">
        <v>51899</v>
      </c>
      <c r="G15" s="2">
        <v>46372</v>
      </c>
      <c r="I15" t="str" s="0">
        <f t="shared" si="1"/>
        <v>01/12</v>
      </c>
      <c r="J15" s="2">
        <f t="shared" si="2"/>
        <v>1178670</v>
      </c>
      <c r="K15" s="2">
        <f t="shared" si="3"/>
        <v>1339146</v>
      </c>
      <c r="L15" s="2">
        <f t="shared" si="4"/>
        <v>1167264</v>
      </c>
      <c r="M15" s="2">
        <f t="shared" si="5"/>
        <v>871701</v>
      </c>
      <c r="N15" s="2">
        <f t="shared" si="6"/>
        <v>1369377</v>
      </c>
      <c r="O15" s="2">
        <f t="shared" si="7"/>
        <v>1345063</v>
      </c>
      <c r="P15" s="2">
        <f t="shared" si="8"/>
        <v>1578800</v>
      </c>
      <c r="Q15" s="2">
        <f t="shared" si="9"/>
        <v>1315119</v>
      </c>
      <c r="R15" s="2">
        <f t="shared" si="10"/>
        <v>1267356</v>
      </c>
      <c r="S15" s="2">
        <f t="shared" si="11"/>
        <v>1406140</v>
      </c>
      <c r="T15" s="2">
        <f t="shared" si="12"/>
        <v>1486551</v>
      </c>
      <c r="U15" s="2" t="e">
        <f t="shared" si="14"/>
        <v>#N/A</v>
      </c>
      <c r="V15" s="2" t="e">
        <f t="shared" si="15"/>
        <v>#N/A</v>
      </c>
      <c r="W15" s="2" t="e">
        <f t="shared" si="16"/>
        <v>#N/A</v>
      </c>
      <c r="X15" s="2" t="e">
        <f t="shared" si="17"/>
        <v>#N/A</v>
      </c>
      <c r="Y15" s="2" t="e">
        <f t="shared" si="18"/>
        <v>#N/A</v>
      </c>
      <c r="Z15" s="0">
        <f t="shared" ca="1" si="20"/>
        <v>1382495.6</v>
      </c>
      <c r="AA15" s="0">
        <f t="shared" ca="1" si="19"/>
        <v>1283863.6000000001</v>
      </c>
      <c r="AB15" cm="1" s="0">
        <f t="array" ref="AB15">MAX(IF(ISNUMBER(J15:Y15),J15:Y15))</f>
        <v>1578800</v>
      </c>
      <c r="AC15" cm="1" s="0">
        <f t="array" ref="AC15">MIN(IF(ISNUMBER(J15:Y15),J15:Y15))</f>
        <v>871701</v>
      </c>
      <c r="AD15" s="0">
        <f t="shared" si="13"/>
        <v>707099</v>
      </c>
    </row>
    <row r="16" spans="1:30" x14ac:dyDescent="0.2">
      <c r="A16" t="s" s="0">
        <v>3981</v>
      </c>
      <c r="B16" s="2">
        <v>837144</v>
      </c>
      <c r="C16" s="2">
        <v>45982</v>
      </c>
      <c r="D16" s="2">
        <v>51917</v>
      </c>
      <c r="E16" s="2">
        <v>44562</v>
      </c>
      <c r="F16" s="2">
        <v>43505</v>
      </c>
      <c r="G16" s="2">
        <v>46320</v>
      </c>
      <c r="I16" t="str" s="0">
        <f t="shared" si="1"/>
        <v>01/13</v>
      </c>
      <c r="J16" s="2">
        <f t="shared" si="2"/>
        <v>1142881</v>
      </c>
      <c r="K16" s="2">
        <f t="shared" si="3"/>
        <v>1305204</v>
      </c>
      <c r="L16" s="2">
        <f t="shared" si="4"/>
        <v>1167264</v>
      </c>
      <c r="M16" s="2">
        <f t="shared" si="5"/>
        <v>871701</v>
      </c>
      <c r="N16" s="2">
        <f t="shared" si="6"/>
        <v>1383981</v>
      </c>
      <c r="O16" s="2">
        <f t="shared" si="7"/>
        <v>1288475</v>
      </c>
      <c r="P16" s="2">
        <f t="shared" si="8"/>
        <v>1572782</v>
      </c>
      <c r="Q16" s="2">
        <f t="shared" si="9"/>
        <v>1379280</v>
      </c>
      <c r="R16" s="2">
        <f t="shared" si="10"/>
        <v>1267356</v>
      </c>
      <c r="S16" s="2">
        <f t="shared" si="11"/>
        <v>1406140</v>
      </c>
      <c r="T16" s="2">
        <f t="shared" si="12"/>
        <v>1544061</v>
      </c>
      <c r="U16" s="2" t="e">
        <f t="shared" si="14"/>
        <v>#N/A</v>
      </c>
      <c r="V16" s="2" t="e">
        <f t="shared" si="15"/>
        <v>#N/A</v>
      </c>
      <c r="W16" s="2" t="e">
        <f t="shared" si="16"/>
        <v>#N/A</v>
      </c>
      <c r="X16" s="2" t="e">
        <f t="shared" si="17"/>
        <v>#N/A</v>
      </c>
      <c r="Y16" s="2" t="e">
        <f t="shared" si="18"/>
        <v>#N/A</v>
      </c>
      <c r="Z16" s="0">
        <f t="shared" ca="1" si="20"/>
        <v>1382806.6</v>
      </c>
      <c r="AA16" s="0">
        <f t="shared" ca="1" si="19"/>
        <v>1278506.3999999999</v>
      </c>
      <c r="AB16" cm="1" s="0">
        <f t="array" ref="AB16">MAX(IF(ISNUMBER(J16:Y16),J16:Y16))</f>
        <v>1572782</v>
      </c>
      <c r="AC16" cm="1" s="0">
        <f t="array" ref="AC16">MIN(IF(ISNUMBER(J16:Y16),J16:Y16))</f>
        <v>871701</v>
      </c>
      <c r="AD16" s="0">
        <f t="shared" si="13"/>
        <v>701081</v>
      </c>
    </row>
    <row r="17" spans="1:30" x14ac:dyDescent="0.2">
      <c r="A17" t="s" s="0">
        <v>3980</v>
      </c>
      <c r="B17" s="2">
        <v>854464</v>
      </c>
      <c r="C17" s="2">
        <v>42471</v>
      </c>
      <c r="D17" s="2">
        <v>51648</v>
      </c>
      <c r="E17" s="2">
        <v>44524</v>
      </c>
      <c r="F17" s="2">
        <v>43415</v>
      </c>
      <c r="G17" s="2">
        <v>46295</v>
      </c>
      <c r="I17" t="str" s="0">
        <f t="shared" si="1"/>
        <v>01/14</v>
      </c>
      <c r="J17" s="2">
        <f t="shared" si="2"/>
        <v>1089732</v>
      </c>
      <c r="K17" s="2">
        <f t="shared" si="3"/>
        <v>1318581</v>
      </c>
      <c r="L17" s="2">
        <f t="shared" si="4"/>
        <v>1167264</v>
      </c>
      <c r="M17" s="2">
        <f t="shared" si="5"/>
        <v>858210</v>
      </c>
      <c r="N17" s="2">
        <f t="shared" si="6"/>
        <v>1361727</v>
      </c>
      <c r="O17" s="2">
        <f t="shared" si="7"/>
        <v>1240551</v>
      </c>
      <c r="P17" s="2">
        <f t="shared" si="8"/>
        <v>1595936</v>
      </c>
      <c r="Q17" s="2">
        <f t="shared" si="9"/>
        <v>1379280</v>
      </c>
      <c r="R17" s="2">
        <f t="shared" si="10"/>
        <v>1267356</v>
      </c>
      <c r="S17" s="2">
        <f t="shared" si="11"/>
        <v>1373920</v>
      </c>
      <c r="T17" s="2">
        <f t="shared" si="12"/>
        <v>1507135</v>
      </c>
      <c r="U17" s="2" t="e">
        <f t="shared" si="14"/>
        <v>#N/A</v>
      </c>
      <c r="V17" s="2" t="e">
        <f t="shared" si="15"/>
        <v>#N/A</v>
      </c>
      <c r="W17" s="2" t="e">
        <f t="shared" si="16"/>
        <v>#N/A</v>
      </c>
      <c r="X17" s="2" t="e">
        <f t="shared" si="17"/>
        <v>#N/A</v>
      </c>
      <c r="Y17" s="2" t="e">
        <f t="shared" si="18"/>
        <v>#N/A</v>
      </c>
      <c r="Z17" s="0">
        <f t="shared" ca="1" si="20"/>
        <v>1371408.6</v>
      </c>
      <c r="AA17" s="0">
        <f t="shared" ca="1" si="19"/>
        <v>1265255.7</v>
      </c>
      <c r="AB17" cm="1" s="0">
        <f t="array" ref="AB17">MAX(IF(ISNUMBER(J17:Y17),J17:Y17))</f>
        <v>1595936</v>
      </c>
      <c r="AC17" cm="1" s="0">
        <f t="array" ref="AC17">MIN(IF(ISNUMBER(J17:Y17),J17:Y17))</f>
        <v>858210</v>
      </c>
      <c r="AD17" s="0">
        <f t="shared" si="13"/>
        <v>737726</v>
      </c>
    </row>
    <row r="18" spans="1:30" x14ac:dyDescent="0.2">
      <c r="A18" t="s" s="0">
        <v>3979</v>
      </c>
      <c r="B18" s="2">
        <v>875261</v>
      </c>
      <c r="C18" s="2">
        <v>43441</v>
      </c>
      <c r="D18" s="2">
        <v>52375</v>
      </c>
      <c r="E18" s="2">
        <v>44290</v>
      </c>
      <c r="F18" s="2">
        <v>36795</v>
      </c>
      <c r="G18" s="2">
        <v>46114</v>
      </c>
      <c r="I18" t="str" s="0">
        <f t="shared" si="1"/>
        <v>01/15</v>
      </c>
      <c r="J18" s="2">
        <f t="shared" si="2"/>
        <v>1091816</v>
      </c>
      <c r="K18" s="2">
        <f t="shared" si="3"/>
        <v>1318581</v>
      </c>
      <c r="L18" s="2">
        <f t="shared" si="4"/>
        <v>1186556</v>
      </c>
      <c r="M18" s="2">
        <f t="shared" si="5"/>
        <v>922789</v>
      </c>
      <c r="N18" s="2">
        <f t="shared" si="6"/>
        <v>1330163</v>
      </c>
      <c r="O18" s="2">
        <f t="shared" si="7"/>
        <v>1285865</v>
      </c>
      <c r="P18" s="2">
        <f t="shared" si="8"/>
        <v>1595936</v>
      </c>
      <c r="Q18" s="2">
        <f t="shared" si="9"/>
        <v>1379280</v>
      </c>
      <c r="R18" s="2">
        <f t="shared" si="10"/>
        <v>1221251</v>
      </c>
      <c r="S18" s="2">
        <f t="shared" si="11"/>
        <v>1351972</v>
      </c>
      <c r="T18" s="2">
        <f t="shared" si="12"/>
        <v>1514812</v>
      </c>
      <c r="U18" s="2" t="e">
        <f t="shared" si="14"/>
        <v>#N/A</v>
      </c>
      <c r="V18" s="2" t="e">
        <f t="shared" si="15"/>
        <v>#N/A</v>
      </c>
      <c r="W18" s="2" t="e">
        <f t="shared" si="16"/>
        <v>#N/A</v>
      </c>
      <c r="X18" s="2" t="e">
        <f t="shared" si="17"/>
        <v>#N/A</v>
      </c>
      <c r="Y18" s="2" t="e">
        <f t="shared" si="18"/>
        <v>#N/A</v>
      </c>
      <c r="Z18" s="0">
        <f t="shared" ca="1" si="20"/>
        <v>1366860.8</v>
      </c>
      <c r="AA18" s="0">
        <f t="shared" ca="1" si="19"/>
        <v>1268420.8999999999</v>
      </c>
      <c r="AB18" cm="1" s="0">
        <f t="array" ref="AB18">MAX(IF(ISNUMBER(J18:Y18),J18:Y18))</f>
        <v>1595936</v>
      </c>
      <c r="AC18" cm="1" s="0">
        <f t="array" ref="AC18">MIN(IF(ISNUMBER(J18:Y18),J18:Y18))</f>
        <v>922789</v>
      </c>
      <c r="AD18" s="0">
        <f t="shared" si="13"/>
        <v>673147</v>
      </c>
    </row>
    <row r="19" spans="1:30" x14ac:dyDescent="0.2">
      <c r="A19" t="s" s="0">
        <v>3978</v>
      </c>
      <c r="B19" s="2">
        <v>867997</v>
      </c>
      <c r="C19" s="2">
        <v>44600</v>
      </c>
      <c r="D19" s="2">
        <v>45070</v>
      </c>
      <c r="E19" s="2">
        <v>44243</v>
      </c>
      <c r="F19" s="2">
        <v>36398</v>
      </c>
      <c r="G19" s="2">
        <v>43895</v>
      </c>
      <c r="I19" t="str" s="0">
        <f t="shared" si="1"/>
        <v>01/16</v>
      </c>
      <c r="J19" s="2">
        <f t="shared" si="2"/>
        <v>1091816</v>
      </c>
      <c r="K19" s="2">
        <f t="shared" si="3"/>
        <v>1318581</v>
      </c>
      <c r="L19" s="2">
        <f t="shared" si="4"/>
        <v>1242099</v>
      </c>
      <c r="M19" s="2">
        <f t="shared" si="5"/>
        <v>967440</v>
      </c>
      <c r="N19" s="2">
        <f t="shared" si="6"/>
        <v>1413923</v>
      </c>
      <c r="O19" s="2">
        <f t="shared" si="7"/>
        <v>1259346</v>
      </c>
      <c r="P19" s="2">
        <f t="shared" si="8"/>
        <v>1595936</v>
      </c>
      <c r="Q19" s="2">
        <f t="shared" si="9"/>
        <v>1395671</v>
      </c>
      <c r="R19" s="2">
        <f t="shared" si="10"/>
        <v>1253925</v>
      </c>
      <c r="S19" s="2">
        <f t="shared" si="11"/>
        <v>1315062</v>
      </c>
      <c r="T19" s="2">
        <f t="shared" si="12"/>
        <v>1552666</v>
      </c>
      <c r="U19" s="2" t="e">
        <f t="shared" si="14"/>
        <v>#N/A</v>
      </c>
      <c r="V19" s="2" t="e">
        <f t="shared" si="15"/>
        <v>#N/A</v>
      </c>
      <c r="W19" s="2" t="e">
        <f t="shared" si="16"/>
        <v>#N/A</v>
      </c>
      <c r="X19" s="2" t="e">
        <f t="shared" si="17"/>
        <v>#N/A</v>
      </c>
      <c r="Y19" s="2" t="e">
        <f t="shared" si="18"/>
        <v>#N/A</v>
      </c>
      <c r="Z19" s="0">
        <f t="shared" ca="1" si="20"/>
        <v>1363988</v>
      </c>
      <c r="AA19" s="0">
        <f t="shared" ca="1" si="19"/>
        <v>1285379.8999999999</v>
      </c>
      <c r="AB19" cm="1" s="0">
        <f t="array" ref="AB19">MAX(IF(ISNUMBER(J19:Y19),J19:Y19))</f>
        <v>1595936</v>
      </c>
      <c r="AC19" cm="1" s="0">
        <f t="array" ref="AC19">MIN(IF(ISNUMBER(J19:Y19),J19:Y19))</f>
        <v>967440</v>
      </c>
      <c r="AD19" s="0">
        <f t="shared" si="13"/>
        <v>628496</v>
      </c>
    </row>
    <row r="20" spans="1:30" x14ac:dyDescent="0.2">
      <c r="A20" t="s" s="0">
        <v>3977</v>
      </c>
      <c r="B20" s="3">
        <v>867997</v>
      </c>
      <c r="C20" s="3">
        <v>44600</v>
      </c>
      <c r="D20" s="3">
        <v>45070</v>
      </c>
      <c r="E20" s="3">
        <v>44243</v>
      </c>
      <c r="F20" s="3">
        <v>36398</v>
      </c>
      <c r="G20" s="3">
        <v>43895</v>
      </c>
      <c r="I20" t="str" s="0">
        <f t="shared" si="1"/>
        <v>01/17</v>
      </c>
      <c r="J20" s="2">
        <f t="shared" si="2"/>
        <v>1091816</v>
      </c>
      <c r="K20" s="2">
        <f t="shared" si="3"/>
        <v>1293872</v>
      </c>
      <c r="L20" s="2">
        <f t="shared" si="4"/>
        <v>1226970</v>
      </c>
      <c r="M20" s="2">
        <f t="shared" si="5"/>
        <v>975871</v>
      </c>
      <c r="N20" s="2">
        <f t="shared" si="6"/>
        <v>1414271</v>
      </c>
      <c r="O20" s="2">
        <f t="shared" si="7"/>
        <v>1259346</v>
      </c>
      <c r="P20" s="2">
        <f t="shared" si="8"/>
        <v>1544290</v>
      </c>
      <c r="Q20" s="2">
        <f t="shared" si="9"/>
        <v>1379965</v>
      </c>
      <c r="R20" s="2">
        <f t="shared" si="10"/>
        <v>1210608</v>
      </c>
      <c r="S20" s="2">
        <f t="shared" si="11"/>
        <v>1314941</v>
      </c>
      <c r="T20" s="2">
        <f t="shared" si="12"/>
        <v>1552666</v>
      </c>
      <c r="U20" s="2" t="e">
        <f t="shared" si="14"/>
        <v>#N/A</v>
      </c>
      <c r="V20" s="2" t="e">
        <f t="shared" si="15"/>
        <v>#N/A</v>
      </c>
      <c r="W20" s="2" t="e">
        <f t="shared" si="16"/>
        <v>#N/A</v>
      </c>
      <c r="X20" s="2" t="e">
        <f t="shared" si="17"/>
        <v>#N/A</v>
      </c>
      <c r="Y20" s="2" t="e">
        <f t="shared" si="18"/>
        <v>#N/A</v>
      </c>
      <c r="Z20" s="0">
        <f t="shared" ca="1" si="20"/>
        <v>1341830</v>
      </c>
      <c r="AA20" s="0">
        <f t="shared" ca="1" si="19"/>
        <v>1271195</v>
      </c>
      <c r="AB20" cm="1" s="0">
        <f t="array" ref="AB20">MAX(IF(ISNUMBER(J20:Y20),J20:Y20))</f>
        <v>1552666</v>
      </c>
      <c r="AC20" cm="1" s="0">
        <f t="array" ref="AC20">MIN(IF(ISNUMBER(J20:Y20),J20:Y20))</f>
        <v>975871</v>
      </c>
      <c r="AD20" s="0">
        <f t="shared" si="13"/>
        <v>576795</v>
      </c>
    </row>
    <row r="21" spans="1:30" x14ac:dyDescent="0.2">
      <c r="A21" t="s" s="0">
        <v>3976</v>
      </c>
      <c r="B21" s="3">
        <v>867997</v>
      </c>
      <c r="C21" s="3">
        <v>44600</v>
      </c>
      <c r="D21" s="3">
        <v>45070</v>
      </c>
      <c r="E21" s="3">
        <v>44243</v>
      </c>
      <c r="F21" s="3">
        <v>36398</v>
      </c>
      <c r="G21" s="3">
        <v>43895</v>
      </c>
      <c r="I21" t="str" s="0">
        <f t="shared" si="1"/>
        <v>01/18</v>
      </c>
      <c r="J21" s="2">
        <f t="shared" si="2"/>
        <v>1026822</v>
      </c>
      <c r="K21" s="2">
        <f t="shared" si="3"/>
        <v>1278529</v>
      </c>
      <c r="L21" s="2">
        <f t="shared" si="4"/>
        <v>1182544</v>
      </c>
      <c r="M21" s="2">
        <f t="shared" si="5"/>
        <v>964634</v>
      </c>
      <c r="N21" s="2">
        <f t="shared" si="6"/>
        <v>1414271</v>
      </c>
      <c r="O21" s="2">
        <f t="shared" si="7"/>
        <v>1259346</v>
      </c>
      <c r="P21" s="2">
        <f t="shared" si="8"/>
        <v>1503391</v>
      </c>
      <c r="Q21" s="2">
        <f t="shared" si="9"/>
        <v>1341811</v>
      </c>
      <c r="R21" s="2">
        <f t="shared" si="10"/>
        <v>1214520</v>
      </c>
      <c r="S21" s="2">
        <f t="shared" si="11"/>
        <v>1425127</v>
      </c>
      <c r="T21" s="2">
        <f t="shared" si="12"/>
        <v>1552666</v>
      </c>
      <c r="U21" s="2" t="e">
        <f t="shared" si="14"/>
        <v>#N/A</v>
      </c>
      <c r="V21" s="2" t="e">
        <f t="shared" si="15"/>
        <v>#N/A</v>
      </c>
      <c r="W21" s="2" t="e">
        <f t="shared" si="16"/>
        <v>#N/A</v>
      </c>
      <c r="X21" s="2" t="e">
        <f t="shared" si="17"/>
        <v>#N/A</v>
      </c>
      <c r="Y21" s="2" t="e">
        <f t="shared" si="18"/>
        <v>#N/A</v>
      </c>
      <c r="Z21" s="0">
        <f t="shared" ca="1" si="20"/>
        <v>1348839</v>
      </c>
      <c r="AA21" s="0">
        <f t="shared" ca="1" si="19"/>
        <v>1261099.5</v>
      </c>
      <c r="AB21" cm="1" s="0">
        <f t="array" ref="AB21">MAX(IF(ISNUMBER(J21:Y21),J21:Y21))</f>
        <v>1552666</v>
      </c>
      <c r="AC21" cm="1" s="0">
        <f t="array" ref="AC21">MIN(IF(ISNUMBER(J21:Y21),J21:Y21))</f>
        <v>964634</v>
      </c>
      <c r="AD21" s="0">
        <f t="shared" si="13"/>
        <v>588032</v>
      </c>
    </row>
    <row r="22" spans="1:30" x14ac:dyDescent="0.2">
      <c r="A22" t="s" s="0">
        <v>3975</v>
      </c>
      <c r="B22" s="2">
        <v>954185</v>
      </c>
      <c r="C22" s="2">
        <v>22504</v>
      </c>
      <c r="D22" s="2">
        <v>42933</v>
      </c>
      <c r="E22" s="2">
        <v>44457</v>
      </c>
      <c r="F22" s="2">
        <v>52803</v>
      </c>
      <c r="G22" s="2">
        <v>47346</v>
      </c>
      <c r="I22" t="str" s="0">
        <f t="shared" si="1"/>
        <v>01/19</v>
      </c>
      <c r="J22" s="2">
        <f t="shared" si="2"/>
        <v>994055</v>
      </c>
      <c r="K22" s="2">
        <f t="shared" si="3"/>
        <v>1239081</v>
      </c>
      <c r="L22" s="2">
        <f t="shared" si="4"/>
        <v>1222381</v>
      </c>
      <c r="M22" s="2">
        <f t="shared" si="5"/>
        <v>964634</v>
      </c>
      <c r="N22" s="2">
        <f t="shared" si="6"/>
        <v>1414271</v>
      </c>
      <c r="O22" s="2">
        <f t="shared" si="7"/>
        <v>1402253</v>
      </c>
      <c r="P22" s="2">
        <f t="shared" si="8"/>
        <v>1463104</v>
      </c>
      <c r="Q22" s="2">
        <f t="shared" si="9"/>
        <v>1391946</v>
      </c>
      <c r="R22" s="2">
        <f t="shared" si="10"/>
        <v>1319543</v>
      </c>
      <c r="S22" s="2">
        <f t="shared" si="11"/>
        <v>1425127</v>
      </c>
      <c r="T22" s="2">
        <f t="shared" si="12"/>
        <v>1530939</v>
      </c>
      <c r="U22" s="2" t="e">
        <f t="shared" si="14"/>
        <v>#N/A</v>
      </c>
      <c r="V22" s="2" t="e">
        <f t="shared" si="15"/>
        <v>#N/A</v>
      </c>
      <c r="W22" s="2" t="e">
        <f t="shared" si="16"/>
        <v>#N/A</v>
      </c>
      <c r="X22" s="2" t="e">
        <f t="shared" si="17"/>
        <v>#N/A</v>
      </c>
      <c r="Y22" s="2" t="e">
        <f t="shared" si="18"/>
        <v>#N/A</v>
      </c>
      <c r="Z22" s="0">
        <f t="shared" ca="1" si="20"/>
        <v>1400394.6</v>
      </c>
      <c r="AA22" s="0">
        <f t="shared" ca="1" si="19"/>
        <v>1283639.5</v>
      </c>
      <c r="AB22" cm="1" s="0">
        <f t="array" ref="AB22">MAX(IF(ISNUMBER(J22:Y22),J22:Y22))</f>
        <v>1530939</v>
      </c>
      <c r="AC22" cm="1" s="0">
        <f t="array" ref="AC22">MIN(IF(ISNUMBER(J22:Y22),J22:Y22))</f>
        <v>964634</v>
      </c>
      <c r="AD22" s="0">
        <f t="shared" si="13"/>
        <v>566305</v>
      </c>
    </row>
    <row r="23" spans="1:30" x14ac:dyDescent="0.2">
      <c r="A23" t="s" s="0">
        <v>3974</v>
      </c>
      <c r="B23" s="2">
        <v>956748</v>
      </c>
      <c r="C23" s="2">
        <v>46245</v>
      </c>
      <c r="D23" s="2">
        <v>44728</v>
      </c>
      <c r="E23" s="2">
        <v>45282</v>
      </c>
      <c r="F23" s="2">
        <v>61733</v>
      </c>
      <c r="G23" s="2">
        <v>49528</v>
      </c>
      <c r="I23" t="str" s="0">
        <f t="shared" si="1"/>
        <v>01/20</v>
      </c>
      <c r="J23" s="2">
        <f t="shared" si="2"/>
        <v>969595</v>
      </c>
      <c r="K23" s="2">
        <f t="shared" si="3"/>
        <v>1243534</v>
      </c>
      <c r="L23" s="2">
        <f t="shared" si="4"/>
        <v>1222381</v>
      </c>
      <c r="M23" s="2">
        <f t="shared" si="5"/>
        <v>964634</v>
      </c>
      <c r="N23" s="2">
        <f t="shared" si="6"/>
        <v>1497049</v>
      </c>
      <c r="O23" s="2">
        <f t="shared" si="7"/>
        <v>1365828</v>
      </c>
      <c r="P23" s="2">
        <f t="shared" si="8"/>
        <v>1529741</v>
      </c>
      <c r="Q23" s="2">
        <f t="shared" si="9"/>
        <v>1364368</v>
      </c>
      <c r="R23" s="2">
        <f t="shared" si="10"/>
        <v>1319543</v>
      </c>
      <c r="S23" s="2">
        <f t="shared" si="11"/>
        <v>1425127</v>
      </c>
      <c r="T23" s="2">
        <f t="shared" si="12"/>
        <v>1500840</v>
      </c>
      <c r="U23" s="2" t="e">
        <f t="shared" si="14"/>
        <v>#N/A</v>
      </c>
      <c r="V23" s="2" t="e">
        <f t="shared" si="15"/>
        <v>#N/A</v>
      </c>
      <c r="W23" s="2" t="e">
        <f t="shared" si="16"/>
        <v>#N/A</v>
      </c>
      <c r="X23" s="2" t="e">
        <f t="shared" si="17"/>
        <v>#N/A</v>
      </c>
      <c r="Y23" s="2" t="e">
        <f t="shared" si="18"/>
        <v>#N/A</v>
      </c>
      <c r="Z23" s="0">
        <f t="shared" ca="1" si="20"/>
        <v>1400921.4</v>
      </c>
      <c r="AA23" s="0">
        <f t="shared" ca="1" si="19"/>
        <v>1290180</v>
      </c>
      <c r="AB23" cm="1" s="0">
        <f t="array" ref="AB23">MAX(IF(ISNUMBER(J23:Y23),J23:Y23))</f>
        <v>1529741</v>
      </c>
      <c r="AC23" cm="1" s="0">
        <f t="array" ref="AC23">MIN(IF(ISNUMBER(J23:Y23),J23:Y23))</f>
        <v>964634</v>
      </c>
      <c r="AD23" s="0">
        <f t="shared" si="13"/>
        <v>565107</v>
      </c>
    </row>
    <row r="24" spans="1:30" x14ac:dyDescent="0.2">
      <c r="A24" t="s" s="0">
        <v>3973</v>
      </c>
      <c r="B24" s="2">
        <v>899991</v>
      </c>
      <c r="C24" s="2">
        <v>41730</v>
      </c>
      <c r="D24" s="2">
        <v>48206</v>
      </c>
      <c r="E24" s="2">
        <v>45975</v>
      </c>
      <c r="F24" s="2">
        <v>54693</v>
      </c>
      <c r="G24" s="2">
        <v>44706</v>
      </c>
      <c r="I24" t="str" s="0">
        <f t="shared" si="1"/>
        <v>01/21</v>
      </c>
      <c r="J24" s="2">
        <f t="shared" si="2"/>
        <v>931238</v>
      </c>
      <c r="K24" s="2">
        <f t="shared" si="3"/>
        <v>1261561</v>
      </c>
      <c r="L24" s="2">
        <f t="shared" si="4"/>
        <v>1222381</v>
      </c>
      <c r="M24" s="2">
        <f t="shared" si="5"/>
        <v>1002045</v>
      </c>
      <c r="N24" s="2">
        <f t="shared" si="6"/>
        <v>1536785</v>
      </c>
      <c r="O24" s="2">
        <f t="shared" si="7"/>
        <v>1413080</v>
      </c>
      <c r="P24" s="2">
        <f t="shared" si="8"/>
        <v>1567588</v>
      </c>
      <c r="Q24" s="2">
        <f t="shared" si="9"/>
        <v>1364368</v>
      </c>
      <c r="R24" s="2">
        <f t="shared" si="10"/>
        <v>1319543</v>
      </c>
      <c r="S24" s="2">
        <f t="shared" si="11"/>
        <v>1353653</v>
      </c>
      <c r="T24" s="2">
        <f t="shared" si="12"/>
        <v>1537768</v>
      </c>
      <c r="U24" s="2" t="e">
        <f t="shared" si="14"/>
        <v>#N/A</v>
      </c>
      <c r="V24" s="2" t="e">
        <f t="shared" si="15"/>
        <v>#N/A</v>
      </c>
      <c r="W24" s="2" t="e">
        <f t="shared" si="16"/>
        <v>#N/A</v>
      </c>
      <c r="X24" s="2" t="e">
        <f t="shared" si="17"/>
        <v>#N/A</v>
      </c>
      <c r="Y24" s="2" t="e">
        <f t="shared" si="18"/>
        <v>#N/A</v>
      </c>
      <c r="Z24" s="0">
        <f t="shared" ca="1" si="20"/>
        <v>1403646.4</v>
      </c>
      <c r="AA24" s="0">
        <f t="shared" ca="1" si="19"/>
        <v>1297224.2</v>
      </c>
      <c r="AB24" cm="1" s="0">
        <f t="array" ref="AB24">MAX(IF(ISNUMBER(J24:Y24),J24:Y24))</f>
        <v>1567588</v>
      </c>
      <c r="AC24" cm="1" s="0">
        <f t="array" ref="AC24">MIN(IF(ISNUMBER(J24:Y24),J24:Y24))</f>
        <v>931238</v>
      </c>
      <c r="AD24" s="0">
        <f t="shared" si="13"/>
        <v>636350</v>
      </c>
    </row>
    <row r="25" spans="1:30" x14ac:dyDescent="0.2">
      <c r="A25" t="s" s="0">
        <v>3972</v>
      </c>
      <c r="B25" s="2">
        <v>850483</v>
      </c>
      <c r="C25" s="2">
        <v>40933</v>
      </c>
      <c r="D25" s="2">
        <v>48965</v>
      </c>
      <c r="E25" s="2">
        <v>46425</v>
      </c>
      <c r="F25" s="2">
        <v>45409</v>
      </c>
      <c r="G25" s="2">
        <v>44706</v>
      </c>
      <c r="I25" t="str" s="0">
        <f t="shared" si="1"/>
        <v>01/22</v>
      </c>
      <c r="J25" s="2">
        <f t="shared" si="2"/>
        <v>939114</v>
      </c>
      <c r="K25" s="2">
        <f t="shared" si="3"/>
        <v>1261561</v>
      </c>
      <c r="L25" s="2">
        <f t="shared" si="4"/>
        <v>1272643</v>
      </c>
      <c r="M25" s="2">
        <f t="shared" si="5"/>
        <v>1000782</v>
      </c>
      <c r="N25" s="2">
        <f t="shared" si="6"/>
        <v>1507247</v>
      </c>
      <c r="O25" s="2">
        <f t="shared" si="7"/>
        <v>1431253</v>
      </c>
      <c r="P25" s="2">
        <f t="shared" si="8"/>
        <v>1567588</v>
      </c>
      <c r="Q25" s="2">
        <f t="shared" si="9"/>
        <v>1364368</v>
      </c>
      <c r="R25" s="2">
        <f t="shared" si="10"/>
        <v>1299607</v>
      </c>
      <c r="S25" s="2">
        <f t="shared" si="11"/>
        <v>1396446</v>
      </c>
      <c r="T25" s="2">
        <f t="shared" si="12"/>
        <v>1533914</v>
      </c>
      <c r="U25" s="2" t="e">
        <f t="shared" si="14"/>
        <v>#N/A</v>
      </c>
      <c r="V25" s="2" t="e">
        <f t="shared" si="15"/>
        <v>#N/A</v>
      </c>
      <c r="W25" s="2" t="e">
        <f t="shared" si="16"/>
        <v>#N/A</v>
      </c>
      <c r="X25" s="2" t="e">
        <f t="shared" si="17"/>
        <v>#N/A</v>
      </c>
      <c r="Y25" s="2" t="e">
        <f t="shared" si="18"/>
        <v>#N/A</v>
      </c>
      <c r="Z25" s="0">
        <f t="shared" ca="1" si="20"/>
        <v>1411852.4</v>
      </c>
      <c r="AA25" s="0">
        <f t="shared" ca="1" si="19"/>
        <v>1304060.8999999999</v>
      </c>
      <c r="AB25" cm="1" s="0">
        <f t="array" ref="AB25">MAX(IF(ISNUMBER(J25:Y25),J25:Y25))</f>
        <v>1567588</v>
      </c>
      <c r="AC25" cm="1" s="0">
        <f t="array" ref="AC25">MIN(IF(ISNUMBER(J25:Y25),J25:Y25))</f>
        <v>939114</v>
      </c>
      <c r="AD25" s="0">
        <f t="shared" si="13"/>
        <v>628474</v>
      </c>
    </row>
    <row r="26" spans="1:30" x14ac:dyDescent="0.2">
      <c r="A26" t="s" s="0">
        <v>3971</v>
      </c>
      <c r="B26" s="2">
        <v>806279</v>
      </c>
      <c r="C26" s="2">
        <v>43816</v>
      </c>
      <c r="D26" s="2">
        <v>48960</v>
      </c>
      <c r="E26" s="2">
        <v>46488</v>
      </c>
      <c r="F26" s="2">
        <v>40080</v>
      </c>
      <c r="G26" s="2">
        <v>44703</v>
      </c>
      <c r="I26" t="str" s="0">
        <f t="shared" si="1"/>
        <v>01/23</v>
      </c>
      <c r="J26" s="2">
        <f t="shared" si="2"/>
        <v>939114</v>
      </c>
      <c r="K26" s="2">
        <f t="shared" si="3"/>
        <v>1261561</v>
      </c>
      <c r="L26" s="2">
        <f t="shared" si="4"/>
        <v>1253887</v>
      </c>
      <c r="M26" s="2">
        <f t="shared" si="5"/>
        <v>1060181</v>
      </c>
      <c r="N26" s="2">
        <f t="shared" si="6"/>
        <v>1500190</v>
      </c>
      <c r="O26" s="2">
        <f t="shared" si="7"/>
        <v>1408582</v>
      </c>
      <c r="P26" s="2">
        <f t="shared" si="8"/>
        <v>1567588</v>
      </c>
      <c r="Q26" s="2">
        <f t="shared" si="9"/>
        <v>1405521</v>
      </c>
      <c r="R26" s="2">
        <f t="shared" si="10"/>
        <v>1268055</v>
      </c>
      <c r="S26" s="2">
        <f t="shared" si="11"/>
        <v>1462717</v>
      </c>
      <c r="T26" s="2">
        <f t="shared" si="12"/>
        <v>1466528</v>
      </c>
      <c r="U26" s="2" t="e">
        <f t="shared" si="14"/>
        <v>#N/A</v>
      </c>
      <c r="V26" s="2" t="e">
        <f t="shared" si="15"/>
        <v>#N/A</v>
      </c>
      <c r="W26" s="2" t="e">
        <f t="shared" si="16"/>
        <v>#N/A</v>
      </c>
      <c r="X26" s="2" t="e">
        <f t="shared" si="17"/>
        <v>#N/A</v>
      </c>
      <c r="Y26" s="2" t="e">
        <f t="shared" si="18"/>
        <v>#N/A</v>
      </c>
      <c r="Z26" s="0">
        <f t="shared" ca="1" si="20"/>
        <v>1422492.6</v>
      </c>
      <c r="AA26" s="0">
        <f t="shared" ca="1" si="19"/>
        <v>1312739.6000000001</v>
      </c>
      <c r="AB26" cm="1" s="0">
        <f t="array" ref="AB26">MAX(IF(ISNUMBER(J26:Y26),J26:Y26))</f>
        <v>1567588</v>
      </c>
      <c r="AC26" cm="1" s="0">
        <f t="array" ref="AC26">MIN(IF(ISNUMBER(J26:Y26),J26:Y26))</f>
        <v>939114</v>
      </c>
      <c r="AD26" s="0">
        <f t="shared" si="13"/>
        <v>628474</v>
      </c>
    </row>
    <row r="27" spans="1:30" x14ac:dyDescent="0.2">
      <c r="A27" t="s" s="0">
        <v>3970</v>
      </c>
      <c r="B27" s="3">
        <v>806279</v>
      </c>
      <c r="C27" s="3">
        <v>43816</v>
      </c>
      <c r="D27" s="3">
        <v>48960</v>
      </c>
      <c r="E27" s="3">
        <v>46488</v>
      </c>
      <c r="F27" s="3">
        <v>40080</v>
      </c>
      <c r="G27" s="3">
        <v>44703</v>
      </c>
      <c r="I27" t="str" s="0">
        <f t="shared" si="1"/>
        <v>01/24</v>
      </c>
      <c r="J27" s="2">
        <f t="shared" si="2"/>
        <v>939114</v>
      </c>
      <c r="K27" s="2">
        <f t="shared" si="3"/>
        <v>1235595</v>
      </c>
      <c r="L27" s="2">
        <f t="shared" si="4"/>
        <v>1272182</v>
      </c>
      <c r="M27" s="2">
        <f t="shared" si="5"/>
        <v>1126548</v>
      </c>
      <c r="N27" s="2">
        <f t="shared" si="6"/>
        <v>1400433</v>
      </c>
      <c r="O27" s="2">
        <f t="shared" si="7"/>
        <v>1408582</v>
      </c>
      <c r="P27" s="2">
        <f t="shared" si="8"/>
        <v>1498096</v>
      </c>
      <c r="Q27" s="2">
        <f t="shared" si="9"/>
        <v>1367329</v>
      </c>
      <c r="R27" s="2">
        <f t="shared" si="10"/>
        <v>1266556</v>
      </c>
      <c r="S27" s="2">
        <f t="shared" si="11"/>
        <v>1466809</v>
      </c>
      <c r="T27" s="2">
        <f t="shared" si="12"/>
        <v>1466528</v>
      </c>
      <c r="U27" s="2" t="e">
        <f t="shared" si="14"/>
        <v>#N/A</v>
      </c>
      <c r="V27" s="2" t="e">
        <f t="shared" si="15"/>
        <v>#N/A</v>
      </c>
      <c r="W27" s="2" t="e">
        <f t="shared" si="16"/>
        <v>#N/A</v>
      </c>
      <c r="X27" s="2" t="e">
        <f t="shared" si="17"/>
        <v>#N/A</v>
      </c>
      <c r="Y27" s="2" t="e">
        <f t="shared" si="18"/>
        <v>#N/A</v>
      </c>
      <c r="Z27" s="0">
        <f t="shared" ca="1" si="20"/>
        <v>1401474.4</v>
      </c>
      <c r="AA27" s="0">
        <f t="shared" ca="1" si="19"/>
        <v>1298124.3999999999</v>
      </c>
      <c r="AB27" cm="1" s="0">
        <f t="array" ref="AB27">MAX(IF(ISNUMBER(J27:Y27),J27:Y27))</f>
        <v>1498096</v>
      </c>
      <c r="AC27" cm="1" s="0">
        <f t="array" ref="AC27">MIN(IF(ISNUMBER(J27:Y27),J27:Y27))</f>
        <v>939114</v>
      </c>
      <c r="AD27" s="0">
        <f t="shared" si="13"/>
        <v>558982</v>
      </c>
    </row>
    <row r="28" spans="1:30" x14ac:dyDescent="0.2">
      <c r="A28" t="s" s="0">
        <v>3969</v>
      </c>
      <c r="B28" s="3">
        <v>806279</v>
      </c>
      <c r="C28" s="3">
        <v>43816</v>
      </c>
      <c r="D28" s="3">
        <v>48960</v>
      </c>
      <c r="E28" s="3">
        <v>46488</v>
      </c>
      <c r="F28" s="3">
        <v>40080</v>
      </c>
      <c r="G28" s="3">
        <v>44703</v>
      </c>
      <c r="I28" t="str" s="0">
        <f t="shared" si="1"/>
        <v>01/25</v>
      </c>
      <c r="J28" s="2">
        <f t="shared" si="2"/>
        <v>974537</v>
      </c>
      <c r="K28" s="2">
        <f t="shared" si="3"/>
        <v>1253760</v>
      </c>
      <c r="L28" s="2">
        <f t="shared" si="4"/>
        <v>1282508</v>
      </c>
      <c r="M28" s="2">
        <f t="shared" si="5"/>
        <v>1112315</v>
      </c>
      <c r="N28" s="2">
        <f t="shared" si="6"/>
        <v>1400433</v>
      </c>
      <c r="O28" s="2">
        <f t="shared" si="7"/>
        <v>1408582</v>
      </c>
      <c r="P28" s="2">
        <f t="shared" si="8"/>
        <v>1459295</v>
      </c>
      <c r="Q28" s="2">
        <f t="shared" si="9"/>
        <v>1352494</v>
      </c>
      <c r="R28" s="2">
        <f t="shared" si="10"/>
        <v>1332179</v>
      </c>
      <c r="S28" s="2">
        <f t="shared" si="11"/>
        <v>1486938</v>
      </c>
      <c r="T28" s="2">
        <f t="shared" si="12"/>
        <v>1466528</v>
      </c>
      <c r="U28" s="2" t="e">
        <f t="shared" si="14"/>
        <v>#N/A</v>
      </c>
      <c r="V28" s="2" t="e">
        <f t="shared" si="15"/>
        <v>#N/A</v>
      </c>
      <c r="W28" s="2" t="e">
        <f t="shared" si="16"/>
        <v>#N/A</v>
      </c>
      <c r="X28" s="2" t="e">
        <f t="shared" si="17"/>
        <v>#N/A</v>
      </c>
      <c r="Y28" s="2" t="e">
        <f t="shared" si="18"/>
        <v>#N/A</v>
      </c>
      <c r="Z28" s="0">
        <f t="shared" ca="1" si="20"/>
        <v>1407897.6000000001</v>
      </c>
      <c r="AA28" s="0">
        <f t="shared" ca="1" si="19"/>
        <v>1306304.1000000001</v>
      </c>
      <c r="AB28" cm="1" s="0">
        <f t="array" ref="AB28">MAX(IF(ISNUMBER(J28:Y28),J28:Y28))</f>
        <v>1486938</v>
      </c>
      <c r="AC28" cm="1" s="0">
        <f t="array" ref="AC28">MIN(IF(ISNUMBER(J28:Y28),J28:Y28))</f>
        <v>974537</v>
      </c>
      <c r="AD28" s="0">
        <f t="shared" si="13"/>
        <v>512401</v>
      </c>
    </row>
    <row r="29" spans="1:30" x14ac:dyDescent="0.2">
      <c r="A29" t="s" s="0">
        <v>3968</v>
      </c>
      <c r="B29" s="2">
        <v>852910</v>
      </c>
      <c r="C29" s="2">
        <v>22205</v>
      </c>
      <c r="D29" s="2">
        <v>48208</v>
      </c>
      <c r="E29" s="2">
        <v>46945</v>
      </c>
      <c r="F29" s="2">
        <v>33677</v>
      </c>
      <c r="G29" s="2">
        <v>44028</v>
      </c>
      <c r="I29" t="str" s="0">
        <f t="shared" si="1"/>
        <v>01/26</v>
      </c>
      <c r="J29" s="2">
        <f t="shared" si="2"/>
        <v>966352</v>
      </c>
      <c r="K29" s="2">
        <f t="shared" si="3"/>
        <v>1239482</v>
      </c>
      <c r="L29" s="2">
        <f t="shared" si="4"/>
        <v>1287592</v>
      </c>
      <c r="M29" s="2">
        <f t="shared" si="5"/>
        <v>1112315</v>
      </c>
      <c r="N29" s="2">
        <f t="shared" si="6"/>
        <v>1400433</v>
      </c>
      <c r="O29" s="2">
        <f t="shared" si="7"/>
        <v>1436922</v>
      </c>
      <c r="P29" s="2">
        <f t="shared" si="8"/>
        <v>1531853</v>
      </c>
      <c r="Q29" s="2">
        <f t="shared" si="9"/>
        <v>1351904</v>
      </c>
      <c r="R29" s="2">
        <f t="shared" si="10"/>
        <v>1413301</v>
      </c>
      <c r="S29" s="2">
        <f t="shared" si="11"/>
        <v>1486938</v>
      </c>
      <c r="T29" s="2">
        <f t="shared" si="12"/>
        <v>1496503</v>
      </c>
      <c r="U29" s="2" t="e">
        <f t="shared" si="14"/>
        <v>#N/A</v>
      </c>
      <c r="V29" s="2" t="e">
        <f t="shared" si="15"/>
        <v>#N/A</v>
      </c>
      <c r="W29" s="2" t="e">
        <f t="shared" si="16"/>
        <v>#N/A</v>
      </c>
      <c r="X29" s="2" t="e">
        <f t="shared" si="17"/>
        <v>#N/A</v>
      </c>
      <c r="Y29" s="2" t="e">
        <f t="shared" si="18"/>
        <v>#N/A</v>
      </c>
      <c r="Z29" s="0">
        <f t="shared" ca="1" si="20"/>
        <v>1444183.6</v>
      </c>
      <c r="AA29" s="0">
        <f t="shared" ca="1" si="19"/>
        <v>1322709.2</v>
      </c>
      <c r="AB29" cm="1" s="0">
        <f t="array" ref="AB29">MAX(IF(ISNUMBER(J29:Y29),J29:Y29))</f>
        <v>1531853</v>
      </c>
      <c r="AC29" cm="1" s="0">
        <f t="array" ref="AC29">MIN(IF(ISNUMBER(J29:Y29),J29:Y29))</f>
        <v>966352</v>
      </c>
      <c r="AD29" s="0">
        <f t="shared" si="13"/>
        <v>565501</v>
      </c>
    </row>
    <row r="30" spans="1:30" x14ac:dyDescent="0.2">
      <c r="A30" t="s" s="0">
        <v>3967</v>
      </c>
      <c r="B30" s="2">
        <v>853120</v>
      </c>
      <c r="C30" s="2">
        <v>38089</v>
      </c>
      <c r="D30" s="2">
        <v>46717</v>
      </c>
      <c r="E30" s="2">
        <v>47366</v>
      </c>
      <c r="F30" s="2">
        <v>31849</v>
      </c>
      <c r="G30" s="2">
        <v>45753</v>
      </c>
      <c r="I30" t="str" s="0">
        <f t="shared" si="1"/>
        <v>01/27</v>
      </c>
      <c r="J30" s="2">
        <f t="shared" si="2"/>
        <v>991539</v>
      </c>
      <c r="K30" s="2">
        <f t="shared" si="3"/>
        <v>1231553</v>
      </c>
      <c r="L30" s="2">
        <f t="shared" si="4"/>
        <v>1287592</v>
      </c>
      <c r="M30" s="2">
        <f t="shared" si="5"/>
        <v>1112315</v>
      </c>
      <c r="N30" s="2">
        <f t="shared" si="6"/>
        <v>1394986</v>
      </c>
      <c r="O30" s="2">
        <f t="shared" si="7"/>
        <v>1496824</v>
      </c>
      <c r="P30" s="2">
        <f t="shared" si="8"/>
        <v>1496543</v>
      </c>
      <c r="Q30" s="2">
        <f t="shared" si="9"/>
        <v>1345763</v>
      </c>
      <c r="R30" s="2">
        <f t="shared" si="10"/>
        <v>1413301</v>
      </c>
      <c r="S30" s="2">
        <f t="shared" si="11"/>
        <v>1486938</v>
      </c>
      <c r="T30" s="2">
        <f t="shared" si="12"/>
        <v>1502167</v>
      </c>
      <c r="U30" s="2" t="e">
        <f t="shared" si="14"/>
        <v>#N/A</v>
      </c>
      <c r="V30" s="2" t="e">
        <f t="shared" si="15"/>
        <v>#N/A</v>
      </c>
      <c r="W30" s="2" t="e">
        <f t="shared" si="16"/>
        <v>#N/A</v>
      </c>
      <c r="X30" s="2" t="e">
        <f t="shared" si="17"/>
        <v>#N/A</v>
      </c>
      <c r="Y30" s="2" t="e">
        <f t="shared" si="18"/>
        <v>#N/A</v>
      </c>
      <c r="Z30" s="0">
        <f t="shared" ca="1" si="20"/>
        <v>1447873.8</v>
      </c>
      <c r="AA30" s="0">
        <f t="shared" ca="1" si="19"/>
        <v>1325735.3999999999</v>
      </c>
      <c r="AB30" cm="1" s="0">
        <f t="array" ref="AB30">MAX(IF(ISNUMBER(J30:Y30),J30:Y30))</f>
        <v>1502167</v>
      </c>
      <c r="AC30" cm="1" s="0">
        <f t="array" ref="AC30">MIN(IF(ISNUMBER(J30:Y30),J30:Y30))</f>
        <v>991539</v>
      </c>
      <c r="AD30" s="0">
        <f t="shared" si="13"/>
        <v>510628</v>
      </c>
    </row>
    <row r="31" spans="1:30" x14ac:dyDescent="0.2">
      <c r="A31" t="s" s="0">
        <v>3966</v>
      </c>
      <c r="B31" s="2">
        <v>893724</v>
      </c>
      <c r="C31" s="2">
        <v>51430</v>
      </c>
      <c r="D31" s="2">
        <v>45631</v>
      </c>
      <c r="E31" s="2">
        <v>47430</v>
      </c>
      <c r="F31" s="2">
        <v>44672</v>
      </c>
      <c r="G31" s="2">
        <v>47533</v>
      </c>
      <c r="I31" t="str" s="0">
        <f t="shared" si="1"/>
        <v>01/28</v>
      </c>
      <c r="J31" s="2">
        <f t="shared" si="2"/>
        <v>955272</v>
      </c>
      <c r="K31" s="2">
        <f t="shared" si="3"/>
        <v>1239265</v>
      </c>
      <c r="L31" s="2">
        <f t="shared" si="4"/>
        <v>1287592</v>
      </c>
      <c r="M31" s="2">
        <f t="shared" si="5"/>
        <v>1086720</v>
      </c>
      <c r="N31" s="2">
        <f t="shared" si="6"/>
        <v>1397458</v>
      </c>
      <c r="O31" s="2">
        <f t="shared" si="7"/>
        <v>1403047</v>
      </c>
      <c r="P31" s="2">
        <f t="shared" si="8"/>
        <v>1459318</v>
      </c>
      <c r="Q31" s="2">
        <f t="shared" si="9"/>
        <v>1345763</v>
      </c>
      <c r="R31" s="2">
        <f t="shared" si="10"/>
        <v>1413301</v>
      </c>
      <c r="S31" s="2">
        <f t="shared" si="11"/>
        <v>1584750</v>
      </c>
      <c r="T31" s="2">
        <f t="shared" si="12"/>
        <v>1465080</v>
      </c>
      <c r="U31" s="2" t="e">
        <f t="shared" si="14"/>
        <v>#N/A</v>
      </c>
      <c r="V31" s="2" t="e">
        <f t="shared" si="15"/>
        <v>#N/A</v>
      </c>
      <c r="W31" s="2" t="e">
        <f t="shared" si="16"/>
        <v>#N/A</v>
      </c>
      <c r="X31" s="2" t="e">
        <f t="shared" si="17"/>
        <v>#N/A</v>
      </c>
      <c r="Y31" s="2" t="e">
        <f t="shared" si="18"/>
        <v>#N/A</v>
      </c>
      <c r="Z31" s="0">
        <f t="shared" ca="1" si="20"/>
        <v>1441235.8</v>
      </c>
      <c r="AA31" s="0">
        <f t="shared" ca="1" si="19"/>
        <v>1317248.6000000001</v>
      </c>
      <c r="AB31" cm="1" s="0">
        <f t="array" ref="AB31">MAX(IF(ISNUMBER(J31:Y31),J31:Y31))</f>
        <v>1584750</v>
      </c>
      <c r="AC31" cm="1" s="0">
        <f t="array" ref="AC31">MIN(IF(ISNUMBER(J31:Y31),J31:Y31))</f>
        <v>955272</v>
      </c>
      <c r="AD31" s="0">
        <f t="shared" si="13"/>
        <v>629478</v>
      </c>
    </row>
    <row r="32" spans="1:30" x14ac:dyDescent="0.2">
      <c r="A32" t="s" s="0">
        <v>3965</v>
      </c>
      <c r="B32" s="2">
        <v>939169</v>
      </c>
      <c r="C32" s="2">
        <v>39542</v>
      </c>
      <c r="D32" s="2">
        <v>44207</v>
      </c>
      <c r="E32" s="2">
        <v>47016</v>
      </c>
      <c r="F32" s="2">
        <v>56813</v>
      </c>
      <c r="G32" s="2">
        <v>48258</v>
      </c>
      <c r="I32" t="str" s="0">
        <f t="shared" si="1"/>
        <v>01/29</v>
      </c>
      <c r="J32" s="2">
        <f t="shared" si="2"/>
        <v>923058</v>
      </c>
      <c r="K32" s="2">
        <f t="shared" si="3"/>
        <v>1239265</v>
      </c>
      <c r="L32" s="2">
        <f t="shared" si="4"/>
        <v>1214587</v>
      </c>
      <c r="M32" s="2">
        <f t="shared" si="5"/>
        <v>1069437</v>
      </c>
      <c r="N32" s="2">
        <f t="shared" si="6"/>
        <v>1379402</v>
      </c>
      <c r="O32" s="2">
        <f t="shared" si="7"/>
        <v>1474268</v>
      </c>
      <c r="P32" s="2">
        <f t="shared" si="8"/>
        <v>1459318</v>
      </c>
      <c r="Q32" s="2">
        <f t="shared" si="9"/>
        <v>1345763</v>
      </c>
      <c r="R32" s="2">
        <f t="shared" si="10"/>
        <v>1446356</v>
      </c>
      <c r="S32" s="2">
        <f t="shared" si="11"/>
        <v>1557993</v>
      </c>
      <c r="T32" s="2">
        <f t="shared" si="12"/>
        <v>1486001</v>
      </c>
      <c r="U32" s="2" t="e">
        <f t="shared" si="14"/>
        <v>#N/A</v>
      </c>
      <c r="V32" s="2" t="e">
        <f t="shared" si="15"/>
        <v>#N/A</v>
      </c>
      <c r="W32" s="2" t="e">
        <f t="shared" si="16"/>
        <v>#N/A</v>
      </c>
      <c r="X32" s="2" t="e">
        <f t="shared" si="17"/>
        <v>#N/A</v>
      </c>
      <c r="Y32" s="2" t="e">
        <f t="shared" si="18"/>
        <v>#N/A</v>
      </c>
      <c r="Z32" s="0">
        <f t="shared" ca="1" si="20"/>
        <v>1456739.6</v>
      </c>
      <c r="AA32" s="0">
        <f t="shared" ca="1" si="19"/>
        <v>1310944.7</v>
      </c>
      <c r="AB32" cm="1" s="0">
        <f t="array" ref="AB32">MAX(IF(ISNUMBER(J32:Y32),J32:Y32))</f>
        <v>1557993</v>
      </c>
      <c r="AC32" cm="1" s="0">
        <f t="array" ref="AC32">MIN(IF(ISNUMBER(J32:Y32),J32:Y32))</f>
        <v>923058</v>
      </c>
      <c r="AD32" s="0">
        <f t="shared" si="13"/>
        <v>634935</v>
      </c>
    </row>
    <row r="33" spans="1:30" x14ac:dyDescent="0.2">
      <c r="A33" t="s" s="0">
        <v>3964</v>
      </c>
      <c r="B33" s="2">
        <v>928622</v>
      </c>
      <c r="C33" s="2">
        <v>44436</v>
      </c>
      <c r="D33" s="2">
        <v>45660</v>
      </c>
      <c r="E33" s="2">
        <v>46726</v>
      </c>
      <c r="F33" s="2">
        <v>62962</v>
      </c>
      <c r="G33" s="2">
        <v>48006</v>
      </c>
      <c r="I33" t="str" s="0">
        <f t="shared" si="1"/>
        <v>01/30</v>
      </c>
      <c r="J33" s="2">
        <f t="shared" si="2"/>
        <v>923058</v>
      </c>
      <c r="K33" s="2">
        <f t="shared" si="3"/>
        <v>1239265</v>
      </c>
      <c r="L33" s="2">
        <f t="shared" si="4"/>
        <v>1197522</v>
      </c>
      <c r="M33" s="2">
        <f t="shared" si="5"/>
        <v>1020275</v>
      </c>
      <c r="N33" s="2">
        <f t="shared" si="6"/>
        <v>1397256</v>
      </c>
      <c r="O33" s="2">
        <f t="shared" si="7"/>
        <v>1518009</v>
      </c>
      <c r="P33" s="2">
        <f t="shared" si="8"/>
        <v>1459318</v>
      </c>
      <c r="Q33" s="2">
        <f t="shared" si="9"/>
        <v>1405221</v>
      </c>
      <c r="R33" s="2">
        <f t="shared" si="10"/>
        <v>1469052</v>
      </c>
      <c r="S33" s="2">
        <f t="shared" si="11"/>
        <v>1553959</v>
      </c>
      <c r="T33" s="2">
        <f t="shared" si="12"/>
        <v>1477732</v>
      </c>
      <c r="U33" s="2" t="e">
        <f t="shared" si="14"/>
        <v>#N/A</v>
      </c>
      <c r="V33" s="2" t="e">
        <f t="shared" si="15"/>
        <v>#N/A</v>
      </c>
      <c r="W33" s="2" t="e">
        <f t="shared" si="16"/>
        <v>#N/A</v>
      </c>
      <c r="X33" s="2" t="e">
        <f t="shared" si="17"/>
        <v>#N/A</v>
      </c>
      <c r="Y33" s="2" t="e">
        <f t="shared" si="18"/>
        <v>#N/A</v>
      </c>
      <c r="Z33" s="0">
        <f t="shared" ca="1" si="20"/>
        <v>1481111.8</v>
      </c>
      <c r="AA33" s="0">
        <f t="shared" ca="1" si="19"/>
        <v>1318293.5</v>
      </c>
      <c r="AB33" cm="1" s="0">
        <f t="array" ref="AB33">MAX(IF(ISNUMBER(J33:Y33),J33:Y33))</f>
        <v>1553959</v>
      </c>
      <c r="AC33" cm="1" s="0">
        <f t="array" ref="AC33">MIN(IF(ISNUMBER(J33:Y33),J33:Y33))</f>
        <v>923058</v>
      </c>
      <c r="AD33" s="0">
        <f t="shared" si="13"/>
        <v>630901</v>
      </c>
    </row>
    <row r="34" spans="1:30" x14ac:dyDescent="0.2">
      <c r="A34" t="s" s="0">
        <v>3963</v>
      </c>
      <c r="B34" s="3">
        <v>928622</v>
      </c>
      <c r="C34" s="3">
        <v>44436</v>
      </c>
      <c r="D34" s="3">
        <v>45660</v>
      </c>
      <c r="E34" s="3">
        <v>46726</v>
      </c>
      <c r="F34" s="3">
        <v>62962</v>
      </c>
      <c r="G34" s="3">
        <v>48006</v>
      </c>
      <c r="I34" t="str" s="0">
        <f t="shared" si="1"/>
        <v>01/31</v>
      </c>
      <c r="J34" s="2">
        <f t="shared" si="2"/>
        <v>923058</v>
      </c>
      <c r="K34" s="2">
        <f t="shared" si="3"/>
        <v>1194578</v>
      </c>
      <c r="L34" s="2">
        <f t="shared" si="4"/>
        <v>1194028</v>
      </c>
      <c r="M34" s="2">
        <f t="shared" si="5"/>
        <v>1129090</v>
      </c>
      <c r="N34" s="2">
        <f t="shared" si="6"/>
        <v>1494614</v>
      </c>
      <c r="O34" s="2">
        <f t="shared" si="7"/>
        <v>1518009</v>
      </c>
      <c r="P34" s="2">
        <f t="shared" si="8"/>
        <v>1441098</v>
      </c>
      <c r="Q34" s="2">
        <f t="shared" si="9"/>
        <v>1386976</v>
      </c>
      <c r="R34" s="2">
        <f t="shared" si="10"/>
        <v>1499170</v>
      </c>
      <c r="S34" s="2">
        <f t="shared" si="11"/>
        <v>1615712</v>
      </c>
      <c r="T34" s="2">
        <f t="shared" si="12"/>
        <v>1477732</v>
      </c>
      <c r="U34" s="2" t="e">
        <f t="shared" si="14"/>
        <v>#N/A</v>
      </c>
      <c r="V34" s="2" t="e">
        <f t="shared" si="15"/>
        <v>#N/A</v>
      </c>
      <c r="W34" s="2" t="e">
        <f t="shared" si="16"/>
        <v>#N/A</v>
      </c>
      <c r="X34" s="2" t="e">
        <f t="shared" si="17"/>
        <v>#N/A</v>
      </c>
      <c r="Y34" s="2" t="e">
        <f t="shared" si="18"/>
        <v>#N/A</v>
      </c>
      <c r="Z34" s="0">
        <f t="shared" ca="1" si="20"/>
        <v>1492193</v>
      </c>
      <c r="AA34" s="0">
        <f t="shared" ca="1" si="19"/>
        <v>1339633.3</v>
      </c>
      <c r="AB34" cm="1" s="0">
        <f t="array" ref="AB34">MAX(IF(ISNUMBER(J34:Y34),J34:Y34))</f>
        <v>1615712</v>
      </c>
      <c r="AC34" cm="1" s="0">
        <f t="array" ref="AC34">MIN(IF(ISNUMBER(J34:Y34),J34:Y34))</f>
        <v>923058</v>
      </c>
      <c r="AD34" s="0">
        <f t="shared" si="13"/>
        <v>692654</v>
      </c>
    </row>
    <row r="35" spans="1:30" x14ac:dyDescent="0.2">
      <c r="A35" t="s" s="0">
        <v>3962</v>
      </c>
      <c r="B35" s="3">
        <v>928622</v>
      </c>
      <c r="C35" s="3">
        <v>44436</v>
      </c>
      <c r="D35" s="3">
        <v>45660</v>
      </c>
      <c r="E35" s="3">
        <v>46726</v>
      </c>
      <c r="F35" s="3">
        <v>62962</v>
      </c>
      <c r="G35" s="3">
        <v>48006</v>
      </c>
      <c r="I35" t="str" s="0">
        <f t="shared" si="1"/>
        <v>02/01</v>
      </c>
      <c r="J35" s="2">
        <f t="shared" si="2"/>
        <v>918791</v>
      </c>
      <c r="K35" s="2">
        <f t="shared" si="3"/>
        <v>1153595</v>
      </c>
      <c r="L35" s="2">
        <f t="shared" si="4"/>
        <v>1160305</v>
      </c>
      <c r="M35" s="2">
        <f t="shared" si="5"/>
        <v>1094728</v>
      </c>
      <c r="N35" s="2">
        <f t="shared" si="6"/>
        <v>1494614</v>
      </c>
      <c r="O35" s="2">
        <f t="shared" si="7"/>
        <v>1518009</v>
      </c>
      <c r="P35" s="2">
        <f t="shared" si="8"/>
        <v>1451398</v>
      </c>
      <c r="Q35" s="2">
        <f t="shared" si="9"/>
        <v>1341099</v>
      </c>
      <c r="R35" s="2">
        <f t="shared" si="10"/>
        <v>1524461</v>
      </c>
      <c r="S35" s="2">
        <f t="shared" si="11"/>
        <v>1602851</v>
      </c>
      <c r="T35" s="2">
        <f t="shared" si="12"/>
        <v>1477732</v>
      </c>
      <c r="U35" s="2" t="e">
        <f t="shared" si="14"/>
        <v>#N/A</v>
      </c>
      <c r="V35" s="2" t="e">
        <f t="shared" si="15"/>
        <v>#N/A</v>
      </c>
      <c r="W35" s="2" t="e">
        <f t="shared" si="16"/>
        <v>#N/A</v>
      </c>
      <c r="X35" s="2" t="e">
        <f t="shared" si="17"/>
        <v>#N/A</v>
      </c>
      <c r="Y35" s="2" t="e">
        <f t="shared" si="18"/>
        <v>#N/A</v>
      </c>
      <c r="Z35" s="0">
        <f t="shared" ca="1" si="20"/>
        <v>1487563.6</v>
      </c>
      <c r="AA35" s="0">
        <f t="shared" ca="1" si="19"/>
        <v>1325985.1000000001</v>
      </c>
      <c r="AB35" cm="1" s="0">
        <f t="array" ref="AB35">MAX(IF(ISNUMBER(J35:Y35),J35:Y35))</f>
        <v>1602851</v>
      </c>
      <c r="AC35" cm="1" s="0">
        <f t="array" ref="AC35">MIN(IF(ISNUMBER(J35:Y35),J35:Y35))</f>
        <v>918791</v>
      </c>
      <c r="AD35" s="0">
        <f t="shared" si="13"/>
        <v>684060</v>
      </c>
    </row>
    <row r="36" spans="1:30" x14ac:dyDescent="0.2">
      <c r="A36" t="s" s="0">
        <v>3961</v>
      </c>
      <c r="B36" s="2">
        <v>819672</v>
      </c>
      <c r="C36" s="2">
        <v>25482</v>
      </c>
      <c r="D36" s="2">
        <v>44343</v>
      </c>
      <c r="E36" s="2">
        <v>46721</v>
      </c>
      <c r="F36" s="2">
        <v>39420</v>
      </c>
      <c r="G36" s="2">
        <v>44450</v>
      </c>
      <c r="I36" t="str" s="0">
        <f t="shared" si="1"/>
        <v>02/02</v>
      </c>
      <c r="J36" s="2">
        <f t="shared" si="2"/>
        <v>883619</v>
      </c>
      <c r="K36" s="2">
        <f t="shared" si="3"/>
        <v>1133341</v>
      </c>
      <c r="L36" s="2">
        <f t="shared" si="4"/>
        <v>1161646</v>
      </c>
      <c r="M36" s="2">
        <f t="shared" si="5"/>
        <v>1094728</v>
      </c>
      <c r="N36" s="2">
        <f t="shared" si="6"/>
        <v>1494614</v>
      </c>
      <c r="O36" s="2">
        <f t="shared" si="7"/>
        <v>1610935</v>
      </c>
      <c r="P36" s="2">
        <f t="shared" si="8"/>
        <v>1403619</v>
      </c>
      <c r="Q36" s="2">
        <f t="shared" si="9"/>
        <v>1322900</v>
      </c>
      <c r="R36" s="2">
        <f t="shared" si="10"/>
        <v>1512126</v>
      </c>
      <c r="S36" s="2">
        <f t="shared" si="11"/>
        <v>1602851</v>
      </c>
      <c r="T36" s="2">
        <f t="shared" si="12"/>
        <v>1472441</v>
      </c>
      <c r="U36" s="2" t="e">
        <f t="shared" si="14"/>
        <v>#N/A</v>
      </c>
      <c r="V36" s="2" t="e">
        <f t="shared" si="15"/>
        <v>#N/A</v>
      </c>
      <c r="W36" s="2" t="e">
        <f t="shared" si="16"/>
        <v>#N/A</v>
      </c>
      <c r="X36" s="2" t="e">
        <f t="shared" si="17"/>
        <v>#N/A</v>
      </c>
      <c r="Y36" s="2" t="e">
        <f t="shared" si="18"/>
        <v>#N/A</v>
      </c>
      <c r="Z36" s="0">
        <f t="shared" ca="1" si="20"/>
        <v>1490486.2</v>
      </c>
      <c r="AA36" s="0">
        <f t="shared" ca="1" si="19"/>
        <v>1322037.8999999999</v>
      </c>
      <c r="AB36" cm="1" s="0">
        <f t="array" ref="AB36">MAX(IF(ISNUMBER(J36:Y36),J36:Y36))</f>
        <v>1610935</v>
      </c>
      <c r="AC36" cm="1" s="0">
        <f t="array" ref="AC36">MIN(IF(ISNUMBER(J36:Y36),J36:Y36))</f>
        <v>883619</v>
      </c>
      <c r="AD36" s="0">
        <f t="shared" si="13"/>
        <v>727316</v>
      </c>
    </row>
    <row r="37" spans="1:30" x14ac:dyDescent="0.2">
      <c r="A37" t="s" s="0">
        <v>3960</v>
      </c>
      <c r="B37" s="2">
        <v>822671</v>
      </c>
      <c r="C37" s="2">
        <v>43535</v>
      </c>
      <c r="D37" s="2">
        <v>43892</v>
      </c>
      <c r="E37" s="2">
        <v>46813</v>
      </c>
      <c r="F37" s="2">
        <v>39367</v>
      </c>
      <c r="G37" s="2">
        <v>44114</v>
      </c>
      <c r="I37" t="str" s="0">
        <f t="shared" si="1"/>
        <v>02/03</v>
      </c>
      <c r="J37" s="2">
        <f t="shared" si="2"/>
        <v>866861</v>
      </c>
      <c r="K37" s="2">
        <f t="shared" si="3"/>
        <v>1156662</v>
      </c>
      <c r="L37" s="2">
        <f t="shared" si="4"/>
        <v>1161646</v>
      </c>
      <c r="M37" s="2">
        <f t="shared" si="5"/>
        <v>1094728</v>
      </c>
      <c r="N37" s="2">
        <f t="shared" si="6"/>
        <v>1468476</v>
      </c>
      <c r="O37" s="2">
        <f t="shared" si="7"/>
        <v>1510572</v>
      </c>
      <c r="P37" s="2">
        <f t="shared" si="8"/>
        <v>1438387</v>
      </c>
      <c r="Q37" s="2">
        <f t="shared" si="9"/>
        <v>1359542</v>
      </c>
      <c r="R37" s="2">
        <f t="shared" si="10"/>
        <v>1512126</v>
      </c>
      <c r="S37" s="2">
        <f t="shared" si="11"/>
        <v>1602851</v>
      </c>
      <c r="T37" s="2">
        <f t="shared" si="12"/>
        <v>1505702</v>
      </c>
      <c r="U37" s="2" t="e">
        <f t="shared" si="14"/>
        <v>#N/A</v>
      </c>
      <c r="V37" s="2" t="e">
        <f t="shared" si="15"/>
        <v>#N/A</v>
      </c>
      <c r="W37" s="2" t="e">
        <f t="shared" si="16"/>
        <v>#N/A</v>
      </c>
      <c r="X37" s="2" t="e">
        <f t="shared" si="17"/>
        <v>#N/A</v>
      </c>
      <c r="Y37" s="2" t="e">
        <f t="shared" si="18"/>
        <v>#N/A</v>
      </c>
      <c r="Z37" s="0">
        <f t="shared" ca="1" si="20"/>
        <v>1484695.6</v>
      </c>
      <c r="AA37" s="0">
        <f t="shared" ca="1" si="19"/>
        <v>1317185.1000000001</v>
      </c>
      <c r="AB37" cm="1" s="0">
        <f t="array" ref="AB37">MAX(IF(ISNUMBER(J37:Y37),J37:Y37))</f>
        <v>1602851</v>
      </c>
      <c r="AC37" cm="1" s="0">
        <f t="array" ref="AC37">MIN(IF(ISNUMBER(J37:Y37),J37:Y37))</f>
        <v>866861</v>
      </c>
      <c r="AD37" s="0">
        <f t="shared" si="13"/>
        <v>735990</v>
      </c>
    </row>
    <row r="38" spans="1:30" x14ac:dyDescent="0.2">
      <c r="A38" t="s" s="0">
        <v>3959</v>
      </c>
      <c r="B38" s="2">
        <v>826669</v>
      </c>
      <c r="C38" s="2">
        <v>45993</v>
      </c>
      <c r="D38" s="2">
        <v>43433</v>
      </c>
      <c r="E38" s="2">
        <v>47229</v>
      </c>
      <c r="F38" s="2">
        <v>33679</v>
      </c>
      <c r="G38" s="2">
        <v>44115</v>
      </c>
      <c r="I38" t="str" s="0">
        <f t="shared" si="1"/>
        <v>02/04</v>
      </c>
      <c r="J38" s="2">
        <f t="shared" si="2"/>
        <v>828830</v>
      </c>
      <c r="K38" s="2">
        <f t="shared" si="3"/>
        <v>1117484</v>
      </c>
      <c r="L38" s="2">
        <f t="shared" si="4"/>
        <v>1161646</v>
      </c>
      <c r="M38" s="2">
        <f t="shared" si="5"/>
        <v>1185157</v>
      </c>
      <c r="N38" s="2">
        <f t="shared" si="6"/>
        <v>1421422</v>
      </c>
      <c r="O38" s="2">
        <f t="shared" si="7"/>
        <v>1463933</v>
      </c>
      <c r="P38" s="2">
        <f t="shared" si="8"/>
        <v>1470209</v>
      </c>
      <c r="Q38" s="2">
        <f t="shared" si="9"/>
        <v>1359542</v>
      </c>
      <c r="R38" s="2">
        <f t="shared" si="10"/>
        <v>1512126</v>
      </c>
      <c r="S38" s="2">
        <f t="shared" si="11"/>
        <v>1562350</v>
      </c>
      <c r="T38" s="2">
        <f t="shared" si="12"/>
        <v>1523324</v>
      </c>
      <c r="U38" s="2" t="e">
        <f t="shared" si="14"/>
        <v>#N/A</v>
      </c>
      <c r="V38" s="2" t="e">
        <f t="shared" si="15"/>
        <v>#N/A</v>
      </c>
      <c r="W38" s="2" t="e">
        <f t="shared" si="16"/>
        <v>#N/A</v>
      </c>
      <c r="X38" s="2" t="e">
        <f t="shared" si="17"/>
        <v>#N/A</v>
      </c>
      <c r="Y38" s="2" t="e">
        <f t="shared" si="18"/>
        <v>#N/A</v>
      </c>
      <c r="Z38" s="0">
        <f t="shared" ca="1" si="20"/>
        <v>1473632</v>
      </c>
      <c r="AA38" s="0">
        <f t="shared" ca="1" si="19"/>
        <v>1308269.8999999999</v>
      </c>
      <c r="AB38" cm="1" s="0">
        <f t="array" ref="AB38">MAX(IF(ISNUMBER(J38:Y38),J38:Y38))</f>
        <v>1562350</v>
      </c>
      <c r="AC38" cm="1" s="0">
        <f t="array" ref="AC38">MIN(IF(ISNUMBER(J38:Y38),J38:Y38))</f>
        <v>828830</v>
      </c>
      <c r="AD38" s="0">
        <f t="shared" si="13"/>
        <v>733520</v>
      </c>
    </row>
    <row r="39" spans="1:30" x14ac:dyDescent="0.2">
      <c r="A39" t="s" s="0">
        <v>3958</v>
      </c>
      <c r="B39" s="2">
        <v>867991</v>
      </c>
      <c r="C39" s="2">
        <v>50794</v>
      </c>
      <c r="D39" s="2">
        <v>45146</v>
      </c>
      <c r="E39" s="2">
        <v>47674</v>
      </c>
      <c r="F39" s="2">
        <v>34803</v>
      </c>
      <c r="G39" s="2">
        <v>43455</v>
      </c>
      <c r="I39" t="str" s="0">
        <f t="shared" si="1"/>
        <v>02/05</v>
      </c>
      <c r="J39" s="2">
        <f t="shared" si="2"/>
        <v>815043</v>
      </c>
      <c r="K39" s="2">
        <f t="shared" si="3"/>
        <v>1117484</v>
      </c>
      <c r="L39" s="2">
        <f t="shared" si="4"/>
        <v>1167495</v>
      </c>
      <c r="M39" s="2">
        <f t="shared" si="5"/>
        <v>1172193</v>
      </c>
      <c r="N39" s="2">
        <f t="shared" si="6"/>
        <v>1465588</v>
      </c>
      <c r="O39" s="2">
        <f t="shared" si="7"/>
        <v>1446745</v>
      </c>
      <c r="P39" s="2">
        <f t="shared" si="8"/>
        <v>1470209</v>
      </c>
      <c r="Q39" s="2">
        <f t="shared" si="9"/>
        <v>1359542</v>
      </c>
      <c r="R39" s="2">
        <f t="shared" si="10"/>
        <v>1475334</v>
      </c>
      <c r="S39" s="2">
        <f t="shared" si="11"/>
        <v>1527045</v>
      </c>
      <c r="T39" s="2">
        <f t="shared" si="12"/>
        <v>1522412</v>
      </c>
      <c r="U39" s="2" t="e">
        <f t="shared" si="14"/>
        <v>#N/A</v>
      </c>
      <c r="V39" s="2" t="e">
        <f t="shared" si="15"/>
        <v>#N/A</v>
      </c>
      <c r="W39" s="2" t="e">
        <f t="shared" si="16"/>
        <v>#N/A</v>
      </c>
      <c r="X39" s="2" t="e">
        <f t="shared" si="17"/>
        <v>#N/A</v>
      </c>
      <c r="Y39" s="2" t="e">
        <f t="shared" si="18"/>
        <v>#N/A</v>
      </c>
      <c r="Z39" s="0">
        <f t="shared" ca="1" si="20"/>
        <v>1455775</v>
      </c>
      <c r="AA39" s="0">
        <f t="shared" ca="1" si="19"/>
        <v>1301667.8</v>
      </c>
      <c r="AB39" cm="1" s="0">
        <f t="array" ref="AB39">MAX(IF(ISNUMBER(J39:Y39),J39:Y39))</f>
        <v>1527045</v>
      </c>
      <c r="AC39" cm="1" s="0">
        <f t="array" ref="AC39">MIN(IF(ISNUMBER(J39:Y39),J39:Y39))</f>
        <v>815043</v>
      </c>
      <c r="AD39" s="0">
        <f t="shared" si="13"/>
        <v>712002</v>
      </c>
    </row>
    <row r="40" spans="1:30" x14ac:dyDescent="0.2">
      <c r="A40" t="s" s="0">
        <v>3957</v>
      </c>
      <c r="B40" s="2">
        <v>936701</v>
      </c>
      <c r="C40" s="2">
        <v>43073</v>
      </c>
      <c r="D40" s="2">
        <v>43481</v>
      </c>
      <c r="E40" s="2">
        <v>45793</v>
      </c>
      <c r="F40" s="2">
        <v>44609</v>
      </c>
      <c r="G40" s="2">
        <v>46012</v>
      </c>
      <c r="I40" t="str" s="0">
        <f t="shared" si="1"/>
        <v>02/06</v>
      </c>
      <c r="J40" s="2">
        <f t="shared" si="2"/>
        <v>815043</v>
      </c>
      <c r="K40" s="2">
        <f t="shared" si="3"/>
        <v>1117484</v>
      </c>
      <c r="L40" s="2">
        <f t="shared" si="4"/>
        <v>1146194</v>
      </c>
      <c r="M40" s="2">
        <f t="shared" si="5"/>
        <v>1177713</v>
      </c>
      <c r="N40" s="2">
        <f t="shared" si="6"/>
        <v>1514613</v>
      </c>
      <c r="O40" s="2">
        <f t="shared" si="7"/>
        <v>1402638</v>
      </c>
      <c r="P40" s="2">
        <f t="shared" si="8"/>
        <v>1470209</v>
      </c>
      <c r="Q40" s="2">
        <f t="shared" si="9"/>
        <v>1322036</v>
      </c>
      <c r="R40" s="2">
        <f t="shared" si="10"/>
        <v>1510635</v>
      </c>
      <c r="S40" s="2">
        <f t="shared" si="11"/>
        <v>1497328</v>
      </c>
      <c r="T40" s="2">
        <f t="shared" si="12"/>
        <v>1501947</v>
      </c>
      <c r="U40" s="2" t="e">
        <f t="shared" si="14"/>
        <v>#N/A</v>
      </c>
      <c r="V40" s="2" t="e">
        <f t="shared" si="15"/>
        <v>#N/A</v>
      </c>
      <c r="W40" s="2" t="e">
        <f t="shared" si="16"/>
        <v>#N/A</v>
      </c>
      <c r="X40" s="2" t="e">
        <f t="shared" si="17"/>
        <v>#N/A</v>
      </c>
      <c r="Y40" s="2" t="e">
        <f t="shared" si="18"/>
        <v>#N/A</v>
      </c>
      <c r="Z40" s="0">
        <f t="shared" ca="1" si="20"/>
        <v>1440569.2</v>
      </c>
      <c r="AA40" s="0">
        <f t="shared" ca="1" si="19"/>
        <v>1297389.3</v>
      </c>
      <c r="AB40" cm="1" s="0">
        <f t="array" ref="AB40">MAX(IF(ISNUMBER(J40:Y40),J40:Y40))</f>
        <v>1514613</v>
      </c>
      <c r="AC40" cm="1" s="0">
        <f t="array" ref="AC40">MIN(IF(ISNUMBER(J40:Y40),J40:Y40))</f>
        <v>815043</v>
      </c>
      <c r="AD40" s="0">
        <f t="shared" si="13"/>
        <v>699570</v>
      </c>
    </row>
    <row r="41" spans="1:30" x14ac:dyDescent="0.2">
      <c r="A41" t="s" s="0">
        <v>3956</v>
      </c>
      <c r="B41" s="3">
        <v>936701</v>
      </c>
      <c r="C41" s="3">
        <v>43073</v>
      </c>
      <c r="D41" s="3">
        <v>43481</v>
      </c>
      <c r="E41" s="3">
        <v>45793</v>
      </c>
      <c r="F41" s="3">
        <v>44609</v>
      </c>
      <c r="G41" s="3">
        <v>46012</v>
      </c>
      <c r="I41" t="str" s="0">
        <f t="shared" si="1"/>
        <v>02/07</v>
      </c>
      <c r="J41" s="2">
        <f t="shared" si="2"/>
        <v>815043</v>
      </c>
      <c r="K41" s="2">
        <f t="shared" si="3"/>
        <v>1054758</v>
      </c>
      <c r="L41" s="2">
        <f t="shared" si="4"/>
        <v>1138068</v>
      </c>
      <c r="M41" s="2">
        <f t="shared" si="5"/>
        <v>1145617</v>
      </c>
      <c r="N41" s="2">
        <f t="shared" si="6"/>
        <v>1484106</v>
      </c>
      <c r="O41" s="2">
        <f t="shared" si="7"/>
        <v>1402638</v>
      </c>
      <c r="P41" s="2">
        <f t="shared" si="8"/>
        <v>1475771</v>
      </c>
      <c r="Q41" s="2">
        <f t="shared" si="9"/>
        <v>1305637</v>
      </c>
      <c r="R41" s="2">
        <f t="shared" si="10"/>
        <v>1463836</v>
      </c>
      <c r="S41" s="2">
        <f t="shared" si="11"/>
        <v>1476539</v>
      </c>
      <c r="T41" s="2">
        <f t="shared" si="12"/>
        <v>1501947</v>
      </c>
      <c r="U41" s="2" t="e">
        <f t="shared" si="14"/>
        <v>#N/A</v>
      </c>
      <c r="V41" s="2" t="e">
        <f t="shared" si="15"/>
        <v>#N/A</v>
      </c>
      <c r="W41" s="2" t="e">
        <f t="shared" si="16"/>
        <v>#N/A</v>
      </c>
      <c r="X41" s="2" t="e">
        <f t="shared" si="17"/>
        <v>#N/A</v>
      </c>
      <c r="Y41" s="2" t="e">
        <f t="shared" si="18"/>
        <v>#N/A</v>
      </c>
      <c r="Z41" s="0">
        <f t="shared" ca="1" si="20"/>
        <v>1424884.2</v>
      </c>
      <c r="AA41" s="0">
        <f t="shared" ca="1" si="19"/>
        <v>1276201.3</v>
      </c>
      <c r="AB41" cm="1" s="0">
        <f t="array" ref="AB41">MAX(IF(ISNUMBER(J41:Y41),J41:Y41))</f>
        <v>1501947</v>
      </c>
      <c r="AC41" cm="1" s="0">
        <f t="array" ref="AC41">MIN(IF(ISNUMBER(J41:Y41),J41:Y41))</f>
        <v>815043</v>
      </c>
      <c r="AD41" s="0">
        <f t="shared" si="13"/>
        <v>686904</v>
      </c>
    </row>
    <row r="42" spans="1:30" x14ac:dyDescent="0.2">
      <c r="A42" t="s" s="0">
        <v>3955</v>
      </c>
      <c r="B42" s="3">
        <v>936701</v>
      </c>
      <c r="C42" s="3">
        <v>43073</v>
      </c>
      <c r="D42" s="3">
        <v>43481</v>
      </c>
      <c r="E42" s="3">
        <v>45793</v>
      </c>
      <c r="F42" s="3">
        <v>44609</v>
      </c>
      <c r="G42" s="3">
        <v>46012</v>
      </c>
      <c r="I42" t="str" s="0">
        <f t="shared" si="1"/>
        <v>02/08</v>
      </c>
      <c r="J42" s="2">
        <f t="shared" si="2"/>
        <v>858575</v>
      </c>
      <c r="K42" s="2">
        <f t="shared" si="3"/>
        <v>1121212</v>
      </c>
      <c r="L42" s="2">
        <f t="shared" si="4"/>
        <v>1094852</v>
      </c>
      <c r="M42" s="2">
        <f t="shared" si="5"/>
        <v>1136932</v>
      </c>
      <c r="N42" s="2">
        <f t="shared" si="6"/>
        <v>1484106</v>
      </c>
      <c r="O42" s="2">
        <f t="shared" si="7"/>
        <v>1402638</v>
      </c>
      <c r="P42" s="2">
        <f t="shared" si="8"/>
        <v>1514950</v>
      </c>
      <c r="Q42" s="2">
        <f t="shared" si="9"/>
        <v>1310236</v>
      </c>
      <c r="R42" s="2">
        <f t="shared" si="10"/>
        <v>1471337</v>
      </c>
      <c r="S42" s="2">
        <f t="shared" si="11"/>
        <v>1451434</v>
      </c>
      <c r="T42" s="2">
        <f t="shared" si="12"/>
        <v>1501947</v>
      </c>
      <c r="U42" s="2" t="e">
        <f t="shared" si="14"/>
        <v>#N/A</v>
      </c>
      <c r="V42" s="2" t="e">
        <f t="shared" si="15"/>
        <v>#N/A</v>
      </c>
      <c r="W42" s="2" t="e">
        <f t="shared" si="16"/>
        <v>#N/A</v>
      </c>
      <c r="X42" s="2" t="e">
        <f t="shared" si="17"/>
        <v>#N/A</v>
      </c>
      <c r="Y42" s="2" t="e">
        <f t="shared" si="18"/>
        <v>#N/A</v>
      </c>
      <c r="Z42" s="0">
        <f t="shared" ca="1" si="20"/>
        <v>1430119</v>
      </c>
      <c r="AA42" s="0">
        <f t="shared" ca="1" si="19"/>
        <v>1284627.2</v>
      </c>
      <c r="AB42" cm="1" s="0">
        <f t="array" ref="AB42">MAX(IF(ISNUMBER(J42:Y42),J42:Y42))</f>
        <v>1514950</v>
      </c>
      <c r="AC42" cm="1" s="0">
        <f t="array" ref="AC42">MIN(IF(ISNUMBER(J42:Y42),J42:Y42))</f>
        <v>858575</v>
      </c>
      <c r="AD42" s="0">
        <f t="shared" si="13"/>
        <v>656375</v>
      </c>
    </row>
    <row r="43" spans="1:30" x14ac:dyDescent="0.2">
      <c r="A43" t="s" s="0">
        <v>3954</v>
      </c>
      <c r="B43" s="2">
        <v>894398</v>
      </c>
      <c r="C43" s="2">
        <v>21148</v>
      </c>
      <c r="D43" s="2">
        <v>49442</v>
      </c>
      <c r="E43" s="2">
        <v>46232</v>
      </c>
      <c r="F43" s="2">
        <v>60091</v>
      </c>
      <c r="G43" s="2">
        <v>46498</v>
      </c>
      <c r="I43" t="str" s="0">
        <f t="shared" si="1"/>
        <v>02/09</v>
      </c>
      <c r="J43" s="2">
        <f t="shared" si="2"/>
        <v>869850</v>
      </c>
      <c r="K43" s="2">
        <f t="shared" si="3"/>
        <v>1082346</v>
      </c>
      <c r="L43" s="2">
        <f t="shared" si="4"/>
        <v>1094042</v>
      </c>
      <c r="M43" s="2">
        <f t="shared" si="5"/>
        <v>1136932</v>
      </c>
      <c r="N43" s="2">
        <f t="shared" si="6"/>
        <v>1484106</v>
      </c>
      <c r="O43" s="2">
        <f t="shared" si="7"/>
        <v>1454200</v>
      </c>
      <c r="P43" s="2">
        <f t="shared" si="8"/>
        <v>1428361</v>
      </c>
      <c r="Q43" s="2">
        <f t="shared" si="9"/>
        <v>1359905</v>
      </c>
      <c r="R43" s="2">
        <f t="shared" si="10"/>
        <v>1533089</v>
      </c>
      <c r="S43" s="2">
        <f t="shared" si="11"/>
        <v>1451434</v>
      </c>
      <c r="T43" s="2">
        <f t="shared" si="12"/>
        <v>1572454</v>
      </c>
      <c r="U43" s="2" t="e">
        <f t="shared" si="14"/>
        <v>#N/A</v>
      </c>
      <c r="V43" s="2" t="e">
        <f t="shared" si="15"/>
        <v>#N/A</v>
      </c>
      <c r="W43" s="2" t="e">
        <f t="shared" si="16"/>
        <v>#N/A</v>
      </c>
      <c r="X43" s="2" t="e">
        <f t="shared" si="17"/>
        <v>#N/A</v>
      </c>
      <c r="Y43" s="2" t="e">
        <f t="shared" si="18"/>
        <v>#N/A</v>
      </c>
      <c r="Z43" s="0">
        <f t="shared" ca="1" si="20"/>
        <v>1445397.8</v>
      </c>
      <c r="AA43" s="0">
        <f t="shared" ca="1" si="19"/>
        <v>1289426.5</v>
      </c>
      <c r="AB43" cm="1" s="0">
        <f t="array" ref="AB43">MAX(IF(ISNUMBER(J43:Y43),J43:Y43))</f>
        <v>1572454</v>
      </c>
      <c r="AC43" cm="1" s="0">
        <f t="array" ref="AC43">MIN(IF(ISNUMBER(J43:Y43),J43:Y43))</f>
        <v>869850</v>
      </c>
      <c r="AD43" s="0">
        <f t="shared" si="13"/>
        <v>702604</v>
      </c>
    </row>
    <row r="44" spans="1:30" x14ac:dyDescent="0.2">
      <c r="A44" t="s" s="0">
        <v>3953</v>
      </c>
      <c r="B44" s="2">
        <v>934987</v>
      </c>
      <c r="C44" s="2">
        <v>39195</v>
      </c>
      <c r="D44" s="2">
        <v>48620</v>
      </c>
      <c r="E44" s="2">
        <v>45989</v>
      </c>
      <c r="F44" s="2">
        <v>64640</v>
      </c>
      <c r="G44" s="2">
        <v>49397</v>
      </c>
      <c r="I44" t="str" s="0">
        <f t="shared" si="1"/>
        <v>02/10</v>
      </c>
      <c r="J44" s="2">
        <f t="shared" si="2"/>
        <v>921854</v>
      </c>
      <c r="K44" s="2">
        <f t="shared" si="3"/>
        <v>1031501</v>
      </c>
      <c r="L44" s="2">
        <f t="shared" si="4"/>
        <v>1094042</v>
      </c>
      <c r="M44" s="2">
        <f t="shared" si="5"/>
        <v>1136932</v>
      </c>
      <c r="N44" s="2">
        <f t="shared" si="6"/>
        <v>1411390</v>
      </c>
      <c r="O44" s="2">
        <f t="shared" si="7"/>
        <v>1407333</v>
      </c>
      <c r="P44" s="2">
        <f t="shared" si="8"/>
        <v>1447784</v>
      </c>
      <c r="Q44" s="2">
        <f t="shared" si="9"/>
        <v>1336473</v>
      </c>
      <c r="R44" s="2">
        <f t="shared" si="10"/>
        <v>1533089</v>
      </c>
      <c r="S44" s="2">
        <f t="shared" si="11"/>
        <v>1451434</v>
      </c>
      <c r="T44" s="2">
        <f t="shared" si="12"/>
        <v>1563765</v>
      </c>
      <c r="U44" s="2" t="e">
        <f t="shared" si="14"/>
        <v>#N/A</v>
      </c>
      <c r="V44" s="2" t="e">
        <f t="shared" si="15"/>
        <v>#N/A</v>
      </c>
      <c r="W44" s="2" t="e">
        <f t="shared" si="16"/>
        <v>#N/A</v>
      </c>
      <c r="X44" s="2" t="e">
        <f t="shared" si="17"/>
        <v>#N/A</v>
      </c>
      <c r="Y44" s="2" t="e">
        <f t="shared" si="18"/>
        <v>#N/A</v>
      </c>
      <c r="Z44" s="0">
        <f t="shared" ca="1" si="20"/>
        <v>1435222.6</v>
      </c>
      <c r="AA44" s="0">
        <f t="shared" ca="1" si="19"/>
        <v>1277183.2</v>
      </c>
      <c r="AB44" cm="1" s="0">
        <f t="array" ref="AB44">MAX(IF(ISNUMBER(J44:Y44),J44:Y44))</f>
        <v>1563765</v>
      </c>
      <c r="AC44" cm="1" s="0">
        <f t="array" ref="AC44">MIN(IF(ISNUMBER(J44:Y44),J44:Y44))</f>
        <v>921854</v>
      </c>
      <c r="AD44" s="0">
        <f t="shared" si="13"/>
        <v>641911</v>
      </c>
    </row>
    <row r="45" spans="1:30" x14ac:dyDescent="0.2">
      <c r="A45" t="s" s="0">
        <v>3952</v>
      </c>
      <c r="B45" s="2">
        <v>918189</v>
      </c>
      <c r="C45" s="2">
        <v>36522</v>
      </c>
      <c r="D45" s="2">
        <v>49437</v>
      </c>
      <c r="E45" s="2">
        <v>46677</v>
      </c>
      <c r="F45" s="2">
        <v>62486</v>
      </c>
      <c r="G45" s="2">
        <v>48882</v>
      </c>
      <c r="I45" t="str" s="0">
        <f t="shared" si="1"/>
        <v>02/11</v>
      </c>
      <c r="J45" s="2">
        <f t="shared" si="2"/>
        <v>887053</v>
      </c>
      <c r="K45" s="2">
        <f t="shared" si="3"/>
        <v>1016923</v>
      </c>
      <c r="L45" s="2">
        <f t="shared" si="4"/>
        <v>1094042</v>
      </c>
      <c r="M45" s="2">
        <f t="shared" si="5"/>
        <v>1123449</v>
      </c>
      <c r="N45" s="2">
        <f t="shared" si="6"/>
        <v>1406389</v>
      </c>
      <c r="O45" s="2">
        <f t="shared" si="7"/>
        <v>1415630</v>
      </c>
      <c r="P45" s="2">
        <f t="shared" si="8"/>
        <v>1471610</v>
      </c>
      <c r="Q45" s="2">
        <f t="shared" si="9"/>
        <v>1336473</v>
      </c>
      <c r="R45" s="2">
        <f t="shared" si="10"/>
        <v>1533089</v>
      </c>
      <c r="S45" s="2">
        <f t="shared" si="11"/>
        <v>1405370</v>
      </c>
      <c r="T45" s="2">
        <f t="shared" si="12"/>
        <v>1592665</v>
      </c>
      <c r="U45" s="2" t="e">
        <f t="shared" si="14"/>
        <v>#N/A</v>
      </c>
      <c r="V45" s="2" t="e">
        <f t="shared" si="15"/>
        <v>#N/A</v>
      </c>
      <c r="W45" s="2" t="e">
        <f t="shared" si="16"/>
        <v>#N/A</v>
      </c>
      <c r="X45" s="2" t="e">
        <f t="shared" si="17"/>
        <v>#N/A</v>
      </c>
      <c r="Y45" s="2" t="e">
        <f t="shared" si="18"/>
        <v>#N/A</v>
      </c>
      <c r="Z45" s="0">
        <f t="shared" ca="1" si="20"/>
        <v>1432434.4</v>
      </c>
      <c r="AA45" s="0">
        <f t="shared" ca="1" si="19"/>
        <v>1269002.8</v>
      </c>
      <c r="AB45" cm="1" s="0">
        <f t="array" ref="AB45">MAX(IF(ISNUMBER(J45:Y45),J45:Y45))</f>
        <v>1592665</v>
      </c>
      <c r="AC45" cm="1" s="0">
        <f t="array" ref="AC45">MIN(IF(ISNUMBER(J45:Y45),J45:Y45))</f>
        <v>887053</v>
      </c>
      <c r="AD45" s="0">
        <f t="shared" si="13"/>
        <v>705612</v>
      </c>
    </row>
    <row r="46" spans="1:30" x14ac:dyDescent="0.2">
      <c r="A46" t="s" s="0">
        <v>3951</v>
      </c>
      <c r="B46" s="2">
        <v>936005</v>
      </c>
      <c r="C46" s="2">
        <v>42500</v>
      </c>
      <c r="D46" s="2">
        <v>49523</v>
      </c>
      <c r="E46" s="2">
        <v>46960</v>
      </c>
      <c r="F46" s="2">
        <v>59214</v>
      </c>
      <c r="G46" s="2">
        <v>49060</v>
      </c>
      <c r="I46" t="str" s="0">
        <f t="shared" si="1"/>
        <v>02/12</v>
      </c>
      <c r="J46" s="2">
        <f t="shared" si="2"/>
        <v>848064</v>
      </c>
      <c r="K46" s="2">
        <f t="shared" si="3"/>
        <v>1016923</v>
      </c>
      <c r="L46" s="2">
        <f t="shared" si="4"/>
        <v>1123264</v>
      </c>
      <c r="M46" s="2">
        <f t="shared" si="5"/>
        <v>1111623</v>
      </c>
      <c r="N46" s="2">
        <f t="shared" si="6"/>
        <v>1434696</v>
      </c>
      <c r="O46" s="2">
        <f t="shared" si="7"/>
        <v>1406338</v>
      </c>
      <c r="P46" s="2">
        <f t="shared" si="8"/>
        <v>1471610</v>
      </c>
      <c r="Q46" s="2">
        <f t="shared" si="9"/>
        <v>1336473</v>
      </c>
      <c r="R46" s="2">
        <f t="shared" si="10"/>
        <v>1495610</v>
      </c>
      <c r="S46" s="2">
        <f t="shared" si="11"/>
        <v>1451435</v>
      </c>
      <c r="T46" s="2">
        <f t="shared" si="12"/>
        <v>1569027</v>
      </c>
      <c r="U46" s="2" t="e">
        <f t="shared" si="14"/>
        <v>#N/A</v>
      </c>
      <c r="V46" s="2" t="e">
        <f t="shared" si="15"/>
        <v>#N/A</v>
      </c>
      <c r="W46" s="2" t="e">
        <f t="shared" si="16"/>
        <v>#N/A</v>
      </c>
      <c r="X46" s="2" t="e">
        <f t="shared" si="17"/>
        <v>#N/A</v>
      </c>
      <c r="Y46" s="2" t="e">
        <f t="shared" si="18"/>
        <v>#N/A</v>
      </c>
      <c r="Z46" s="0">
        <f t="shared" ca="1" si="20"/>
        <v>1432293.2</v>
      </c>
      <c r="AA46" s="0">
        <f t="shared" ca="1" si="19"/>
        <v>1269603.6000000001</v>
      </c>
      <c r="AB46" cm="1" s="0">
        <f t="array" ref="AB46">MAX(IF(ISNUMBER(J46:Y46),J46:Y46))</f>
        <v>1569027</v>
      </c>
      <c r="AC46" cm="1" s="0">
        <f t="array" ref="AC46">MIN(IF(ISNUMBER(J46:Y46),J46:Y46))</f>
        <v>848064</v>
      </c>
      <c r="AD46" s="0">
        <f t="shared" si="13"/>
        <v>720963</v>
      </c>
    </row>
    <row r="47" spans="1:30" x14ac:dyDescent="0.2">
      <c r="A47" t="s" s="0">
        <v>3950</v>
      </c>
      <c r="B47" s="2">
        <v>888190</v>
      </c>
      <c r="C47" s="2">
        <v>40247</v>
      </c>
      <c r="D47" s="2">
        <v>49225</v>
      </c>
      <c r="E47" s="2">
        <v>46831</v>
      </c>
      <c r="F47" s="2">
        <v>42243</v>
      </c>
      <c r="G47" s="2">
        <v>47473</v>
      </c>
      <c r="I47" t="str" s="0">
        <f t="shared" si="1"/>
        <v>02/13</v>
      </c>
      <c r="J47" s="2">
        <f t="shared" si="2"/>
        <v>848064</v>
      </c>
      <c r="K47" s="2">
        <f t="shared" si="3"/>
        <v>1016923</v>
      </c>
      <c r="L47" s="2">
        <f t="shared" si="4"/>
        <v>1121815</v>
      </c>
      <c r="M47" s="2">
        <f t="shared" si="5"/>
        <v>1227763</v>
      </c>
      <c r="N47" s="2">
        <f t="shared" si="6"/>
        <v>1447464</v>
      </c>
      <c r="O47" s="2">
        <f t="shared" si="7"/>
        <v>1373589</v>
      </c>
      <c r="P47" s="2">
        <f t="shared" si="8"/>
        <v>1471610</v>
      </c>
      <c r="Q47" s="2">
        <f t="shared" si="9"/>
        <v>1385320</v>
      </c>
      <c r="R47" s="2">
        <f t="shared" si="10"/>
        <v>1537837</v>
      </c>
      <c r="S47" s="2">
        <f t="shared" si="11"/>
        <v>1466649</v>
      </c>
      <c r="T47" s="2">
        <f t="shared" si="12"/>
        <v>1556346</v>
      </c>
      <c r="U47" s="2" t="e">
        <f t="shared" si="14"/>
        <v>#N/A</v>
      </c>
      <c r="V47" s="2" t="e">
        <f t="shared" si="15"/>
        <v>#N/A</v>
      </c>
      <c r="W47" s="2" t="e">
        <f t="shared" si="16"/>
        <v>#N/A</v>
      </c>
      <c r="X47" s="2" t="e">
        <f t="shared" si="17"/>
        <v>#N/A</v>
      </c>
      <c r="Y47" s="2" t="e">
        <f t="shared" si="18"/>
        <v>#N/A</v>
      </c>
      <c r="Z47" s="0">
        <f t="shared" ca="1" si="20"/>
        <v>1447001</v>
      </c>
      <c r="AA47" s="0">
        <f t="shared" ca="1" si="19"/>
        <v>1289703.3999999999</v>
      </c>
      <c r="AB47" cm="1" s="0">
        <f t="array" ref="AB47">MAX(IF(ISNUMBER(J47:Y47),J47:Y47))</f>
        <v>1556346</v>
      </c>
      <c r="AC47" cm="1" s="0">
        <f t="array" ref="AC47">MIN(IF(ISNUMBER(J47:Y47),J47:Y47))</f>
        <v>848064</v>
      </c>
      <c r="AD47" s="0">
        <f t="shared" si="13"/>
        <v>708282</v>
      </c>
    </row>
    <row r="48" spans="1:30" x14ac:dyDescent="0.2">
      <c r="A48" t="s" s="0">
        <v>3949</v>
      </c>
      <c r="B48" s="3">
        <v>888190</v>
      </c>
      <c r="C48" s="3">
        <v>40247</v>
      </c>
      <c r="D48" s="3">
        <v>49225</v>
      </c>
      <c r="E48" s="3">
        <v>46831</v>
      </c>
      <c r="F48" s="3">
        <v>42243</v>
      </c>
      <c r="G48" s="3">
        <v>47473</v>
      </c>
      <c r="I48" t="str" s="0">
        <f t="shared" si="1"/>
        <v>02/14</v>
      </c>
      <c r="J48" s="2">
        <f t="shared" si="2"/>
        <v>848064</v>
      </c>
      <c r="K48" s="2">
        <f t="shared" si="3"/>
        <v>966146</v>
      </c>
      <c r="L48" s="2">
        <f t="shared" si="4"/>
        <v>1080975</v>
      </c>
      <c r="M48" s="2">
        <f t="shared" si="5"/>
        <v>1248006</v>
      </c>
      <c r="N48" s="2">
        <f t="shared" si="6"/>
        <v>1474292</v>
      </c>
      <c r="O48" s="2">
        <f t="shared" si="7"/>
        <v>1373589</v>
      </c>
      <c r="P48" s="2">
        <f t="shared" si="8"/>
        <v>1471221</v>
      </c>
      <c r="Q48" s="2">
        <f t="shared" si="9"/>
        <v>1378613</v>
      </c>
      <c r="R48" s="2">
        <f t="shared" si="10"/>
        <v>1507143</v>
      </c>
      <c r="S48" s="2">
        <f t="shared" si="11"/>
        <v>1488904</v>
      </c>
      <c r="T48" s="2">
        <f t="shared" si="12"/>
        <v>1556346</v>
      </c>
      <c r="U48" s="2" t="e">
        <f t="shared" si="14"/>
        <v>#N/A</v>
      </c>
      <c r="V48" s="2" t="e">
        <f t="shared" si="15"/>
        <v>#N/A</v>
      </c>
      <c r="W48" s="2" t="e">
        <f t="shared" si="16"/>
        <v>#N/A</v>
      </c>
      <c r="X48" s="2" t="e">
        <f t="shared" si="17"/>
        <v>#N/A</v>
      </c>
      <c r="Y48" s="2" t="e">
        <f t="shared" si="18"/>
        <v>#N/A</v>
      </c>
      <c r="Z48" s="0">
        <f t="shared" ca="1" si="20"/>
        <v>1443894</v>
      </c>
      <c r="AA48" s="0">
        <f t="shared" ca="1" si="19"/>
        <v>1283695.3</v>
      </c>
      <c r="AB48" cm="1" s="0">
        <f t="array" ref="AB48">MAX(IF(ISNUMBER(J48:Y48),J48:Y48))</f>
        <v>1556346</v>
      </c>
      <c r="AC48" cm="1" s="0">
        <f t="array" ref="AC48">MIN(IF(ISNUMBER(J48:Y48),J48:Y48))</f>
        <v>848064</v>
      </c>
      <c r="AD48" s="0">
        <f t="shared" si="13"/>
        <v>708282</v>
      </c>
    </row>
    <row r="49" spans="1:30" x14ac:dyDescent="0.2">
      <c r="A49" t="s" s="0">
        <v>3948</v>
      </c>
      <c r="B49" s="3">
        <v>888190</v>
      </c>
      <c r="C49" s="3">
        <v>40247</v>
      </c>
      <c r="D49" s="3">
        <v>49225</v>
      </c>
      <c r="E49" s="3">
        <v>46831</v>
      </c>
      <c r="F49" s="3">
        <v>42243</v>
      </c>
      <c r="G49" s="3">
        <v>47473</v>
      </c>
      <c r="I49" t="str" s="0">
        <f t="shared" si="1"/>
        <v>02/15</v>
      </c>
      <c r="J49" s="2">
        <f t="shared" si="2"/>
        <v>777948</v>
      </c>
      <c r="K49" s="2">
        <f t="shared" si="3"/>
        <v>975294</v>
      </c>
      <c r="L49" s="2">
        <f t="shared" si="4"/>
        <v>1069460</v>
      </c>
      <c r="M49" s="2">
        <f t="shared" si="5"/>
        <v>1239553</v>
      </c>
      <c r="N49" s="2">
        <f t="shared" si="6"/>
        <v>1474292</v>
      </c>
      <c r="O49" s="2">
        <f t="shared" si="7"/>
        <v>1373589</v>
      </c>
      <c r="P49" s="2">
        <f t="shared" si="8"/>
        <v>1547839</v>
      </c>
      <c r="Q49" s="2">
        <f t="shared" si="9"/>
        <v>1318099</v>
      </c>
      <c r="R49" s="2">
        <f t="shared" si="10"/>
        <v>1489569</v>
      </c>
      <c r="S49" s="2">
        <f t="shared" si="11"/>
        <v>1456862</v>
      </c>
      <c r="T49" s="2">
        <f t="shared" si="12"/>
        <v>1556346</v>
      </c>
      <c r="U49" s="2" t="e">
        <f t="shared" si="14"/>
        <v>#N/A</v>
      </c>
      <c r="V49" s="2" t="e">
        <f t="shared" si="15"/>
        <v>#N/A</v>
      </c>
      <c r="W49" s="2" t="e">
        <f t="shared" si="16"/>
        <v>#N/A</v>
      </c>
      <c r="X49" s="2" t="e">
        <f t="shared" si="17"/>
        <v>#N/A</v>
      </c>
      <c r="Y49" s="2" t="e">
        <f t="shared" si="18"/>
        <v>#N/A</v>
      </c>
      <c r="Z49" s="0">
        <f t="shared" ca="1" si="20"/>
        <v>1437191.6</v>
      </c>
      <c r="AA49" s="0">
        <f t="shared" ca="1" si="19"/>
        <v>1272250.5</v>
      </c>
      <c r="AB49" cm="1" s="0">
        <f t="array" ref="AB49">MAX(IF(ISNUMBER(J49:Y49),J49:Y49))</f>
        <v>1556346</v>
      </c>
      <c r="AC49" cm="1" s="0">
        <f t="array" ref="AC49">MIN(IF(ISNUMBER(J49:Y49),J49:Y49))</f>
        <v>777948</v>
      </c>
      <c r="AD49" s="0">
        <f t="shared" si="13"/>
        <v>778398</v>
      </c>
    </row>
    <row r="50" spans="1:30" x14ac:dyDescent="0.2">
      <c r="A50" t="s" s="0">
        <v>3947</v>
      </c>
      <c r="B50" s="2">
        <v>833236</v>
      </c>
      <c r="C50" s="2">
        <v>22312</v>
      </c>
      <c r="D50" s="2">
        <v>41971</v>
      </c>
      <c r="E50" s="2">
        <v>45991</v>
      </c>
      <c r="F50" s="2">
        <v>33182</v>
      </c>
      <c r="G50" s="2">
        <v>41592</v>
      </c>
      <c r="I50" t="str" s="0">
        <f t="shared" si="1"/>
        <v>02/16</v>
      </c>
      <c r="J50" s="2">
        <f t="shared" si="2"/>
        <v>750142</v>
      </c>
      <c r="K50" s="2">
        <f t="shared" si="3"/>
        <v>985150</v>
      </c>
      <c r="L50" s="2">
        <f t="shared" si="4"/>
        <v>1091921</v>
      </c>
      <c r="M50" s="2">
        <f t="shared" si="5"/>
        <v>1239553</v>
      </c>
      <c r="N50" s="2">
        <f t="shared" si="6"/>
        <v>1474292</v>
      </c>
      <c r="O50" s="2">
        <f t="shared" si="7"/>
        <v>1344447</v>
      </c>
      <c r="P50" s="2">
        <f t="shared" si="8"/>
        <v>1504716</v>
      </c>
      <c r="Q50" s="2">
        <f t="shared" si="9"/>
        <v>1335222</v>
      </c>
      <c r="R50" s="2">
        <f t="shared" si="10"/>
        <v>1486205</v>
      </c>
      <c r="S50" s="2">
        <f t="shared" si="11"/>
        <v>1456862</v>
      </c>
      <c r="T50" s="2">
        <f t="shared" si="12"/>
        <v>1561771</v>
      </c>
      <c r="U50" s="2" t="e">
        <f t="shared" si="14"/>
        <v>#N/A</v>
      </c>
      <c r="V50" s="2" t="e">
        <f t="shared" si="15"/>
        <v>#N/A</v>
      </c>
      <c r="W50" s="2" t="e">
        <f t="shared" si="16"/>
        <v>#N/A</v>
      </c>
      <c r="X50" s="2" t="e">
        <f t="shared" si="17"/>
        <v>#N/A</v>
      </c>
      <c r="Y50" s="2" t="e">
        <f t="shared" si="18"/>
        <v>#N/A</v>
      </c>
      <c r="Z50" s="0">
        <f t="shared" ca="1" si="20"/>
        <v>1425490.4</v>
      </c>
      <c r="AA50" s="0">
        <f t="shared" ca="1" si="19"/>
        <v>1266851</v>
      </c>
      <c r="AB50" cm="1" s="0">
        <f t="array" ref="AB50">MAX(IF(ISNUMBER(J50:Y50),J50:Y50))</f>
        <v>1561771</v>
      </c>
      <c r="AC50" cm="1" s="0">
        <f t="array" ref="AC50">MIN(IF(ISNUMBER(J50:Y50),J50:Y50))</f>
        <v>750142</v>
      </c>
      <c r="AD50" s="0">
        <f t="shared" si="13"/>
        <v>811629</v>
      </c>
    </row>
    <row r="51" spans="1:30" x14ac:dyDescent="0.2">
      <c r="A51" t="s" s="0">
        <v>3946</v>
      </c>
      <c r="B51" s="2">
        <v>851530</v>
      </c>
      <c r="C51" s="2">
        <v>35955</v>
      </c>
      <c r="D51" s="2">
        <v>42330</v>
      </c>
      <c r="E51" s="2">
        <v>45390</v>
      </c>
      <c r="F51" s="2">
        <v>30355</v>
      </c>
      <c r="G51" s="2">
        <v>41553</v>
      </c>
      <c r="I51" t="str" s="0">
        <f t="shared" si="1"/>
        <v>02/17</v>
      </c>
      <c r="J51" s="2">
        <f t="shared" si="2"/>
        <v>812361</v>
      </c>
      <c r="K51" s="2">
        <f t="shared" si="3"/>
        <v>942048</v>
      </c>
      <c r="L51" s="2">
        <f t="shared" si="4"/>
        <v>1091921</v>
      </c>
      <c r="M51" s="2">
        <f t="shared" si="5"/>
        <v>1239553</v>
      </c>
      <c r="N51" s="2">
        <f t="shared" si="6"/>
        <v>1419524</v>
      </c>
      <c r="O51" s="2">
        <f t="shared" si="7"/>
        <v>1327266</v>
      </c>
      <c r="P51" s="2">
        <f t="shared" si="8"/>
        <v>1489299</v>
      </c>
      <c r="Q51" s="2">
        <f t="shared" si="9"/>
        <v>1364291</v>
      </c>
      <c r="R51" s="2">
        <f t="shared" si="10"/>
        <v>1486205</v>
      </c>
      <c r="S51" s="2">
        <f t="shared" si="11"/>
        <v>1456862</v>
      </c>
      <c r="T51" s="2">
        <f t="shared" si="12"/>
        <v>1627571</v>
      </c>
      <c r="U51" s="2" t="e">
        <f t="shared" si="14"/>
        <v>#N/A</v>
      </c>
      <c r="V51" s="2" t="e">
        <f t="shared" si="15"/>
        <v>#N/A</v>
      </c>
      <c r="W51" s="2" t="e">
        <f t="shared" si="16"/>
        <v>#N/A</v>
      </c>
      <c r="X51" s="2" t="e">
        <f t="shared" si="17"/>
        <v>#N/A</v>
      </c>
      <c r="Y51" s="2" t="e">
        <f t="shared" si="18"/>
        <v>#N/A</v>
      </c>
      <c r="Z51" s="0">
        <f t="shared" ca="1" si="20"/>
        <v>1424784.6</v>
      </c>
      <c r="AA51" s="0">
        <f t="shared" ca="1" si="19"/>
        <v>1262933</v>
      </c>
      <c r="AB51" cm="1" s="0">
        <f t="array" ref="AB51">MAX(IF(ISNUMBER(J51:Y51),J51:Y51))</f>
        <v>1627571</v>
      </c>
      <c r="AC51" cm="1" s="0">
        <f t="array" ref="AC51">MIN(IF(ISNUMBER(J51:Y51),J51:Y51))</f>
        <v>812361</v>
      </c>
      <c r="AD51" s="0">
        <f t="shared" si="13"/>
        <v>815210</v>
      </c>
    </row>
    <row r="52" spans="1:30" x14ac:dyDescent="0.2">
      <c r="A52" t="s" s="0">
        <v>3945</v>
      </c>
      <c r="B52" s="2">
        <v>950273</v>
      </c>
      <c r="C52" s="2">
        <v>40793</v>
      </c>
      <c r="D52" s="2">
        <v>42202</v>
      </c>
      <c r="E52" s="2">
        <v>45176</v>
      </c>
      <c r="F52" s="2">
        <v>46733</v>
      </c>
      <c r="G52" s="2">
        <v>46892</v>
      </c>
      <c r="I52" t="str" s="0">
        <f t="shared" si="1"/>
        <v>02/18</v>
      </c>
      <c r="J52" s="2">
        <f t="shared" si="2"/>
        <v>798452</v>
      </c>
      <c r="K52" s="2">
        <f t="shared" si="3"/>
        <v>913990</v>
      </c>
      <c r="L52" s="2">
        <f t="shared" si="4"/>
        <v>1091921</v>
      </c>
      <c r="M52" s="2">
        <f t="shared" si="5"/>
        <v>1355557</v>
      </c>
      <c r="N52" s="2">
        <f t="shared" si="6"/>
        <v>1408939</v>
      </c>
      <c r="O52" s="2">
        <f t="shared" si="7"/>
        <v>1374909</v>
      </c>
      <c r="P52" s="2">
        <f t="shared" si="8"/>
        <v>1513911</v>
      </c>
      <c r="Q52" s="2">
        <f t="shared" si="9"/>
        <v>1364291</v>
      </c>
      <c r="R52" s="2">
        <f t="shared" si="10"/>
        <v>1486205</v>
      </c>
      <c r="S52" s="2">
        <f t="shared" si="11"/>
        <v>1494237</v>
      </c>
      <c r="T52" s="2">
        <f t="shared" si="12"/>
        <v>1590641</v>
      </c>
      <c r="U52" s="2" t="e">
        <f t="shared" si="14"/>
        <v>#N/A</v>
      </c>
      <c r="V52" s="2" t="e">
        <f t="shared" si="15"/>
        <v>#N/A</v>
      </c>
      <c r="W52" s="2" t="e">
        <f t="shared" si="16"/>
        <v>#N/A</v>
      </c>
      <c r="X52" s="2" t="e">
        <f t="shared" si="17"/>
        <v>#N/A</v>
      </c>
      <c r="Y52" s="2" t="e">
        <f t="shared" si="18"/>
        <v>#N/A</v>
      </c>
      <c r="Z52" s="0">
        <f t="shared" ca="1" si="20"/>
        <v>1446710.6</v>
      </c>
      <c r="AA52" s="0">
        <f t="shared" ca="1" si="19"/>
        <v>1280241.2</v>
      </c>
      <c r="AB52" cm="1" s="0">
        <f t="array" ref="AB52">MAX(IF(ISNUMBER(J52:Y52),J52:Y52))</f>
        <v>1590641</v>
      </c>
      <c r="AC52" cm="1" s="0">
        <f t="array" ref="AC52">MIN(IF(ISNUMBER(J52:Y52),J52:Y52))</f>
        <v>798452</v>
      </c>
      <c r="AD52" s="0">
        <f t="shared" si="13"/>
        <v>792189</v>
      </c>
    </row>
    <row r="53" spans="1:30" x14ac:dyDescent="0.2">
      <c r="A53" t="s" s="0">
        <v>3944</v>
      </c>
      <c r="B53" s="2">
        <v>950641</v>
      </c>
      <c r="C53" s="2">
        <v>38541</v>
      </c>
      <c r="D53" s="2">
        <v>41798</v>
      </c>
      <c r="E53" s="2">
        <v>45169</v>
      </c>
      <c r="F53" s="2">
        <v>43837</v>
      </c>
      <c r="G53" s="2">
        <v>48667</v>
      </c>
      <c r="I53" t="str" s="0">
        <f t="shared" si="1"/>
        <v>02/19</v>
      </c>
      <c r="J53" s="2">
        <f t="shared" si="2"/>
        <v>855449</v>
      </c>
      <c r="K53" s="2">
        <f t="shared" si="3"/>
        <v>913990</v>
      </c>
      <c r="L53" s="2">
        <f t="shared" si="4"/>
        <v>1058537</v>
      </c>
      <c r="M53" s="2">
        <f t="shared" si="5"/>
        <v>1319336</v>
      </c>
      <c r="N53" s="2">
        <f t="shared" si="6"/>
        <v>1372846</v>
      </c>
      <c r="O53" s="2">
        <f t="shared" si="7"/>
        <v>1359806</v>
      </c>
      <c r="P53" s="2">
        <f t="shared" si="8"/>
        <v>1513911</v>
      </c>
      <c r="Q53" s="2">
        <f t="shared" si="9"/>
        <v>1364291</v>
      </c>
      <c r="R53" s="2">
        <f t="shared" si="10"/>
        <v>1514688</v>
      </c>
      <c r="S53" s="2">
        <f t="shared" si="11"/>
        <v>1497395</v>
      </c>
      <c r="T53" s="2">
        <f t="shared" si="12"/>
        <v>1567252</v>
      </c>
      <c r="U53" s="2" t="e">
        <f t="shared" si="14"/>
        <v>#N/A</v>
      </c>
      <c r="V53" s="2" t="e">
        <f t="shared" si="15"/>
        <v>#N/A</v>
      </c>
      <c r="W53" s="2" t="e">
        <f t="shared" si="16"/>
        <v>#N/A</v>
      </c>
      <c r="X53" s="2" t="e">
        <f t="shared" si="17"/>
        <v>#N/A</v>
      </c>
      <c r="Y53" s="2" t="e">
        <f t="shared" si="18"/>
        <v>#N/A</v>
      </c>
      <c r="Z53" s="0">
        <f t="shared" ca="1" si="20"/>
        <v>1450018.2</v>
      </c>
      <c r="AA53" s="0">
        <f t="shared" ca="1" si="19"/>
        <v>1277024.8999999999</v>
      </c>
      <c r="AB53" cm="1" s="0">
        <f t="array" ref="AB53">MAX(IF(ISNUMBER(J53:Y53),J53:Y53))</f>
        <v>1567252</v>
      </c>
      <c r="AC53" cm="1" s="0">
        <f t="array" ref="AC53">MIN(IF(ISNUMBER(J53:Y53),J53:Y53))</f>
        <v>855449</v>
      </c>
      <c r="AD53" s="0">
        <f t="shared" si="13"/>
        <v>711803</v>
      </c>
    </row>
    <row r="54" spans="1:30" x14ac:dyDescent="0.2">
      <c r="A54" t="s" s="0">
        <v>3943</v>
      </c>
      <c r="B54" s="2">
        <v>900737</v>
      </c>
      <c r="C54" s="2">
        <v>39089</v>
      </c>
      <c r="D54" s="2">
        <v>42957</v>
      </c>
      <c r="E54" s="2">
        <v>45331</v>
      </c>
      <c r="F54" s="2">
        <v>44729</v>
      </c>
      <c r="G54" s="2">
        <v>48636</v>
      </c>
      <c r="I54" t="str" s="0">
        <f t="shared" si="1"/>
        <v>02/20</v>
      </c>
      <c r="J54" s="2">
        <f t="shared" si="2"/>
        <v>855449</v>
      </c>
      <c r="K54" s="2">
        <f t="shared" si="3"/>
        <v>913990</v>
      </c>
      <c r="L54" s="2">
        <f t="shared" si="4"/>
        <v>1077635</v>
      </c>
      <c r="M54" s="2">
        <f t="shared" si="5"/>
        <v>1285895</v>
      </c>
      <c r="N54" s="2">
        <f t="shared" si="6"/>
        <v>1379851</v>
      </c>
      <c r="O54" s="2">
        <f t="shared" si="7"/>
        <v>1354244</v>
      </c>
      <c r="P54" s="2">
        <f t="shared" si="8"/>
        <v>1513911</v>
      </c>
      <c r="Q54" s="2">
        <f t="shared" si="9"/>
        <v>1440814</v>
      </c>
      <c r="R54" s="2">
        <f t="shared" si="10"/>
        <v>1494188</v>
      </c>
      <c r="S54" s="2">
        <f t="shared" si="11"/>
        <v>1514752</v>
      </c>
      <c r="T54" s="2">
        <f t="shared" si="12"/>
        <v>1632447</v>
      </c>
      <c r="U54" s="2" t="e">
        <f t="shared" si="14"/>
        <v>#N/A</v>
      </c>
      <c r="V54" s="2" t="e">
        <f t="shared" si="15"/>
        <v>#N/A</v>
      </c>
      <c r="W54" s="2" t="e">
        <f t="shared" si="16"/>
        <v>#N/A</v>
      </c>
      <c r="X54" s="2" t="e">
        <f t="shared" si="17"/>
        <v>#N/A</v>
      </c>
      <c r="Y54" s="2" t="e">
        <f t="shared" si="18"/>
        <v>#N/A</v>
      </c>
      <c r="Z54" s="0">
        <f t="shared" ca="1" si="20"/>
        <v>1463581.8</v>
      </c>
      <c r="AA54" s="0">
        <f t="shared" ca="1" si="19"/>
        <v>1283072.8999999999</v>
      </c>
      <c r="AB54" cm="1" s="0">
        <f t="array" ref="AB54">MAX(IF(ISNUMBER(J54:Y54),J54:Y54))</f>
        <v>1632447</v>
      </c>
      <c r="AC54" cm="1" s="0">
        <f t="array" ref="AC54">MIN(IF(ISNUMBER(J54:Y54),J54:Y54))</f>
        <v>855449</v>
      </c>
      <c r="AD54" s="0">
        <f t="shared" si="13"/>
        <v>776998</v>
      </c>
    </row>
    <row r="55" spans="1:30" x14ac:dyDescent="0.2">
      <c r="A55" t="s" s="0">
        <v>3942</v>
      </c>
      <c r="B55" s="3">
        <v>900737</v>
      </c>
      <c r="C55" s="3">
        <v>39089</v>
      </c>
      <c r="D55" s="3">
        <v>42957</v>
      </c>
      <c r="E55" s="3">
        <v>45331</v>
      </c>
      <c r="F55" s="3">
        <v>44729</v>
      </c>
      <c r="G55" s="3">
        <v>48636</v>
      </c>
      <c r="I55" t="str" s="0">
        <f t="shared" si="1"/>
        <v>02/21</v>
      </c>
      <c r="J55" s="2">
        <f t="shared" si="2"/>
        <v>855449</v>
      </c>
      <c r="K55" s="2">
        <f t="shared" si="3"/>
        <v>895352</v>
      </c>
      <c r="L55" s="2">
        <f t="shared" si="4"/>
        <v>1066741</v>
      </c>
      <c r="M55" s="2">
        <f t="shared" si="5"/>
        <v>1279779</v>
      </c>
      <c r="N55" s="2">
        <f t="shared" si="6"/>
        <v>1336229</v>
      </c>
      <c r="O55" s="2">
        <f t="shared" si="7"/>
        <v>1354244</v>
      </c>
      <c r="P55" s="2">
        <f t="shared" si="8"/>
        <v>1418685</v>
      </c>
      <c r="Q55" s="2">
        <f t="shared" si="9"/>
        <v>1432249</v>
      </c>
      <c r="R55" s="2">
        <f t="shared" si="10"/>
        <v>1455767</v>
      </c>
      <c r="S55" s="2">
        <f t="shared" si="11"/>
        <v>1472672</v>
      </c>
      <c r="T55" s="2">
        <f t="shared" si="12"/>
        <v>1632447</v>
      </c>
      <c r="U55" s="2" t="e">
        <f t="shared" si="14"/>
        <v>#N/A</v>
      </c>
      <c r="V55" s="2" t="e">
        <f t="shared" si="15"/>
        <v>#N/A</v>
      </c>
      <c r="W55" s="2" t="e">
        <f t="shared" si="16"/>
        <v>#N/A</v>
      </c>
      <c r="X55" s="2" t="e">
        <f t="shared" si="17"/>
        <v>#N/A</v>
      </c>
      <c r="Y55" s="2" t="e">
        <f t="shared" si="18"/>
        <v>#N/A</v>
      </c>
      <c r="Z55" s="0">
        <f t="shared" ca="1" si="20"/>
        <v>1426723.4</v>
      </c>
      <c r="AA55" s="0">
        <f t="shared" ca="1" si="19"/>
        <v>1256716.7</v>
      </c>
      <c r="AB55" cm="1" s="0">
        <f t="array" ref="AB55">MAX(IF(ISNUMBER(J55:Y55),J55:Y55))</f>
        <v>1632447</v>
      </c>
      <c r="AC55" cm="1" s="0">
        <f t="array" ref="AC55">MIN(IF(ISNUMBER(J55:Y55),J55:Y55))</f>
        <v>855449</v>
      </c>
      <c r="AD55" s="0">
        <f t="shared" si="13"/>
        <v>776998</v>
      </c>
    </row>
    <row r="56" spans="1:30" x14ac:dyDescent="0.2">
      <c r="A56" t="s" s="0">
        <v>3941</v>
      </c>
      <c r="B56" s="3">
        <v>900737</v>
      </c>
      <c r="C56" s="3">
        <v>39089</v>
      </c>
      <c r="D56" s="3">
        <v>42957</v>
      </c>
      <c r="E56" s="3">
        <v>45331</v>
      </c>
      <c r="F56" s="3">
        <v>44729</v>
      </c>
      <c r="G56" s="3">
        <v>48636</v>
      </c>
      <c r="I56" t="str" s="0">
        <f t="shared" si="1"/>
        <v>02/22</v>
      </c>
      <c r="J56" s="2">
        <f t="shared" si="2"/>
        <v>831312</v>
      </c>
      <c r="K56" s="2">
        <f t="shared" si="3"/>
        <v>913902</v>
      </c>
      <c r="L56" s="2">
        <f t="shared" si="4"/>
        <v>1052388</v>
      </c>
      <c r="M56" s="2">
        <f t="shared" si="5"/>
        <v>1358304</v>
      </c>
      <c r="N56" s="2">
        <f t="shared" si="6"/>
        <v>1336229</v>
      </c>
      <c r="O56" s="2">
        <f t="shared" si="7"/>
        <v>1354244</v>
      </c>
      <c r="P56" s="2">
        <f t="shared" si="8"/>
        <v>1372053</v>
      </c>
      <c r="Q56" s="2">
        <f t="shared" si="9"/>
        <v>1376736</v>
      </c>
      <c r="R56" s="2">
        <f t="shared" si="10"/>
        <v>1474056</v>
      </c>
      <c r="S56" s="2">
        <f t="shared" si="11"/>
        <v>1454415</v>
      </c>
      <c r="T56" s="2">
        <f t="shared" si="12"/>
        <v>1632447</v>
      </c>
      <c r="U56" s="2" t="e">
        <f t="shared" si="14"/>
        <v>#N/A</v>
      </c>
      <c r="V56" s="2" t="e">
        <f t="shared" si="15"/>
        <v>#N/A</v>
      </c>
      <c r="W56" s="2" t="e">
        <f t="shared" si="16"/>
        <v>#N/A</v>
      </c>
      <c r="X56" s="2" t="e">
        <f t="shared" si="17"/>
        <v>#N/A</v>
      </c>
      <c r="Y56" s="2" t="e">
        <f t="shared" si="18"/>
        <v>#N/A</v>
      </c>
      <c r="Z56" s="0">
        <f t="shared" ca="1" si="20"/>
        <v>1406300.8</v>
      </c>
      <c r="AA56" s="0">
        <f t="shared" ca="1" si="19"/>
        <v>1252363.8999999999</v>
      </c>
      <c r="AB56" cm="1" s="0">
        <f t="array" ref="AB56">MAX(IF(ISNUMBER(J56:Y56),J56:Y56))</f>
        <v>1632447</v>
      </c>
      <c r="AC56" cm="1" s="0">
        <f t="array" ref="AC56">MIN(IF(ISNUMBER(J56:Y56),J56:Y56))</f>
        <v>831312</v>
      </c>
      <c r="AD56" s="0">
        <f t="shared" si="13"/>
        <v>801135</v>
      </c>
    </row>
    <row r="57" spans="1:30" x14ac:dyDescent="0.2">
      <c r="A57" t="s" s="0">
        <v>3940</v>
      </c>
      <c r="B57" s="2">
        <v>877851</v>
      </c>
      <c r="C57" s="2">
        <v>23349</v>
      </c>
      <c r="D57" s="2">
        <v>47640</v>
      </c>
      <c r="E57" s="2">
        <v>45849</v>
      </c>
      <c r="F57" s="2">
        <v>53993</v>
      </c>
      <c r="G57" s="2">
        <v>46672</v>
      </c>
      <c r="I57" t="str" s="0">
        <f t="shared" si="1"/>
        <v>02/23</v>
      </c>
      <c r="J57" s="2">
        <f t="shared" si="2"/>
        <v>829753</v>
      </c>
      <c r="K57" s="2">
        <f t="shared" si="3"/>
        <v>984117</v>
      </c>
      <c r="L57" s="2">
        <f t="shared" si="4"/>
        <v>999460</v>
      </c>
      <c r="M57" s="2">
        <f t="shared" si="5"/>
        <v>1358304</v>
      </c>
      <c r="N57" s="2">
        <f t="shared" si="6"/>
        <v>1336229</v>
      </c>
      <c r="O57" s="2">
        <f t="shared" si="7"/>
        <v>1275586</v>
      </c>
      <c r="P57" s="2">
        <f t="shared" si="8"/>
        <v>1327017</v>
      </c>
      <c r="Q57" s="2">
        <f t="shared" si="9"/>
        <v>1395379</v>
      </c>
      <c r="R57" s="2">
        <f t="shared" si="10"/>
        <v>1434282</v>
      </c>
      <c r="S57" s="2">
        <f t="shared" si="11"/>
        <v>1454415</v>
      </c>
      <c r="T57" s="2">
        <f t="shared" si="12"/>
        <v>1629661</v>
      </c>
      <c r="U57" s="2" t="e">
        <f t="shared" si="14"/>
        <v>#N/A</v>
      </c>
      <c r="V57" s="2" t="e">
        <f t="shared" si="15"/>
        <v>#N/A</v>
      </c>
      <c r="W57" s="2" t="e">
        <f t="shared" si="16"/>
        <v>#N/A</v>
      </c>
      <c r="X57" s="2" t="e">
        <f t="shared" si="17"/>
        <v>#N/A</v>
      </c>
      <c r="Y57" s="2" t="e">
        <f t="shared" si="18"/>
        <v>#N/A</v>
      </c>
      <c r="Z57" s="0">
        <f t="shared" ca="1" si="20"/>
        <v>1377335.8</v>
      </c>
      <c r="AA57" s="0">
        <f t="shared" ca="1" si="19"/>
        <v>1239454.2</v>
      </c>
      <c r="AB57" cm="1" s="0">
        <f t="array" ref="AB57">MAX(IF(ISNUMBER(J57:Y57),J57:Y57))</f>
        <v>1629661</v>
      </c>
      <c r="AC57" cm="1" s="0">
        <f t="array" ref="AC57">MIN(IF(ISNUMBER(J57:Y57),J57:Y57))</f>
        <v>829753</v>
      </c>
      <c r="AD57" s="0">
        <f t="shared" si="13"/>
        <v>799908</v>
      </c>
    </row>
    <row r="58" spans="1:30" x14ac:dyDescent="0.2">
      <c r="A58" t="s" s="0">
        <v>3939</v>
      </c>
      <c r="B58" s="2">
        <v>928302</v>
      </c>
      <c r="C58" s="2">
        <v>40765</v>
      </c>
      <c r="D58" s="2">
        <v>47505</v>
      </c>
      <c r="E58" s="2">
        <v>45587</v>
      </c>
      <c r="F58" s="2">
        <v>58453</v>
      </c>
      <c r="G58" s="2">
        <v>48204</v>
      </c>
      <c r="I58" t="str" s="0">
        <f t="shared" si="1"/>
        <v>02/24</v>
      </c>
      <c r="J58" s="2">
        <f t="shared" si="2"/>
        <v>848284</v>
      </c>
      <c r="K58" s="2">
        <f t="shared" si="3"/>
        <v>940770</v>
      </c>
      <c r="L58" s="2">
        <f t="shared" si="4"/>
        <v>999460</v>
      </c>
      <c r="M58" s="2">
        <f t="shared" si="5"/>
        <v>1358304</v>
      </c>
      <c r="N58" s="2">
        <f t="shared" si="6"/>
        <v>1287140</v>
      </c>
      <c r="O58" s="2">
        <f t="shared" si="7"/>
        <v>1233781</v>
      </c>
      <c r="P58" s="2">
        <f t="shared" si="8"/>
        <v>1276305</v>
      </c>
      <c r="Q58" s="2">
        <f t="shared" si="9"/>
        <v>1385036</v>
      </c>
      <c r="R58" s="2">
        <f t="shared" si="10"/>
        <v>1434282</v>
      </c>
      <c r="S58" s="2">
        <f t="shared" si="11"/>
        <v>1454415</v>
      </c>
      <c r="T58" s="2">
        <f t="shared" si="12"/>
        <v>1639033</v>
      </c>
      <c r="U58" s="2" t="e">
        <f t="shared" si="14"/>
        <v>#N/A</v>
      </c>
      <c r="V58" s="2" t="e">
        <f t="shared" si="15"/>
        <v>#N/A</v>
      </c>
      <c r="W58" s="2" t="e">
        <f t="shared" si="16"/>
        <v>#N/A</v>
      </c>
      <c r="X58" s="2" t="e">
        <f t="shared" si="17"/>
        <v>#N/A</v>
      </c>
      <c r="Y58" s="2" t="e">
        <f t="shared" si="18"/>
        <v>#N/A</v>
      </c>
      <c r="Z58" s="0">
        <f t="shared" ca="1" si="20"/>
        <v>1356763.8</v>
      </c>
      <c r="AA58" s="0">
        <f t="shared" ca="1" si="19"/>
        <v>1221777.7</v>
      </c>
      <c r="AB58" cm="1" s="0">
        <f t="array" ref="AB58">MAX(IF(ISNUMBER(J58:Y58),J58:Y58))</f>
        <v>1639033</v>
      </c>
      <c r="AC58" cm="1" s="0">
        <f t="array" ref="AC58">MIN(IF(ISNUMBER(J58:Y58),J58:Y58))</f>
        <v>848284</v>
      </c>
      <c r="AD58" s="0">
        <f t="shared" si="13"/>
        <v>790749</v>
      </c>
    </row>
    <row r="59" spans="1:30" x14ac:dyDescent="0.2">
      <c r="A59" t="s" s="0">
        <v>3938</v>
      </c>
      <c r="B59" s="2">
        <v>916673</v>
      </c>
      <c r="C59" s="2">
        <v>46722</v>
      </c>
      <c r="D59" s="2">
        <v>45490</v>
      </c>
      <c r="E59" s="2">
        <v>45141</v>
      </c>
      <c r="F59" s="2">
        <v>40670</v>
      </c>
      <c r="G59" s="2">
        <v>45892</v>
      </c>
      <c r="I59" t="str" s="0">
        <f t="shared" si="1"/>
        <v>02/25</v>
      </c>
      <c r="J59" s="2">
        <f t="shared" si="2"/>
        <v>845084</v>
      </c>
      <c r="K59" s="2">
        <f t="shared" si="3"/>
        <v>910389</v>
      </c>
      <c r="L59" s="2">
        <f t="shared" si="4"/>
        <v>999460</v>
      </c>
      <c r="M59" s="2">
        <f t="shared" si="5"/>
        <v>1401127</v>
      </c>
      <c r="N59" s="2">
        <f t="shared" si="6"/>
        <v>1292764</v>
      </c>
      <c r="O59" s="2">
        <f t="shared" si="7"/>
        <v>1230331</v>
      </c>
      <c r="P59" s="2">
        <f t="shared" si="8"/>
        <v>1289420</v>
      </c>
      <c r="Q59" s="2">
        <f t="shared" si="9"/>
        <v>1385036</v>
      </c>
      <c r="R59" s="2">
        <f t="shared" si="10"/>
        <v>1434282</v>
      </c>
      <c r="S59" s="2">
        <f t="shared" si="11"/>
        <v>1498254</v>
      </c>
      <c r="T59" s="2">
        <f t="shared" si="12"/>
        <v>1630984</v>
      </c>
      <c r="U59" s="2" t="e">
        <f t="shared" si="14"/>
        <v>#N/A</v>
      </c>
      <c r="V59" s="2" t="e">
        <f t="shared" si="15"/>
        <v>#N/A</v>
      </c>
      <c r="W59" s="2" t="e">
        <f t="shared" si="16"/>
        <v>#N/A</v>
      </c>
      <c r="X59" s="2" t="e">
        <f t="shared" si="17"/>
        <v>#N/A</v>
      </c>
      <c r="Y59" s="2" t="e">
        <f t="shared" si="18"/>
        <v>#N/A</v>
      </c>
      <c r="Z59" s="0">
        <f t="shared" ca="1" si="20"/>
        <v>1367464.6</v>
      </c>
      <c r="AA59" s="0">
        <f t="shared" ca="1" si="19"/>
        <v>1228614.7</v>
      </c>
      <c r="AB59" cm="1" s="0">
        <f t="array" ref="AB59">MAX(IF(ISNUMBER(J59:Y59),J59:Y59))</f>
        <v>1630984</v>
      </c>
      <c r="AC59" cm="1" s="0">
        <f t="array" ref="AC59">MIN(IF(ISNUMBER(J59:Y59),J59:Y59))</f>
        <v>845084</v>
      </c>
      <c r="AD59" s="0">
        <f t="shared" si="13"/>
        <v>785900</v>
      </c>
    </row>
    <row r="60" spans="1:30" x14ac:dyDescent="0.2">
      <c r="A60" t="s" s="0">
        <v>3937</v>
      </c>
      <c r="B60" s="2">
        <v>859301</v>
      </c>
      <c r="C60" s="2">
        <v>36143</v>
      </c>
      <c r="D60" s="2">
        <v>46569</v>
      </c>
      <c r="E60" s="2">
        <v>45759</v>
      </c>
      <c r="F60" s="2">
        <v>33500</v>
      </c>
      <c r="G60" s="2">
        <v>42839</v>
      </c>
      <c r="I60" t="str" s="0">
        <f t="shared" si="1"/>
        <v>02/26</v>
      </c>
      <c r="J60" s="2">
        <f t="shared" si="2"/>
        <v>812768</v>
      </c>
      <c r="K60" s="2">
        <f t="shared" si="3"/>
        <v>910389</v>
      </c>
      <c r="L60" s="2">
        <f t="shared" si="4"/>
        <v>979854</v>
      </c>
      <c r="M60" s="2">
        <f t="shared" si="5"/>
        <v>1363385</v>
      </c>
      <c r="N60" s="2">
        <f t="shared" si="6"/>
        <v>1260110</v>
      </c>
      <c r="O60" s="2">
        <f t="shared" si="7"/>
        <v>1225243</v>
      </c>
      <c r="P60" s="2">
        <f t="shared" si="8"/>
        <v>1289420</v>
      </c>
      <c r="Q60" s="2">
        <f t="shared" si="9"/>
        <v>1385036</v>
      </c>
      <c r="R60" s="2">
        <f t="shared" si="10"/>
        <v>1435751</v>
      </c>
      <c r="S60" s="2">
        <f t="shared" si="11"/>
        <v>1474648</v>
      </c>
      <c r="T60" s="2">
        <f t="shared" si="12"/>
        <v>1645558</v>
      </c>
      <c r="U60" s="2" t="e">
        <f t="shared" si="14"/>
        <v>#N/A</v>
      </c>
      <c r="V60" s="2" t="e">
        <f t="shared" si="15"/>
        <v>#N/A</v>
      </c>
      <c r="W60" s="2" t="e">
        <f t="shared" si="16"/>
        <v>#N/A</v>
      </c>
      <c r="X60" s="2" t="e">
        <f t="shared" si="17"/>
        <v>#N/A</v>
      </c>
      <c r="Y60" s="2" t="e">
        <f t="shared" si="18"/>
        <v>#N/A</v>
      </c>
      <c r="Z60" s="0">
        <f t="shared" ca="1" si="20"/>
        <v>1362019.6</v>
      </c>
      <c r="AA60" s="0">
        <f t="shared" ca="1" si="19"/>
        <v>1213660.3999999999</v>
      </c>
      <c r="AB60" cm="1" s="0">
        <f t="array" ref="AB60">MAX(IF(ISNUMBER(J60:Y60),J60:Y60))</f>
        <v>1645558</v>
      </c>
      <c r="AC60" cm="1" s="0">
        <f t="array" ref="AC60">MIN(IF(ISNUMBER(J60:Y60),J60:Y60))</f>
        <v>812768</v>
      </c>
      <c r="AD60" s="0">
        <f t="shared" si="13"/>
        <v>832790</v>
      </c>
    </row>
    <row r="61" spans="1:30" x14ac:dyDescent="0.2">
      <c r="A61" t="s" s="0">
        <v>3936</v>
      </c>
      <c r="B61" s="2">
        <v>839521</v>
      </c>
      <c r="C61" s="2">
        <v>39942</v>
      </c>
      <c r="D61" s="2">
        <v>45261</v>
      </c>
      <c r="E61" s="2">
        <v>45231</v>
      </c>
      <c r="F61" s="2">
        <v>36471</v>
      </c>
      <c r="G61" s="2">
        <v>42013</v>
      </c>
      <c r="I61" t="str" s="0">
        <f t="shared" si="1"/>
        <v>02/27</v>
      </c>
      <c r="J61" s="2">
        <f t="shared" si="2"/>
        <v>812768</v>
      </c>
      <c r="K61" s="2">
        <f t="shared" si="3"/>
        <v>910389</v>
      </c>
      <c r="L61" s="2">
        <f t="shared" si="4"/>
        <v>937002</v>
      </c>
      <c r="M61" s="2">
        <f t="shared" si="5"/>
        <v>1376448</v>
      </c>
      <c r="N61" s="2">
        <f t="shared" si="6"/>
        <v>1290887</v>
      </c>
      <c r="O61" s="2">
        <f t="shared" si="7"/>
        <v>1254949</v>
      </c>
      <c r="P61" s="2">
        <f t="shared" si="8"/>
        <v>1289420</v>
      </c>
      <c r="Q61" s="2">
        <f t="shared" si="9"/>
        <v>1433945</v>
      </c>
      <c r="R61" s="2">
        <f t="shared" si="10"/>
        <v>1404976</v>
      </c>
      <c r="S61" s="2">
        <f t="shared" si="11"/>
        <v>1504162</v>
      </c>
      <c r="T61" s="2">
        <f t="shared" si="12"/>
        <v>1631924</v>
      </c>
      <c r="U61" s="2" t="e">
        <f t="shared" si="14"/>
        <v>#N/A</v>
      </c>
      <c r="V61" s="2" t="e">
        <f t="shared" si="15"/>
        <v>#N/A</v>
      </c>
      <c r="W61" s="2" t="e">
        <f t="shared" si="16"/>
        <v>#N/A</v>
      </c>
      <c r="X61" s="2" t="e">
        <f t="shared" si="17"/>
        <v>#N/A</v>
      </c>
      <c r="Y61" s="2" t="e">
        <f t="shared" si="18"/>
        <v>#N/A</v>
      </c>
      <c r="Z61" s="0">
        <f t="shared" ca="1" si="20"/>
        <v>1377490.4</v>
      </c>
      <c r="AA61" s="0">
        <f t="shared" ca="1" si="19"/>
        <v>1221494.6000000001</v>
      </c>
      <c r="AB61" cm="1" s="0">
        <f t="array" ref="AB61">MAX(IF(ISNUMBER(J61:Y61),J61:Y61))</f>
        <v>1631924</v>
      </c>
      <c r="AC61" cm="1" s="0">
        <f t="array" ref="AC61">MIN(IF(ISNUMBER(J61:Y61),J61:Y61))</f>
        <v>812768</v>
      </c>
      <c r="AD61" s="0">
        <f t="shared" si="13"/>
        <v>819156</v>
      </c>
    </row>
    <row r="62" spans="1:30" x14ac:dyDescent="0.2">
      <c r="A62" t="s" s="0">
        <v>3935</v>
      </c>
      <c r="B62" s="3">
        <v>839521</v>
      </c>
      <c r="C62" s="3">
        <v>39942</v>
      </c>
      <c r="D62" s="3">
        <v>45261</v>
      </c>
      <c r="E62" s="3">
        <v>45231</v>
      </c>
      <c r="F62" s="3">
        <v>36471</v>
      </c>
      <c r="G62" s="3">
        <v>42013</v>
      </c>
      <c r="I62" t="str" s="0">
        <f t="shared" si="1"/>
        <v>02/28</v>
      </c>
      <c r="J62" s="2">
        <f t="shared" si="2"/>
        <v>812768</v>
      </c>
      <c r="K62" s="2">
        <f t="shared" si="3"/>
        <v>876344</v>
      </c>
      <c r="L62" s="2">
        <f t="shared" si="4"/>
        <v>1049945</v>
      </c>
      <c r="M62" s="2">
        <f t="shared" si="5"/>
        <v>1335116</v>
      </c>
      <c r="N62" s="2">
        <f t="shared" si="6"/>
        <v>1325182</v>
      </c>
      <c r="O62" s="2">
        <f t="shared" si="7"/>
        <v>1254949</v>
      </c>
      <c r="P62" s="2">
        <f t="shared" si="8"/>
        <v>1179788</v>
      </c>
      <c r="Q62" s="2">
        <f t="shared" si="9"/>
        <v>1403088</v>
      </c>
      <c r="R62" s="2">
        <f t="shared" si="10"/>
        <v>1403120</v>
      </c>
      <c r="S62" s="2">
        <f t="shared" si="11"/>
        <v>1510417</v>
      </c>
      <c r="T62" s="2">
        <f t="shared" si="12"/>
        <v>1631924</v>
      </c>
      <c r="U62" s="2" t="e">
        <f t="shared" si="14"/>
        <v>#N/A</v>
      </c>
      <c r="V62" s="2" t="e">
        <f t="shared" si="15"/>
        <v>#N/A</v>
      </c>
      <c r="W62" s="2" t="e">
        <f t="shared" si="16"/>
        <v>#N/A</v>
      </c>
      <c r="X62" s="2" t="e">
        <f t="shared" si="17"/>
        <v>#N/A</v>
      </c>
      <c r="Y62" s="2" t="e">
        <f t="shared" si="18"/>
        <v>#N/A</v>
      </c>
      <c r="Z62" s="0">
        <f t="shared" ca="1" si="20"/>
        <v>1350272.4</v>
      </c>
      <c r="AA62" s="0">
        <f t="shared" ca="1" si="19"/>
        <v>1215071.7</v>
      </c>
      <c r="AB62" cm="1" s="0">
        <f t="array" ref="AB62">MAX(IF(ISNUMBER(J62:Y62),J62:Y62))</f>
        <v>1631924</v>
      </c>
      <c r="AC62" cm="1" s="0">
        <f t="array" ref="AC62">MIN(IF(ISNUMBER(J62:Y62),J62:Y62))</f>
        <v>812768</v>
      </c>
      <c r="AD62" s="0">
        <f t="shared" si="13"/>
        <v>819156</v>
      </c>
    </row>
    <row r="63" spans="1:30" x14ac:dyDescent="0.2">
      <c r="A63" t="s" s="0">
        <v>3934</v>
      </c>
      <c r="B63" s="3">
        <v>839521</v>
      </c>
      <c r="C63" s="3">
        <v>39942</v>
      </c>
      <c r="D63" s="3">
        <v>45261</v>
      </c>
      <c r="E63" s="3">
        <v>45231</v>
      </c>
      <c r="F63" s="3">
        <v>36471</v>
      </c>
      <c r="G63" s="3">
        <v>42013</v>
      </c>
      <c r="I63" t="str" s="0">
        <f t="shared" si="1"/>
        <v>03/01</v>
      </c>
      <c r="J63" s="2">
        <f t="shared" si="2"/>
        <v>755958</v>
      </c>
      <c r="K63" s="2">
        <f t="shared" si="3"/>
        <v>825588</v>
      </c>
      <c r="L63" s="2">
        <f t="shared" si="4"/>
        <v>1044735</v>
      </c>
      <c r="M63" s="2">
        <f t="shared" si="5"/>
        <v>1354965</v>
      </c>
      <c r="N63" s="2">
        <f t="shared" si="6"/>
        <v>1325182</v>
      </c>
      <c r="O63" s="2">
        <f t="shared" si="7"/>
        <v>1180038</v>
      </c>
      <c r="P63" s="2">
        <f t="shared" si="8"/>
        <v>1159608</v>
      </c>
      <c r="Q63" s="2">
        <f t="shared" si="9"/>
        <v>1351638</v>
      </c>
      <c r="R63" s="2">
        <f t="shared" si="10"/>
        <v>1355759</v>
      </c>
      <c r="S63" s="2">
        <f t="shared" si="11"/>
        <v>1454415</v>
      </c>
      <c r="T63" s="2">
        <f t="shared" si="12"/>
        <v>1631924</v>
      </c>
      <c r="U63" s="2" t="e">
        <f t="shared" si="14"/>
        <v>#N/A</v>
      </c>
      <c r="V63" s="2" t="e">
        <f t="shared" si="15"/>
        <v>#N/A</v>
      </c>
      <c r="W63" s="2" t="e">
        <f t="shared" si="16"/>
        <v>#N/A</v>
      </c>
      <c r="X63" s="2" t="e">
        <f t="shared" si="17"/>
        <v>#N/A</v>
      </c>
      <c r="Y63" s="2" t="e">
        <f t="shared" si="18"/>
        <v>#N/A</v>
      </c>
      <c r="Z63" s="0">
        <f t="shared" ca="1" si="20"/>
        <v>1300291.6000000001</v>
      </c>
      <c r="AA63" s="0">
        <f t="shared" ca="1" si="19"/>
        <v>1180788.6000000001</v>
      </c>
      <c r="AB63" cm="1" s="0">
        <f t="array" ref="AB63">MAX(IF(ISNUMBER(J63:Y63),J63:Y63))</f>
        <v>1631924</v>
      </c>
      <c r="AC63" cm="1" s="0">
        <f t="array" ref="AC63">MIN(IF(ISNUMBER(J63:Y63),J63:Y63))</f>
        <v>755958</v>
      </c>
      <c r="AD63" s="0">
        <f t="shared" si="13"/>
        <v>875966</v>
      </c>
    </row>
    <row r="64" spans="1:30" x14ac:dyDescent="0.2">
      <c r="A64" t="s" s="0">
        <v>3933</v>
      </c>
      <c r="B64" s="2">
        <v>858483</v>
      </c>
      <c r="C64" s="2">
        <v>23107</v>
      </c>
      <c r="D64" s="2">
        <v>39210</v>
      </c>
      <c r="E64" s="2">
        <v>44566</v>
      </c>
      <c r="F64" s="2">
        <v>36332</v>
      </c>
      <c r="G64" s="2">
        <v>45900</v>
      </c>
      <c r="I64" t="str" s="0">
        <f t="shared" si="1"/>
        <v>03/02</v>
      </c>
      <c r="J64" s="2">
        <f t="shared" si="2"/>
        <v>832663</v>
      </c>
      <c r="K64" s="2">
        <f t="shared" si="3"/>
        <v>864527</v>
      </c>
      <c r="L64" s="2">
        <f t="shared" si="4"/>
        <v>1010047</v>
      </c>
      <c r="M64" s="2">
        <f t="shared" si="5"/>
        <v>1354965</v>
      </c>
      <c r="N64" s="2">
        <f t="shared" si="6"/>
        <v>1325182</v>
      </c>
      <c r="O64" s="2">
        <f t="shared" si="7"/>
        <v>1138304</v>
      </c>
      <c r="P64" s="2">
        <f t="shared" si="8"/>
        <v>1113874</v>
      </c>
      <c r="Q64" s="2">
        <f t="shared" si="9"/>
        <v>1383627</v>
      </c>
      <c r="R64" s="2">
        <f t="shared" si="10"/>
        <v>1325991</v>
      </c>
      <c r="S64" s="2">
        <f t="shared" si="11"/>
        <v>1454415</v>
      </c>
      <c r="T64" s="2">
        <f t="shared" si="12"/>
        <v>1591464</v>
      </c>
      <c r="U64" s="2" t="e">
        <f t="shared" si="14"/>
        <v>#N/A</v>
      </c>
      <c r="V64" s="2" t="e">
        <f t="shared" si="15"/>
        <v>#N/A</v>
      </c>
      <c r="W64" s="2" t="e">
        <f t="shared" si="16"/>
        <v>#N/A</v>
      </c>
      <c r="X64" s="2" t="e">
        <f t="shared" si="17"/>
        <v>#N/A</v>
      </c>
      <c r="Y64" s="2" t="e">
        <f t="shared" si="18"/>
        <v>#N/A</v>
      </c>
      <c r="Z64" s="0">
        <f t="shared" ca="1" si="20"/>
        <v>1283242.2</v>
      </c>
      <c r="AA64" s="0">
        <f t="shared" ca="1" si="19"/>
        <v>1180359.5</v>
      </c>
      <c r="AB64" cm="1" s="0">
        <f t="array" ref="AB64">MAX(IF(ISNUMBER(J64:Y64),J64:Y64))</f>
        <v>1591464</v>
      </c>
      <c r="AC64" cm="1" s="0">
        <f t="array" ref="AC64">MIN(IF(ISNUMBER(J64:Y64),J64:Y64))</f>
        <v>832663</v>
      </c>
      <c r="AD64" s="0">
        <f t="shared" si="13"/>
        <v>758801</v>
      </c>
    </row>
    <row r="65" spans="1:30" x14ac:dyDescent="0.2">
      <c r="A65" t="s" s="0">
        <v>3932</v>
      </c>
      <c r="B65" s="2">
        <v>833629</v>
      </c>
      <c r="C65" s="2">
        <v>24854</v>
      </c>
      <c r="D65" s="2">
        <v>36937</v>
      </c>
      <c r="E65" s="2">
        <v>43848</v>
      </c>
      <c r="F65" s="2">
        <v>23301</v>
      </c>
      <c r="G65" s="2">
        <v>44187</v>
      </c>
      <c r="I65" t="str" s="0">
        <f t="shared" si="1"/>
        <v>03/03</v>
      </c>
      <c r="J65" s="2">
        <f t="shared" si="2"/>
        <v>789750</v>
      </c>
      <c r="K65" s="2">
        <f t="shared" si="3"/>
        <v>921451</v>
      </c>
      <c r="L65" s="2">
        <f t="shared" si="4"/>
        <v>1010047</v>
      </c>
      <c r="M65" s="2">
        <f t="shared" si="5"/>
        <v>1354965</v>
      </c>
      <c r="N65" s="2">
        <f t="shared" si="6"/>
        <v>1295389</v>
      </c>
      <c r="O65" s="2">
        <f t="shared" si="7"/>
        <v>1104538</v>
      </c>
      <c r="P65" s="2">
        <f t="shared" si="8"/>
        <v>1130592</v>
      </c>
      <c r="Q65" s="2">
        <f t="shared" si="9"/>
        <v>1359085</v>
      </c>
      <c r="R65" s="2">
        <f t="shared" si="10"/>
        <v>1325991</v>
      </c>
      <c r="S65" s="2">
        <f t="shared" si="11"/>
        <v>1352654</v>
      </c>
      <c r="T65" s="2">
        <f t="shared" si="12"/>
        <v>1614556</v>
      </c>
      <c r="U65" s="2" t="e">
        <f t="shared" si="14"/>
        <v>#N/A</v>
      </c>
      <c r="V65" s="2" t="e">
        <f t="shared" si="15"/>
        <v>#N/A</v>
      </c>
      <c r="W65" s="2" t="e">
        <f t="shared" si="16"/>
        <v>#N/A</v>
      </c>
      <c r="X65" s="2" t="e">
        <f t="shared" si="17"/>
        <v>#N/A</v>
      </c>
      <c r="Y65" s="2" t="e">
        <f t="shared" si="18"/>
        <v>#N/A</v>
      </c>
      <c r="Z65" s="0">
        <f t="shared" ca="1" si="20"/>
        <v>1254572</v>
      </c>
      <c r="AA65" s="0">
        <f t="shared" ca="1" si="19"/>
        <v>1164446.2</v>
      </c>
      <c r="AB65" cm="1" s="0">
        <f t="array" ref="AB65">MAX(IF(ISNUMBER(J65:Y65),J65:Y65))</f>
        <v>1614556</v>
      </c>
      <c r="AC65" cm="1" s="0">
        <f t="array" ref="AC65">MIN(IF(ISNUMBER(J65:Y65),J65:Y65))</f>
        <v>789750</v>
      </c>
      <c r="AD65" s="0">
        <f t="shared" si="13"/>
        <v>824806</v>
      </c>
    </row>
    <row r="66" spans="1:30" x14ac:dyDescent="0.2">
      <c r="A66" t="s" s="0">
        <v>3931</v>
      </c>
      <c r="B66" s="2">
        <v>966284</v>
      </c>
      <c r="C66" s="2">
        <v>34090</v>
      </c>
      <c r="D66" s="2">
        <v>36705</v>
      </c>
      <c r="E66" s="2">
        <v>43459</v>
      </c>
      <c r="F66" s="2">
        <v>43681</v>
      </c>
      <c r="G66" s="2">
        <v>48393</v>
      </c>
      <c r="I66" t="str" s="0">
        <f t="shared" si="1"/>
        <v>03/04</v>
      </c>
      <c r="J66" s="2">
        <f t="shared" si="2"/>
        <v>765584</v>
      </c>
      <c r="K66" s="2">
        <f t="shared" si="3"/>
        <v>921451</v>
      </c>
      <c r="L66" s="2">
        <f t="shared" si="4"/>
        <v>1010047</v>
      </c>
      <c r="M66" s="2">
        <f t="shared" si="5"/>
        <v>1401078</v>
      </c>
      <c r="N66" s="2">
        <f t="shared" si="6"/>
        <v>1259202</v>
      </c>
      <c r="O66" s="2">
        <f t="shared" si="7"/>
        <v>1122855</v>
      </c>
      <c r="P66" s="2">
        <f t="shared" si="8"/>
        <v>1103703</v>
      </c>
      <c r="Q66" s="2">
        <f t="shared" si="9"/>
        <v>1359085</v>
      </c>
      <c r="R66" s="2">
        <f t="shared" si="10"/>
        <v>1325991</v>
      </c>
      <c r="S66" s="2">
        <f t="shared" si="11"/>
        <v>1345389</v>
      </c>
      <c r="T66" s="2">
        <f t="shared" si="12"/>
        <v>1584204</v>
      </c>
      <c r="U66" s="2" t="e">
        <f t="shared" si="14"/>
        <v>#N/A</v>
      </c>
      <c r="V66" s="2" t="e">
        <f t="shared" si="15"/>
        <v>#N/A</v>
      </c>
      <c r="W66" s="2" t="e">
        <f t="shared" si="16"/>
        <v>#N/A</v>
      </c>
      <c r="X66" s="2" t="e">
        <f t="shared" si="17"/>
        <v>#N/A</v>
      </c>
      <c r="Y66" s="2" t="e">
        <f t="shared" si="18"/>
        <v>#N/A</v>
      </c>
      <c r="Z66" s="0">
        <f t="shared" ca="1" si="20"/>
        <v>1251404.6000000001</v>
      </c>
      <c r="AA66" s="0">
        <f t="shared" ca="1" si="19"/>
        <v>1161438.5</v>
      </c>
      <c r="AB66" cm="1" s="0">
        <f t="array" ref="AB66">MAX(IF(ISNUMBER(J66:Y66),J66:Y66))</f>
        <v>1584204</v>
      </c>
      <c r="AC66" cm="1" s="0">
        <f t="array" ref="AC66">MIN(IF(ISNUMBER(J66:Y66),J66:Y66))</f>
        <v>765584</v>
      </c>
      <c r="AD66" s="0">
        <f t="shared" si="13"/>
        <v>818620</v>
      </c>
    </row>
    <row r="67" spans="1:30" x14ac:dyDescent="0.2">
      <c r="A67" t="s" s="0">
        <v>3930</v>
      </c>
      <c r="B67" s="2">
        <v>983359</v>
      </c>
      <c r="C67" s="2">
        <v>42759</v>
      </c>
      <c r="D67" s="2">
        <v>34691</v>
      </c>
      <c r="E67" s="2">
        <v>43145</v>
      </c>
      <c r="F67" s="2">
        <v>52302</v>
      </c>
      <c r="G67" s="2">
        <v>47213</v>
      </c>
      <c r="I67" t="str" s="0">
        <f t="shared" si="1"/>
        <v>03/05</v>
      </c>
      <c r="J67" s="2">
        <f t="shared" si="2"/>
        <v>764306</v>
      </c>
      <c r="K67" s="2">
        <f t="shared" si="3"/>
        <v>921451</v>
      </c>
      <c r="L67" s="2">
        <f t="shared" si="4"/>
        <v>974136</v>
      </c>
      <c r="M67" s="2">
        <f t="shared" si="5"/>
        <v>1358544</v>
      </c>
      <c r="N67" s="2">
        <f t="shared" si="6"/>
        <v>1230296</v>
      </c>
      <c r="O67" s="2">
        <f t="shared" si="7"/>
        <v>1144384</v>
      </c>
      <c r="P67" s="2">
        <f t="shared" si="8"/>
        <v>1103703</v>
      </c>
      <c r="Q67" s="2">
        <f t="shared" si="9"/>
        <v>1359085</v>
      </c>
      <c r="R67" s="2">
        <f t="shared" si="10"/>
        <v>1293381</v>
      </c>
      <c r="S67" s="2">
        <f t="shared" si="11"/>
        <v>1306310</v>
      </c>
      <c r="T67" s="2">
        <f t="shared" si="12"/>
        <v>1573624</v>
      </c>
      <c r="U67" s="2" t="e">
        <f t="shared" si="14"/>
        <v>#N/A</v>
      </c>
      <c r="V67" s="2" t="e">
        <f t="shared" si="15"/>
        <v>#N/A</v>
      </c>
      <c r="W67" s="2" t="e">
        <f t="shared" si="16"/>
        <v>#N/A</v>
      </c>
      <c r="X67" s="2" t="e">
        <f t="shared" si="17"/>
        <v>#N/A</v>
      </c>
      <c r="Y67" s="2" t="e">
        <f t="shared" si="18"/>
        <v>#N/A</v>
      </c>
      <c r="Z67" s="0">
        <f t="shared" ca="1" si="20"/>
        <v>1241372.6000000001</v>
      </c>
      <c r="AA67" s="0">
        <f t="shared" ca="1" si="19"/>
        <v>1145559.6000000001</v>
      </c>
      <c r="AB67" cm="1" s="0">
        <f t="array" ref="AB67">MAX(IF(ISNUMBER(J67:Y67),J67:Y67))</f>
        <v>1573624</v>
      </c>
      <c r="AC67" cm="1" s="0">
        <f t="array" ref="AC67">MIN(IF(ISNUMBER(J67:Y67),J67:Y67))</f>
        <v>764306</v>
      </c>
      <c r="AD67" s="0">
        <f t="shared" si="13"/>
        <v>809318</v>
      </c>
    </row>
    <row r="68" spans="1:30" x14ac:dyDescent="0.2">
      <c r="A68" t="s" s="0">
        <v>3929</v>
      </c>
      <c r="B68" s="2">
        <v>941627</v>
      </c>
      <c r="C68" s="2">
        <v>35387</v>
      </c>
      <c r="D68" s="2">
        <v>34040</v>
      </c>
      <c r="E68" s="2">
        <v>42871</v>
      </c>
      <c r="F68" s="2">
        <v>48552</v>
      </c>
      <c r="G68" s="2">
        <v>42999</v>
      </c>
      <c r="I68" t="str" s="0">
        <f t="shared" ref="I68:I131" si="21">LEFT(A251, 5)</f>
        <v>03/06</v>
      </c>
      <c r="J68" s="2">
        <f t="shared" ref="J68:J131" si="22">B251</f>
        <v>764306</v>
      </c>
      <c r="K68" s="2">
        <f t="shared" ref="K68:K131" si="23">B616</f>
        <v>956499</v>
      </c>
      <c r="L68" s="2">
        <f t="shared" ref="L68:L131" si="24">B981</f>
        <v>916194</v>
      </c>
      <c r="M68" s="2">
        <f t="shared" ref="M68:M131" si="25">B1346</f>
        <v>1320023</v>
      </c>
      <c r="N68" s="2">
        <f t="shared" ref="N68:N131" si="26">B1711</f>
        <v>1267255</v>
      </c>
      <c r="O68" s="2">
        <f t="shared" ref="O68:O131" si="27">B2076</f>
        <v>1144384</v>
      </c>
      <c r="P68" s="2">
        <f t="shared" ref="P68:P131" si="28">B2441</f>
        <v>1103703</v>
      </c>
      <c r="Q68" s="2">
        <f t="shared" ref="Q68:Q131" si="29">B2806</f>
        <v>1267747</v>
      </c>
      <c r="R68" s="2">
        <f t="shared" ref="R68:R131" si="30">B3171</f>
        <v>1320460</v>
      </c>
      <c r="S68" s="2">
        <f t="shared" ref="S68:S131" si="31">B3536</f>
        <v>1350123</v>
      </c>
      <c r="T68" s="2">
        <f t="shared" ref="T68:T131" si="32">IF(B3901=0, NA(), B3901)</f>
        <v>1540750</v>
      </c>
      <c r="U68" s="2" t="e">
        <f t="shared" si="14"/>
        <v>#N/A</v>
      </c>
      <c r="V68" s="2" t="e">
        <f t="shared" si="15"/>
        <v>#N/A</v>
      </c>
      <c r="W68" s="2" t="e">
        <f t="shared" si="16"/>
        <v>#N/A</v>
      </c>
      <c r="X68" s="2" t="e">
        <f t="shared" si="17"/>
        <v>#N/A</v>
      </c>
      <c r="Y68" s="2" t="e">
        <f t="shared" si="18"/>
        <v>#N/A</v>
      </c>
      <c r="Z68" s="0">
        <f t="shared" ca="1" si="20"/>
        <v>1237283.3999999999</v>
      </c>
      <c r="AA68" s="0">
        <f t="shared" ca="1" si="19"/>
        <v>1141069.3999999999</v>
      </c>
      <c r="AB68" cm="1" s="0">
        <f t="array" ref="AB68">MAX(IF(ISNUMBER(J68:Y68),J68:Y68))</f>
        <v>1540750</v>
      </c>
      <c r="AC68" cm="1" s="0">
        <f t="array" ref="AC68">MIN(IF(ISNUMBER(J68:Y68),J68:Y68))</f>
        <v>764306</v>
      </c>
      <c r="AD68" s="0">
        <f t="shared" ref="AD68:AD131" si="33">AB68-AC68</f>
        <v>776444</v>
      </c>
    </row>
    <row r="69" spans="1:30" x14ac:dyDescent="0.2">
      <c r="A69" t="s" s="0">
        <v>3928</v>
      </c>
      <c r="B69" s="3">
        <v>941627</v>
      </c>
      <c r="C69" s="3">
        <v>35387</v>
      </c>
      <c r="D69" s="3">
        <v>34040</v>
      </c>
      <c r="E69" s="3">
        <v>42871</v>
      </c>
      <c r="F69" s="3">
        <v>48552</v>
      </c>
      <c r="G69" s="3">
        <v>42999</v>
      </c>
      <c r="I69" t="str" s="0">
        <f t="shared" si="21"/>
        <v>03/07</v>
      </c>
      <c r="J69" s="2">
        <f t="shared" si="22"/>
        <v>764306</v>
      </c>
      <c r="K69" s="2">
        <f t="shared" si="23"/>
        <v>977110</v>
      </c>
      <c r="L69" s="2">
        <f t="shared" si="24"/>
        <v>955386</v>
      </c>
      <c r="M69" s="2">
        <f t="shared" si="25"/>
        <v>1276757</v>
      </c>
      <c r="N69" s="2">
        <f t="shared" si="26"/>
        <v>1267320</v>
      </c>
      <c r="O69" s="2">
        <f t="shared" si="27"/>
        <v>1144384</v>
      </c>
      <c r="P69" s="2">
        <f t="shared" si="28"/>
        <v>1083243</v>
      </c>
      <c r="Q69" s="2">
        <f t="shared" si="29"/>
        <v>1253175</v>
      </c>
      <c r="R69" s="2">
        <f t="shared" si="30"/>
        <v>1316459</v>
      </c>
      <c r="S69" s="2">
        <f t="shared" si="31"/>
        <v>1344298</v>
      </c>
      <c r="T69" s="2">
        <f t="shared" si="32"/>
        <v>1540750</v>
      </c>
      <c r="U69" s="2" t="e">
        <f t="shared" ref="U69:U132" si="34">IF(B4261=0, NA(), B4261)</f>
        <v>#N/A</v>
      </c>
      <c r="V69" s="2" t="e">
        <f t="shared" ref="V69:V132" si="35">IF(B4626=0, NA(), B4626)</f>
        <v>#N/A</v>
      </c>
      <c r="W69" s="2" t="e">
        <f t="shared" ref="W69:W132" si="36">IF(B4991=0, NA(), B4991)</f>
        <v>#N/A</v>
      </c>
      <c r="X69" s="2" t="e">
        <f t="shared" ref="X69:X132" si="37">IF(B5356=0, NA(), B5356)</f>
        <v>#N/A</v>
      </c>
      <c r="Y69" s="2" t="e">
        <f t="shared" ref="Y69:Y132" si="38">IF(B5721=0, NA(), B5721)</f>
        <v>#N/A</v>
      </c>
      <c r="Z69" s="0">
        <f t="shared" ca="1" si="20"/>
        <v>1228311.8</v>
      </c>
      <c r="AA69" s="0">
        <f t="shared" ca="1" si="19"/>
        <v>1138243.8</v>
      </c>
      <c r="AB69" cm="1" s="0">
        <f t="array" ref="AB69">MAX(IF(ISNUMBER(J69:Y69),J69:Y69))</f>
        <v>1540750</v>
      </c>
      <c r="AC69" cm="1" s="0">
        <f t="array" ref="AC69">MIN(IF(ISNUMBER(J69:Y69),J69:Y69))</f>
        <v>764306</v>
      </c>
      <c r="AD69" s="0">
        <f t="shared" si="33"/>
        <v>776444</v>
      </c>
    </row>
    <row r="70" spans="1:30" x14ac:dyDescent="0.2">
      <c r="A70" t="s" s="0">
        <v>3927</v>
      </c>
      <c r="B70" s="3">
        <v>941627</v>
      </c>
      <c r="C70" s="3">
        <v>35387</v>
      </c>
      <c r="D70" s="3">
        <v>34040</v>
      </c>
      <c r="E70" s="3">
        <v>42871</v>
      </c>
      <c r="F70" s="3">
        <v>48552</v>
      </c>
      <c r="G70" s="3">
        <v>42999</v>
      </c>
      <c r="I70" t="str" s="0">
        <f t="shared" si="21"/>
        <v>03/08</v>
      </c>
      <c r="J70" s="2">
        <f t="shared" si="22"/>
        <v>856528</v>
      </c>
      <c r="K70" s="2">
        <f t="shared" si="23"/>
        <v>938143</v>
      </c>
      <c r="L70" s="2">
        <f t="shared" si="24"/>
        <v>969467</v>
      </c>
      <c r="M70" s="2">
        <f t="shared" si="25"/>
        <v>1300649</v>
      </c>
      <c r="N70" s="2">
        <f t="shared" si="26"/>
        <v>1267320</v>
      </c>
      <c r="O70" s="2">
        <f t="shared" si="27"/>
        <v>1102706</v>
      </c>
      <c r="P70" s="2">
        <f t="shared" si="28"/>
        <v>1087636</v>
      </c>
      <c r="Q70" s="2">
        <f t="shared" si="29"/>
        <v>1208651</v>
      </c>
      <c r="R70" s="2">
        <f t="shared" si="30"/>
        <v>1322966</v>
      </c>
      <c r="S70" s="2">
        <f t="shared" si="31"/>
        <v>1344298</v>
      </c>
      <c r="T70" s="2">
        <f t="shared" si="32"/>
        <v>1540750</v>
      </c>
      <c r="U70" s="2" t="e">
        <f t="shared" si="34"/>
        <v>#N/A</v>
      </c>
      <c r="V70" s="2" t="e">
        <f t="shared" si="35"/>
        <v>#N/A</v>
      </c>
      <c r="W70" s="2" t="e">
        <f t="shared" si="36"/>
        <v>#N/A</v>
      </c>
      <c r="X70" s="2" t="e">
        <f t="shared" si="37"/>
        <v>#N/A</v>
      </c>
      <c r="Y70" s="2" t="e">
        <f t="shared" si="38"/>
        <v>#N/A</v>
      </c>
      <c r="Z70" s="0">
        <f t="shared" ca="1" si="20"/>
        <v>1213251.3999999999</v>
      </c>
      <c r="AA70" s="0">
        <f t="shared" ref="AA70:AA133" ca="1" si="39">AVERAGE(OFFSET(J70,0,YEAR(TODAY())-2015-10,1,10))</f>
        <v>1139836.3999999999</v>
      </c>
      <c r="AB70" cm="1" s="0">
        <f t="array" ref="AB70">MAX(IF(ISNUMBER(J70:Y70),J70:Y70))</f>
        <v>1540750</v>
      </c>
      <c r="AC70" cm="1" s="0">
        <f t="array" ref="AC70">MIN(IF(ISNUMBER(J70:Y70),J70:Y70))</f>
        <v>856528</v>
      </c>
      <c r="AD70" s="0">
        <f t="shared" si="33"/>
        <v>684222</v>
      </c>
    </row>
    <row r="71" spans="1:30" x14ac:dyDescent="0.2">
      <c r="A71" t="s" s="0">
        <v>3926</v>
      </c>
      <c r="B71" s="2">
        <v>946754</v>
      </c>
      <c r="C71" s="2">
        <v>19732</v>
      </c>
      <c r="D71" s="2">
        <v>38123</v>
      </c>
      <c r="E71" s="2">
        <v>41736</v>
      </c>
      <c r="F71" s="2">
        <v>50726</v>
      </c>
      <c r="G71" s="2">
        <v>43558</v>
      </c>
      <c r="I71" t="str" s="0">
        <f t="shared" si="21"/>
        <v>03/09</v>
      </c>
      <c r="J71" s="2">
        <f t="shared" si="22"/>
        <v>863244</v>
      </c>
      <c r="K71" s="2">
        <f t="shared" si="23"/>
        <v>947697</v>
      </c>
      <c r="L71" s="2">
        <f t="shared" si="24"/>
        <v>974673</v>
      </c>
      <c r="M71" s="2">
        <f t="shared" si="25"/>
        <v>1300649</v>
      </c>
      <c r="N71" s="2">
        <f t="shared" si="26"/>
        <v>1267320</v>
      </c>
      <c r="O71" s="2">
        <f t="shared" si="27"/>
        <v>1068088</v>
      </c>
      <c r="P71" s="2">
        <f t="shared" si="28"/>
        <v>1107660</v>
      </c>
      <c r="Q71" s="2">
        <f t="shared" si="29"/>
        <v>1235346</v>
      </c>
      <c r="R71" s="2">
        <f t="shared" si="30"/>
        <v>1290739</v>
      </c>
      <c r="S71" s="2">
        <f t="shared" si="31"/>
        <v>1344298</v>
      </c>
      <c r="T71" s="2">
        <f t="shared" si="32"/>
        <v>1554872</v>
      </c>
      <c r="U71" s="2" t="e">
        <f t="shared" si="34"/>
        <v>#N/A</v>
      </c>
      <c r="V71" s="2" t="e">
        <f t="shared" si="35"/>
        <v>#N/A</v>
      </c>
      <c r="W71" s="2" t="e">
        <f t="shared" si="36"/>
        <v>#N/A</v>
      </c>
      <c r="X71" s="2" t="e">
        <f t="shared" si="37"/>
        <v>#N/A</v>
      </c>
      <c r="Y71" s="2" t="e">
        <f t="shared" si="38"/>
        <v>#N/A</v>
      </c>
      <c r="Z71" s="0">
        <f t="shared" ca="1" si="20"/>
        <v>1209226.2</v>
      </c>
      <c r="AA71" s="0">
        <f t="shared" ca="1" si="39"/>
        <v>1139971.3999999999</v>
      </c>
      <c r="AB71" cm="1" s="0">
        <f t="array" ref="AB71">MAX(IF(ISNUMBER(J71:Y71),J71:Y71))</f>
        <v>1554872</v>
      </c>
      <c r="AC71" cm="1" s="0">
        <f t="array" ref="AC71">MIN(IF(ISNUMBER(J71:Y71),J71:Y71))</f>
        <v>863244</v>
      </c>
      <c r="AD71" s="0">
        <f t="shared" si="33"/>
        <v>691628</v>
      </c>
    </row>
    <row r="72" spans="1:30" x14ac:dyDescent="0.2">
      <c r="A72" t="s" s="0">
        <v>3925</v>
      </c>
      <c r="B72" s="2">
        <v>953577</v>
      </c>
      <c r="C72" s="2">
        <v>32849</v>
      </c>
      <c r="D72" s="2">
        <v>39266</v>
      </c>
      <c r="E72" s="2">
        <v>41510</v>
      </c>
      <c r="F72" s="2">
        <v>56393</v>
      </c>
      <c r="G72" s="2">
        <v>42126</v>
      </c>
      <c r="I72" t="str" s="0">
        <f t="shared" si="21"/>
        <v>03/10</v>
      </c>
      <c r="J72" s="2">
        <f t="shared" si="22"/>
        <v>862581</v>
      </c>
      <c r="K72" s="2">
        <f t="shared" si="23"/>
        <v>921564</v>
      </c>
      <c r="L72" s="2">
        <f t="shared" si="24"/>
        <v>974673</v>
      </c>
      <c r="M72" s="2">
        <f t="shared" si="25"/>
        <v>1300649</v>
      </c>
      <c r="N72" s="2">
        <f t="shared" si="26"/>
        <v>1271152</v>
      </c>
      <c r="O72" s="2">
        <f t="shared" si="27"/>
        <v>1097786</v>
      </c>
      <c r="P72" s="2">
        <f t="shared" si="28"/>
        <v>1066061</v>
      </c>
      <c r="Q72" s="2">
        <f t="shared" si="29"/>
        <v>1289132</v>
      </c>
      <c r="R72" s="2">
        <f t="shared" si="30"/>
        <v>1290739</v>
      </c>
      <c r="S72" s="2">
        <f t="shared" si="31"/>
        <v>1339945</v>
      </c>
      <c r="T72" s="2">
        <f t="shared" si="32"/>
        <v>1506402</v>
      </c>
      <c r="U72" s="2" t="e">
        <f t="shared" si="34"/>
        <v>#N/A</v>
      </c>
      <c r="V72" s="2" t="e">
        <f t="shared" si="35"/>
        <v>#N/A</v>
      </c>
      <c r="W72" s="2" t="e">
        <f t="shared" si="36"/>
        <v>#N/A</v>
      </c>
      <c r="X72" s="2" t="e">
        <f t="shared" si="37"/>
        <v>#N/A</v>
      </c>
      <c r="Y72" s="2" t="e">
        <f t="shared" si="38"/>
        <v>#N/A</v>
      </c>
      <c r="Z72" s="0">
        <f t="shared" ref="Z72:Z135" ca="1" si="40">AVERAGE(OFFSET(J72,0,YEAR(TODAY())-2015-5,1,5))</f>
        <v>1216732.6000000001</v>
      </c>
      <c r="AA72" s="0">
        <f t="shared" ca="1" si="39"/>
        <v>1141428.2</v>
      </c>
      <c r="AB72" cm="1" s="0">
        <f t="array" ref="AB72">MAX(IF(ISNUMBER(J72:Y72),J72:Y72))</f>
        <v>1506402</v>
      </c>
      <c r="AC72" cm="1" s="0">
        <f t="array" ref="AC72">MIN(IF(ISNUMBER(J72:Y72),J72:Y72))</f>
        <v>862581</v>
      </c>
      <c r="AD72" s="0">
        <f t="shared" si="33"/>
        <v>643821</v>
      </c>
    </row>
    <row r="73" spans="1:30" x14ac:dyDescent="0.2">
      <c r="A73" t="s" s="0">
        <v>3924</v>
      </c>
      <c r="B73" s="2">
        <v>931333</v>
      </c>
      <c r="C73" s="2">
        <v>36758</v>
      </c>
      <c r="D73" s="2">
        <v>40496</v>
      </c>
      <c r="E73" s="2">
        <v>41223</v>
      </c>
      <c r="F73" s="2">
        <v>35495</v>
      </c>
      <c r="G73" s="2">
        <v>41645</v>
      </c>
      <c r="I73" t="str" s="0">
        <f t="shared" si="21"/>
        <v>03/11</v>
      </c>
      <c r="J73" s="2">
        <f t="shared" si="22"/>
        <v>829382</v>
      </c>
      <c r="K73" s="2">
        <f t="shared" si="23"/>
        <v>921564</v>
      </c>
      <c r="L73" s="2">
        <f t="shared" si="24"/>
        <v>974673</v>
      </c>
      <c r="M73" s="2">
        <f t="shared" si="25"/>
        <v>1216092</v>
      </c>
      <c r="N73" s="2">
        <f t="shared" si="26"/>
        <v>1240524</v>
      </c>
      <c r="O73" s="2">
        <f t="shared" si="27"/>
        <v>1050326</v>
      </c>
      <c r="P73" s="2">
        <f t="shared" si="28"/>
        <v>1099036</v>
      </c>
      <c r="Q73" s="2">
        <f t="shared" si="29"/>
        <v>1289132</v>
      </c>
      <c r="R73" s="2">
        <f t="shared" si="30"/>
        <v>1290739</v>
      </c>
      <c r="S73" s="2">
        <f t="shared" si="31"/>
        <v>1344804</v>
      </c>
      <c r="T73" s="2">
        <f t="shared" si="32"/>
        <v>1493247</v>
      </c>
      <c r="U73" s="2" t="e">
        <f t="shared" si="34"/>
        <v>#N/A</v>
      </c>
      <c r="V73" s="2" t="e">
        <f t="shared" si="35"/>
        <v>#N/A</v>
      </c>
      <c r="W73" s="2" t="e">
        <f t="shared" si="36"/>
        <v>#N/A</v>
      </c>
      <c r="X73" s="2" t="e">
        <f t="shared" si="37"/>
        <v>#N/A</v>
      </c>
      <c r="Y73" s="2" t="e">
        <f t="shared" si="38"/>
        <v>#N/A</v>
      </c>
      <c r="Z73" s="0">
        <f t="shared" ca="1" si="40"/>
        <v>1214807.3999999999</v>
      </c>
      <c r="AA73" s="0">
        <f t="shared" ca="1" si="39"/>
        <v>1125627.2</v>
      </c>
      <c r="AB73" cm="1" s="0">
        <f t="array" ref="AB73">MAX(IF(ISNUMBER(J73:Y73),J73:Y73))</f>
        <v>1493247</v>
      </c>
      <c r="AC73" cm="1" s="0">
        <f t="array" ref="AC73">MIN(IF(ISNUMBER(J73:Y73),J73:Y73))</f>
        <v>829382</v>
      </c>
      <c r="AD73" s="0">
        <f t="shared" si="33"/>
        <v>663865</v>
      </c>
    </row>
    <row r="74" spans="1:30" x14ac:dyDescent="0.2">
      <c r="A74" t="s" s="0">
        <v>3923</v>
      </c>
      <c r="B74" s="2">
        <v>901820</v>
      </c>
      <c r="C74" s="2">
        <v>38285</v>
      </c>
      <c r="D74" s="2">
        <v>43830</v>
      </c>
      <c r="E74" s="2">
        <v>41722</v>
      </c>
      <c r="F74" s="2">
        <v>32174</v>
      </c>
      <c r="G74" s="2">
        <v>40453</v>
      </c>
      <c r="I74" t="str" s="0">
        <f t="shared" si="21"/>
        <v>03/12</v>
      </c>
      <c r="J74" s="2">
        <f t="shared" si="22"/>
        <v>823611</v>
      </c>
      <c r="K74" s="2">
        <f t="shared" si="23"/>
        <v>921564</v>
      </c>
      <c r="L74" s="2">
        <f t="shared" si="24"/>
        <v>916081</v>
      </c>
      <c r="M74" s="2">
        <f t="shared" si="25"/>
        <v>1191013</v>
      </c>
      <c r="N74" s="2">
        <f t="shared" si="26"/>
        <v>1170696</v>
      </c>
      <c r="O74" s="2">
        <f t="shared" si="27"/>
        <v>1007243</v>
      </c>
      <c r="P74" s="2">
        <f t="shared" si="28"/>
        <v>1099036</v>
      </c>
      <c r="Q74" s="2">
        <f t="shared" si="29"/>
        <v>1289132</v>
      </c>
      <c r="R74" s="2">
        <f t="shared" si="30"/>
        <v>1331671</v>
      </c>
      <c r="S74" s="2">
        <f t="shared" si="31"/>
        <v>1340167</v>
      </c>
      <c r="T74" s="2">
        <f t="shared" si="32"/>
        <v>1579101</v>
      </c>
      <c r="U74" s="2" t="e">
        <f t="shared" si="34"/>
        <v>#N/A</v>
      </c>
      <c r="V74" s="2" t="e">
        <f t="shared" si="35"/>
        <v>#N/A</v>
      </c>
      <c r="W74" s="2" t="e">
        <f t="shared" si="36"/>
        <v>#N/A</v>
      </c>
      <c r="X74" s="2" t="e">
        <f t="shared" si="37"/>
        <v>#N/A</v>
      </c>
      <c r="Y74" s="2" t="e">
        <f t="shared" si="38"/>
        <v>#N/A</v>
      </c>
      <c r="Z74" s="0">
        <f t="shared" ca="1" si="40"/>
        <v>1213449.8</v>
      </c>
      <c r="AA74" s="0">
        <f t="shared" ca="1" si="39"/>
        <v>1109021.3999999999</v>
      </c>
      <c r="AB74" cm="1" s="0">
        <f t="array" ref="AB74">MAX(IF(ISNUMBER(J74:Y74),J74:Y74))</f>
        <v>1579101</v>
      </c>
      <c r="AC74" cm="1" s="0">
        <f t="array" ref="AC74">MIN(IF(ISNUMBER(J74:Y74),J74:Y74))</f>
        <v>823611</v>
      </c>
      <c r="AD74" s="0">
        <f t="shared" si="33"/>
        <v>755490</v>
      </c>
    </row>
    <row r="75" spans="1:30" x14ac:dyDescent="0.2">
      <c r="A75" t="s" s="0">
        <v>3922</v>
      </c>
      <c r="B75" s="2">
        <v>956812</v>
      </c>
      <c r="C75" s="2">
        <v>42280</v>
      </c>
      <c r="D75" s="2">
        <v>46978</v>
      </c>
      <c r="E75" s="2">
        <v>42309</v>
      </c>
      <c r="F75" s="2">
        <v>48825</v>
      </c>
      <c r="G75" s="2">
        <v>44644</v>
      </c>
      <c r="I75" t="str" s="0">
        <f t="shared" si="21"/>
        <v>03/13</v>
      </c>
      <c r="J75" s="2">
        <f t="shared" si="22"/>
        <v>823611</v>
      </c>
      <c r="K75" s="2">
        <f t="shared" si="23"/>
        <v>994347</v>
      </c>
      <c r="L75" s="2">
        <f t="shared" si="24"/>
        <v>969238</v>
      </c>
      <c r="M75" s="2">
        <f t="shared" si="25"/>
        <v>1244943</v>
      </c>
      <c r="N75" s="2">
        <f t="shared" si="26"/>
        <v>1181633</v>
      </c>
      <c r="O75" s="2">
        <f t="shared" si="27"/>
        <v>1007243</v>
      </c>
      <c r="P75" s="2">
        <f t="shared" si="28"/>
        <v>1099036</v>
      </c>
      <c r="Q75" s="2">
        <f t="shared" si="29"/>
        <v>1265046</v>
      </c>
      <c r="R75" s="2">
        <f t="shared" si="30"/>
        <v>1374994</v>
      </c>
      <c r="S75" s="2">
        <f t="shared" si="31"/>
        <v>1361847</v>
      </c>
      <c r="T75" s="2">
        <f t="shared" si="32"/>
        <v>1550155</v>
      </c>
      <c r="U75" s="2" t="e">
        <f t="shared" si="34"/>
        <v>#N/A</v>
      </c>
      <c r="V75" s="2" t="e">
        <f t="shared" si="35"/>
        <v>#N/A</v>
      </c>
      <c r="W75" s="2" t="e">
        <f t="shared" si="36"/>
        <v>#N/A</v>
      </c>
      <c r="X75" s="2" t="e">
        <f t="shared" si="37"/>
        <v>#N/A</v>
      </c>
      <c r="Y75" s="2" t="e">
        <f t="shared" si="38"/>
        <v>#N/A</v>
      </c>
      <c r="Z75" s="0">
        <f t="shared" ca="1" si="40"/>
        <v>1221633.2</v>
      </c>
      <c r="AA75" s="0">
        <f t="shared" ca="1" si="39"/>
        <v>1132193.8</v>
      </c>
      <c r="AB75" cm="1" s="0">
        <f t="array" ref="AB75">MAX(IF(ISNUMBER(J75:Y75),J75:Y75))</f>
        <v>1550155</v>
      </c>
      <c r="AC75" cm="1" s="0">
        <f t="array" ref="AC75">MIN(IF(ISNUMBER(J75:Y75),J75:Y75))</f>
        <v>823611</v>
      </c>
      <c r="AD75" s="0">
        <f t="shared" si="33"/>
        <v>726544</v>
      </c>
    </row>
    <row r="76" spans="1:30" x14ac:dyDescent="0.2">
      <c r="A76" t="s" s="0">
        <v>3921</v>
      </c>
      <c r="B76" s="3">
        <v>956812</v>
      </c>
      <c r="C76" s="3">
        <v>42280</v>
      </c>
      <c r="D76" s="3">
        <v>46978</v>
      </c>
      <c r="E76" s="3">
        <v>42309</v>
      </c>
      <c r="F76" s="3">
        <v>48825</v>
      </c>
      <c r="G76" s="3">
        <v>44644</v>
      </c>
      <c r="I76" t="str" s="0">
        <f t="shared" si="21"/>
        <v>03/14</v>
      </c>
      <c r="J76" s="2">
        <f t="shared" si="22"/>
        <v>823611</v>
      </c>
      <c r="K76" s="2">
        <f t="shared" si="23"/>
        <v>963661</v>
      </c>
      <c r="L76" s="2">
        <f t="shared" si="24"/>
        <v>916628</v>
      </c>
      <c r="M76" s="2">
        <f t="shared" si="25"/>
        <v>1252992</v>
      </c>
      <c r="N76" s="2">
        <f t="shared" si="26"/>
        <v>1147089</v>
      </c>
      <c r="O76" s="2">
        <f t="shared" si="27"/>
        <v>1007243</v>
      </c>
      <c r="P76" s="2">
        <f t="shared" si="28"/>
        <v>1332486</v>
      </c>
      <c r="Q76" s="2">
        <f t="shared" si="29"/>
        <v>1249501</v>
      </c>
      <c r="R76" s="2">
        <f t="shared" si="30"/>
        <v>1336979</v>
      </c>
      <c r="S76" s="2">
        <f t="shared" si="31"/>
        <v>1378118</v>
      </c>
      <c r="T76" s="2">
        <f t="shared" si="32"/>
        <v>1550155</v>
      </c>
      <c r="U76" s="2" t="e">
        <f t="shared" si="34"/>
        <v>#N/A</v>
      </c>
      <c r="V76" s="2" t="e">
        <f t="shared" si="35"/>
        <v>#N/A</v>
      </c>
      <c r="W76" s="2" t="e">
        <f t="shared" si="36"/>
        <v>#N/A</v>
      </c>
      <c r="X76" s="2" t="e">
        <f t="shared" si="37"/>
        <v>#N/A</v>
      </c>
      <c r="Y76" s="2" t="e">
        <f t="shared" si="38"/>
        <v>#N/A</v>
      </c>
      <c r="Z76" s="0">
        <f t="shared" ca="1" si="40"/>
        <v>1260865.3999999999</v>
      </c>
      <c r="AA76" s="0">
        <f t="shared" ca="1" si="39"/>
        <v>1140830.8</v>
      </c>
      <c r="AB76" cm="1" s="0">
        <f t="array" ref="AB76">MAX(IF(ISNUMBER(J76:Y76),J76:Y76))</f>
        <v>1550155</v>
      </c>
      <c r="AC76" cm="1" s="0">
        <f t="array" ref="AC76">MIN(IF(ISNUMBER(J76:Y76),J76:Y76))</f>
        <v>823611</v>
      </c>
      <c r="AD76" s="0">
        <f t="shared" si="33"/>
        <v>726544</v>
      </c>
    </row>
    <row r="77" spans="1:30" x14ac:dyDescent="0.2">
      <c r="A77" t="s" s="0">
        <v>3920</v>
      </c>
      <c r="B77" s="3">
        <v>956812</v>
      </c>
      <c r="C77" s="3">
        <v>42280</v>
      </c>
      <c r="D77" s="3">
        <v>46978</v>
      </c>
      <c r="E77" s="3">
        <v>42309</v>
      </c>
      <c r="F77" s="3">
        <v>48825</v>
      </c>
      <c r="G77" s="3">
        <v>44644</v>
      </c>
      <c r="I77" t="str" s="0">
        <f t="shared" si="21"/>
        <v>03/15</v>
      </c>
      <c r="J77" s="2">
        <f t="shared" si="22"/>
        <v>770039</v>
      </c>
      <c r="K77" s="2">
        <f t="shared" si="23"/>
        <v>925550</v>
      </c>
      <c r="L77" s="2">
        <f t="shared" si="24"/>
        <v>1122062</v>
      </c>
      <c r="M77" s="2">
        <f t="shared" si="25"/>
        <v>1211904</v>
      </c>
      <c r="N77" s="2">
        <f t="shared" si="26"/>
        <v>1147089</v>
      </c>
      <c r="O77" s="2">
        <f t="shared" si="27"/>
        <v>963691</v>
      </c>
      <c r="P77" s="2">
        <f t="shared" si="28"/>
        <v>1486599</v>
      </c>
      <c r="Q77" s="2">
        <f t="shared" si="29"/>
        <v>1276384</v>
      </c>
      <c r="R77" s="2">
        <f t="shared" si="30"/>
        <v>1302921</v>
      </c>
      <c r="S77" s="2">
        <f t="shared" si="31"/>
        <v>1378118</v>
      </c>
      <c r="T77" s="2">
        <f t="shared" si="32"/>
        <v>1550155</v>
      </c>
      <c r="U77" s="2" t="e">
        <f t="shared" si="34"/>
        <v>#N/A</v>
      </c>
      <c r="V77" s="2" t="e">
        <f t="shared" si="35"/>
        <v>#N/A</v>
      </c>
      <c r="W77" s="2" t="e">
        <f t="shared" si="36"/>
        <v>#N/A</v>
      </c>
      <c r="X77" s="2" t="e">
        <f t="shared" si="37"/>
        <v>#N/A</v>
      </c>
      <c r="Y77" s="2" t="e">
        <f t="shared" si="38"/>
        <v>#N/A</v>
      </c>
      <c r="Z77" s="0">
        <f t="shared" ca="1" si="40"/>
        <v>1281542.6000000001</v>
      </c>
      <c r="AA77" s="0">
        <f t="shared" ca="1" si="39"/>
        <v>1158435.7</v>
      </c>
      <c r="AB77" cm="1" s="0">
        <f t="array" ref="AB77">MAX(IF(ISNUMBER(J77:Y77),J77:Y77))</f>
        <v>1550155</v>
      </c>
      <c r="AC77" cm="1" s="0">
        <f t="array" ref="AC77">MIN(IF(ISNUMBER(J77:Y77),J77:Y77))</f>
        <v>770039</v>
      </c>
      <c r="AD77" s="0">
        <f t="shared" si="33"/>
        <v>780116</v>
      </c>
    </row>
    <row r="78" spans="1:30" x14ac:dyDescent="0.2">
      <c r="A78" t="s" s="0">
        <v>3919</v>
      </c>
      <c r="B78" s="2">
        <v>924693</v>
      </c>
      <c r="C78" s="2">
        <v>21129</v>
      </c>
      <c r="D78" s="2">
        <v>43163</v>
      </c>
      <c r="E78" s="2">
        <v>42034</v>
      </c>
      <c r="F78" s="2">
        <v>39689</v>
      </c>
      <c r="G78" s="2">
        <v>45185</v>
      </c>
      <c r="I78" t="str" s="0">
        <f t="shared" si="21"/>
        <v>03/16</v>
      </c>
      <c r="J78" s="2">
        <f t="shared" si="22"/>
        <v>931931</v>
      </c>
      <c r="K78" s="2">
        <f t="shared" si="23"/>
        <v>950176</v>
      </c>
      <c r="L78" s="2">
        <f t="shared" si="24"/>
        <v>1076922</v>
      </c>
      <c r="M78" s="2">
        <f t="shared" si="25"/>
        <v>1211904</v>
      </c>
      <c r="N78" s="2">
        <f t="shared" si="26"/>
        <v>1147089</v>
      </c>
      <c r="O78" s="2">
        <f t="shared" si="27"/>
        <v>926320</v>
      </c>
      <c r="P78" s="2">
        <f t="shared" si="28"/>
        <v>1476643</v>
      </c>
      <c r="Q78" s="2">
        <f t="shared" si="29"/>
        <v>1246059</v>
      </c>
      <c r="R78" s="2">
        <f t="shared" si="30"/>
        <v>1295844</v>
      </c>
      <c r="S78" s="2">
        <f t="shared" si="31"/>
        <v>1378118</v>
      </c>
      <c r="T78" s="2">
        <f t="shared" si="32"/>
        <v>1423852</v>
      </c>
      <c r="U78" s="2" t="e">
        <f t="shared" si="34"/>
        <v>#N/A</v>
      </c>
      <c r="V78" s="2" t="e">
        <f t="shared" si="35"/>
        <v>#N/A</v>
      </c>
      <c r="W78" s="2" t="e">
        <f t="shared" si="36"/>
        <v>#N/A</v>
      </c>
      <c r="X78" s="2" t="e">
        <f t="shared" si="37"/>
        <v>#N/A</v>
      </c>
      <c r="Y78" s="2" t="e">
        <f t="shared" si="38"/>
        <v>#N/A</v>
      </c>
      <c r="Z78" s="0">
        <f t="shared" ca="1" si="40"/>
        <v>1264596.8</v>
      </c>
      <c r="AA78" s="0">
        <f t="shared" ca="1" si="39"/>
        <v>1164100.6000000001</v>
      </c>
      <c r="AB78" cm="1" s="0">
        <f t="array" ref="AB78">MAX(IF(ISNUMBER(J78:Y78),J78:Y78))</f>
        <v>1476643</v>
      </c>
      <c r="AC78" cm="1" s="0">
        <f t="array" ref="AC78">MIN(IF(ISNUMBER(J78:Y78),J78:Y78))</f>
        <v>926320</v>
      </c>
      <c r="AD78" s="0">
        <f t="shared" si="33"/>
        <v>550323</v>
      </c>
    </row>
    <row r="79" spans="1:30" x14ac:dyDescent="0.2">
      <c r="A79" t="s" s="0">
        <v>3918</v>
      </c>
      <c r="B79" s="2">
        <v>944719</v>
      </c>
      <c r="C79" s="2">
        <v>39720</v>
      </c>
      <c r="D79" s="2">
        <v>44145</v>
      </c>
      <c r="E79" s="2">
        <v>41963</v>
      </c>
      <c r="F79" s="2">
        <v>42556</v>
      </c>
      <c r="G79" s="2">
        <v>45176</v>
      </c>
      <c r="I79" t="str" s="0">
        <f t="shared" si="21"/>
        <v>03/17</v>
      </c>
      <c r="J79" s="2">
        <f t="shared" si="22"/>
        <v>912159</v>
      </c>
      <c r="K79" s="2">
        <f t="shared" si="23"/>
        <v>945698</v>
      </c>
      <c r="L79" s="2">
        <f t="shared" si="24"/>
        <v>1076922</v>
      </c>
      <c r="M79" s="2">
        <f t="shared" si="25"/>
        <v>1211904</v>
      </c>
      <c r="N79" s="2">
        <f t="shared" si="26"/>
        <v>1121976</v>
      </c>
      <c r="O79" s="2">
        <f t="shared" si="27"/>
        <v>892504</v>
      </c>
      <c r="P79" s="2">
        <f t="shared" si="28"/>
        <v>1483460</v>
      </c>
      <c r="Q79" s="2">
        <f t="shared" si="29"/>
        <v>1270224</v>
      </c>
      <c r="R79" s="2">
        <f t="shared" si="30"/>
        <v>1295844</v>
      </c>
      <c r="S79" s="2">
        <f t="shared" si="31"/>
        <v>1464771</v>
      </c>
      <c r="T79" s="2">
        <f t="shared" si="32"/>
        <v>1105534</v>
      </c>
      <c r="U79" s="2" t="e">
        <f t="shared" si="34"/>
        <v>#N/A</v>
      </c>
      <c r="V79" s="2" t="e">
        <f t="shared" si="35"/>
        <v>#N/A</v>
      </c>
      <c r="W79" s="2" t="e">
        <f t="shared" si="36"/>
        <v>#N/A</v>
      </c>
      <c r="X79" s="2" t="e">
        <f t="shared" si="37"/>
        <v>#N/A</v>
      </c>
      <c r="Y79" s="2" t="e">
        <f t="shared" si="38"/>
        <v>#N/A</v>
      </c>
      <c r="Z79" s="0">
        <f t="shared" ca="1" si="40"/>
        <v>1281360.6000000001</v>
      </c>
      <c r="AA79" s="0">
        <f t="shared" ca="1" si="39"/>
        <v>1167546.2</v>
      </c>
      <c r="AB79" cm="1" s="0">
        <f t="array" ref="AB79">MAX(IF(ISNUMBER(J79:Y79),J79:Y79))</f>
        <v>1483460</v>
      </c>
      <c r="AC79" cm="1" s="0">
        <f t="array" ref="AC79">MIN(IF(ISNUMBER(J79:Y79),J79:Y79))</f>
        <v>892504</v>
      </c>
      <c r="AD79" s="0">
        <f t="shared" si="33"/>
        <v>590956</v>
      </c>
    </row>
    <row r="80" spans="1:30" x14ac:dyDescent="0.2">
      <c r="A80" t="s" s="0">
        <v>3917</v>
      </c>
      <c r="B80" s="2">
        <v>935282</v>
      </c>
      <c r="C80" s="2">
        <v>42563</v>
      </c>
      <c r="D80" s="2">
        <v>43570</v>
      </c>
      <c r="E80" s="2">
        <v>41565</v>
      </c>
      <c r="F80" s="2">
        <v>43773</v>
      </c>
      <c r="G80" s="2">
        <v>40905</v>
      </c>
      <c r="I80" t="str" s="0">
        <f t="shared" si="21"/>
        <v>03/18</v>
      </c>
      <c r="J80" s="2">
        <f t="shared" si="22"/>
        <v>923734</v>
      </c>
      <c r="K80" s="2">
        <f t="shared" si="23"/>
        <v>945698</v>
      </c>
      <c r="L80" s="2">
        <f t="shared" si="24"/>
        <v>1076922</v>
      </c>
      <c r="M80" s="2">
        <f t="shared" si="25"/>
        <v>1146770</v>
      </c>
      <c r="N80" s="2">
        <f t="shared" si="26"/>
        <v>1074501</v>
      </c>
      <c r="O80" s="2">
        <f t="shared" si="27"/>
        <v>908414</v>
      </c>
      <c r="P80" s="2">
        <f t="shared" si="28"/>
        <v>1474372</v>
      </c>
      <c r="Q80" s="2">
        <f t="shared" si="29"/>
        <v>1270224</v>
      </c>
      <c r="R80" s="2">
        <f t="shared" si="30"/>
        <v>1295844</v>
      </c>
      <c r="S80" s="2">
        <f t="shared" si="31"/>
        <v>1421277</v>
      </c>
      <c r="T80" s="2">
        <f t="shared" si="32"/>
        <v>847823</v>
      </c>
      <c r="U80" s="2" t="e">
        <f t="shared" si="34"/>
        <v>#N/A</v>
      </c>
      <c r="V80" s="2" t="e">
        <f t="shared" si="35"/>
        <v>#N/A</v>
      </c>
      <c r="W80" s="2" t="e">
        <f t="shared" si="36"/>
        <v>#N/A</v>
      </c>
      <c r="X80" s="2" t="e">
        <f t="shared" si="37"/>
        <v>#N/A</v>
      </c>
      <c r="Y80" s="2" t="e">
        <f t="shared" si="38"/>
        <v>#N/A</v>
      </c>
      <c r="Z80" s="0">
        <f t="shared" ca="1" si="40"/>
        <v>1274026.2</v>
      </c>
      <c r="AA80" s="0">
        <f t="shared" ca="1" si="39"/>
        <v>1153775.6000000001</v>
      </c>
      <c r="AB80" cm="1" s="0">
        <f t="array" ref="AB80">MAX(IF(ISNUMBER(J80:Y80),J80:Y80))</f>
        <v>1474372</v>
      </c>
      <c r="AC80" cm="1" s="0">
        <f t="array" ref="AC80">MIN(IF(ISNUMBER(J80:Y80),J80:Y80))</f>
        <v>847823</v>
      </c>
      <c r="AD80" s="0">
        <f t="shared" si="33"/>
        <v>626549</v>
      </c>
    </row>
    <row r="81" spans="1:30" x14ac:dyDescent="0.2">
      <c r="A81" t="s" s="0">
        <v>3916</v>
      </c>
      <c r="B81" s="2">
        <v>960096</v>
      </c>
      <c r="C81" s="2">
        <v>37322</v>
      </c>
      <c r="D81" s="2">
        <v>40886</v>
      </c>
      <c r="E81" s="2">
        <v>41494</v>
      </c>
      <c r="F81" s="2">
        <v>48850</v>
      </c>
      <c r="G81" s="2">
        <v>41707</v>
      </c>
      <c r="I81" t="str" s="0">
        <f t="shared" si="21"/>
        <v>03/19</v>
      </c>
      <c r="J81" s="2">
        <f t="shared" si="22"/>
        <v>920896</v>
      </c>
      <c r="K81" s="2">
        <f t="shared" si="23"/>
        <v>945698</v>
      </c>
      <c r="L81" s="2">
        <f t="shared" si="24"/>
        <v>1053021</v>
      </c>
      <c r="M81" s="2">
        <f t="shared" si="25"/>
        <v>1213948</v>
      </c>
      <c r="N81" s="2">
        <f t="shared" si="26"/>
        <v>1055991</v>
      </c>
      <c r="O81" s="2">
        <f t="shared" si="27"/>
        <v>899141</v>
      </c>
      <c r="P81" s="2">
        <f t="shared" si="28"/>
        <v>1474372</v>
      </c>
      <c r="Q81" s="2">
        <f t="shared" si="29"/>
        <v>1270224</v>
      </c>
      <c r="R81" s="2">
        <f t="shared" si="30"/>
        <v>1288383</v>
      </c>
      <c r="S81" s="2">
        <f t="shared" si="31"/>
        <v>1375900</v>
      </c>
      <c r="T81" s="2">
        <f t="shared" si="32"/>
        <v>706530</v>
      </c>
      <c r="U81" s="2" t="e">
        <f t="shared" si="34"/>
        <v>#N/A</v>
      </c>
      <c r="V81" s="2" t="e">
        <f t="shared" si="35"/>
        <v>#N/A</v>
      </c>
      <c r="W81" s="2" t="e">
        <f t="shared" si="36"/>
        <v>#N/A</v>
      </c>
      <c r="X81" s="2" t="e">
        <f t="shared" si="37"/>
        <v>#N/A</v>
      </c>
      <c r="Y81" s="2" t="e">
        <f t="shared" si="38"/>
        <v>#N/A</v>
      </c>
      <c r="Z81" s="0">
        <f t="shared" ca="1" si="40"/>
        <v>1261604</v>
      </c>
      <c r="AA81" s="0">
        <f t="shared" ca="1" si="39"/>
        <v>1149757.3999999999</v>
      </c>
      <c r="AB81" cm="1" s="0">
        <f t="array" ref="AB81">MAX(IF(ISNUMBER(J81:Y81),J81:Y81))</f>
        <v>1474372</v>
      </c>
      <c r="AC81" cm="1" s="0">
        <f t="array" ref="AC81">MIN(IF(ISNUMBER(J81:Y81),J81:Y81))</f>
        <v>706530</v>
      </c>
      <c r="AD81" s="0">
        <f t="shared" si="33"/>
        <v>767842</v>
      </c>
    </row>
    <row r="82" spans="1:30" x14ac:dyDescent="0.2">
      <c r="A82" t="s" s="0">
        <v>3915</v>
      </c>
      <c r="B82" s="2">
        <v>1018878</v>
      </c>
      <c r="C82" s="2">
        <v>38330</v>
      </c>
      <c r="D82" s="2">
        <v>38158</v>
      </c>
      <c r="E82" s="2">
        <v>41109</v>
      </c>
      <c r="F82" s="2">
        <v>46060</v>
      </c>
      <c r="G82" s="2">
        <v>44977</v>
      </c>
      <c r="I82" t="str" s="0">
        <f t="shared" si="21"/>
        <v>03/20</v>
      </c>
      <c r="J82" s="2">
        <f t="shared" si="22"/>
        <v>920896</v>
      </c>
      <c r="K82" s="2">
        <f t="shared" si="23"/>
        <v>903772</v>
      </c>
      <c r="L82" s="2">
        <f t="shared" si="24"/>
        <v>1037774</v>
      </c>
      <c r="M82" s="2">
        <f t="shared" si="25"/>
        <v>1180395</v>
      </c>
      <c r="N82" s="2">
        <f t="shared" si="26"/>
        <v>1171914</v>
      </c>
      <c r="O82" s="2">
        <f t="shared" si="27"/>
        <v>899141</v>
      </c>
      <c r="P82" s="2">
        <f t="shared" si="28"/>
        <v>1474372</v>
      </c>
      <c r="Q82" s="2">
        <f t="shared" si="29"/>
        <v>1276339</v>
      </c>
      <c r="R82" s="2">
        <f t="shared" si="30"/>
        <v>1255681</v>
      </c>
      <c r="S82" s="2">
        <f t="shared" si="31"/>
        <v>1417538</v>
      </c>
      <c r="T82" s="2">
        <f t="shared" si="32"/>
        <v>704076</v>
      </c>
      <c r="U82" s="2" t="e">
        <f t="shared" si="34"/>
        <v>#N/A</v>
      </c>
      <c r="V82" s="2" t="e">
        <f t="shared" si="35"/>
        <v>#N/A</v>
      </c>
      <c r="W82" s="2" t="e">
        <f t="shared" si="36"/>
        <v>#N/A</v>
      </c>
      <c r="X82" s="2" t="e">
        <f t="shared" si="37"/>
        <v>#N/A</v>
      </c>
      <c r="Y82" s="2" t="e">
        <f t="shared" si="38"/>
        <v>#N/A</v>
      </c>
      <c r="Z82" s="0">
        <f t="shared" ca="1" si="40"/>
        <v>1264614.2</v>
      </c>
      <c r="AA82" s="0">
        <f t="shared" ca="1" si="39"/>
        <v>1153782.2</v>
      </c>
      <c r="AB82" cm="1" s="0">
        <f t="array" ref="AB82">MAX(IF(ISNUMBER(J82:Y82),J82:Y82))</f>
        <v>1474372</v>
      </c>
      <c r="AC82" cm="1" s="0">
        <f t="array" ref="AC82">MIN(IF(ISNUMBER(J82:Y82),J82:Y82))</f>
        <v>704076</v>
      </c>
      <c r="AD82" s="0">
        <f t="shared" si="33"/>
        <v>770296</v>
      </c>
    </row>
    <row r="83" spans="1:30" x14ac:dyDescent="0.2">
      <c r="A83" t="s" s="0">
        <v>3914</v>
      </c>
      <c r="B83" s="3">
        <v>1018878</v>
      </c>
      <c r="C83" s="3">
        <v>38330</v>
      </c>
      <c r="D83" s="3">
        <v>38158</v>
      </c>
      <c r="E83" s="3">
        <v>41109</v>
      </c>
      <c r="F83" s="3">
        <v>46060</v>
      </c>
      <c r="G83" s="3">
        <v>44977</v>
      </c>
      <c r="I83" t="str" s="0">
        <f t="shared" si="21"/>
        <v>03/21</v>
      </c>
      <c r="J83" s="2">
        <f t="shared" si="22"/>
        <v>920896</v>
      </c>
      <c r="K83" s="2">
        <f t="shared" si="23"/>
        <v>916781</v>
      </c>
      <c r="L83" s="2">
        <f t="shared" si="24"/>
        <v>1030704</v>
      </c>
      <c r="M83" s="2">
        <f t="shared" si="25"/>
        <v>1126527</v>
      </c>
      <c r="N83" s="2">
        <f t="shared" si="26"/>
        <v>1130658</v>
      </c>
      <c r="O83" s="2">
        <f t="shared" si="27"/>
        <v>899141</v>
      </c>
      <c r="P83" s="2">
        <f t="shared" si="28"/>
        <v>1430980</v>
      </c>
      <c r="Q83" s="2">
        <f t="shared" si="29"/>
        <v>1241634</v>
      </c>
      <c r="R83" s="2">
        <f t="shared" si="30"/>
        <v>1332468</v>
      </c>
      <c r="S83" s="2">
        <f t="shared" si="31"/>
        <v>1363505</v>
      </c>
      <c r="T83" s="2">
        <f t="shared" si="32"/>
        <v>704076</v>
      </c>
      <c r="U83" s="2" t="e">
        <f t="shared" si="34"/>
        <v>#N/A</v>
      </c>
      <c r="V83" s="2" t="e">
        <f t="shared" si="35"/>
        <v>#N/A</v>
      </c>
      <c r="W83" s="2" t="e">
        <f t="shared" si="36"/>
        <v>#N/A</v>
      </c>
      <c r="X83" s="2" t="e">
        <f t="shared" si="37"/>
        <v>#N/A</v>
      </c>
      <c r="Y83" s="2" t="e">
        <f t="shared" si="38"/>
        <v>#N/A</v>
      </c>
      <c r="Z83" s="0">
        <f t="shared" ca="1" si="40"/>
        <v>1253545.6000000001</v>
      </c>
      <c r="AA83" s="0">
        <f t="shared" ca="1" si="39"/>
        <v>1139329.3999999999</v>
      </c>
      <c r="AB83" cm="1" s="0">
        <f t="array" ref="AB83">MAX(IF(ISNUMBER(J83:Y83),J83:Y83))</f>
        <v>1430980</v>
      </c>
      <c r="AC83" cm="1" s="0">
        <f t="array" ref="AC83">MIN(IF(ISNUMBER(J83:Y83),J83:Y83))</f>
        <v>704076</v>
      </c>
      <c r="AD83" s="0">
        <f t="shared" si="33"/>
        <v>726904</v>
      </c>
    </row>
    <row r="84" spans="1:30" x14ac:dyDescent="0.2">
      <c r="A84" t="s" s="0">
        <v>3913</v>
      </c>
      <c r="B84" s="3">
        <v>1018878</v>
      </c>
      <c r="C84" s="3">
        <v>38330</v>
      </c>
      <c r="D84" s="3">
        <v>38158</v>
      </c>
      <c r="E84" s="3">
        <v>41109</v>
      </c>
      <c r="F84" s="3">
        <v>46060</v>
      </c>
      <c r="G84" s="3">
        <v>44977</v>
      </c>
      <c r="I84" t="str" s="0">
        <f t="shared" si="21"/>
        <v>03/22</v>
      </c>
      <c r="J84" s="2">
        <f t="shared" si="22"/>
        <v>990002</v>
      </c>
      <c r="K84" s="2">
        <f t="shared" si="23"/>
        <v>910041</v>
      </c>
      <c r="L84" s="2">
        <f t="shared" si="24"/>
        <v>991459</v>
      </c>
      <c r="M84" s="2">
        <f t="shared" si="25"/>
        <v>1121190</v>
      </c>
      <c r="N84" s="2">
        <f t="shared" si="26"/>
        <v>1130658</v>
      </c>
      <c r="O84" s="2">
        <f t="shared" si="27"/>
        <v>857970</v>
      </c>
      <c r="P84" s="2">
        <f t="shared" si="28"/>
        <v>1482658</v>
      </c>
      <c r="Q84" s="2">
        <f t="shared" si="29"/>
        <v>1209529</v>
      </c>
      <c r="R84" s="2">
        <f t="shared" si="30"/>
        <v>1286754</v>
      </c>
      <c r="S84" s="2">
        <f t="shared" si="31"/>
        <v>1363505</v>
      </c>
      <c r="T84" s="2">
        <f t="shared" si="32"/>
        <v>704076</v>
      </c>
      <c r="U84" s="2" t="e">
        <f t="shared" si="34"/>
        <v>#N/A</v>
      </c>
      <c r="V84" s="2" t="e">
        <f t="shared" si="35"/>
        <v>#N/A</v>
      </c>
      <c r="W84" s="2" t="e">
        <f t="shared" si="36"/>
        <v>#N/A</v>
      </c>
      <c r="X84" s="2" t="e">
        <f t="shared" si="37"/>
        <v>#N/A</v>
      </c>
      <c r="Y84" s="2" t="e">
        <f t="shared" si="38"/>
        <v>#N/A</v>
      </c>
      <c r="Z84" s="0">
        <f t="shared" ca="1" si="40"/>
        <v>1240083.2</v>
      </c>
      <c r="AA84" s="0">
        <f t="shared" ca="1" si="39"/>
        <v>1134376.6000000001</v>
      </c>
      <c r="AB84" cm="1" s="0">
        <f t="array" ref="AB84">MAX(IF(ISNUMBER(J84:Y84),J84:Y84))</f>
        <v>1482658</v>
      </c>
      <c r="AC84" cm="1" s="0">
        <f t="array" ref="AC84">MIN(IF(ISNUMBER(J84:Y84),J84:Y84))</f>
        <v>704076</v>
      </c>
      <c r="AD84" s="0">
        <f t="shared" si="33"/>
        <v>778582</v>
      </c>
    </row>
    <row r="85" spans="1:30" x14ac:dyDescent="0.2">
      <c r="A85" t="s" s="0">
        <v>3912</v>
      </c>
      <c r="B85" s="2">
        <v>1040870</v>
      </c>
      <c r="C85" s="2">
        <v>23490</v>
      </c>
      <c r="D85" s="2">
        <v>43636</v>
      </c>
      <c r="E85" s="2">
        <v>41033</v>
      </c>
      <c r="F85" s="2">
        <v>59268</v>
      </c>
      <c r="G85" s="2">
        <v>46504</v>
      </c>
      <c r="I85" t="str" s="0">
        <f t="shared" si="21"/>
        <v>03/23</v>
      </c>
      <c r="J85" s="2">
        <f t="shared" si="22"/>
        <v>979104</v>
      </c>
      <c r="K85" s="2">
        <f t="shared" si="23"/>
        <v>874319</v>
      </c>
      <c r="L85" s="2">
        <f t="shared" si="24"/>
        <v>970408</v>
      </c>
      <c r="M85" s="2">
        <f t="shared" si="25"/>
        <v>1121190</v>
      </c>
      <c r="N85" s="2">
        <f t="shared" si="26"/>
        <v>1130658</v>
      </c>
      <c r="O85" s="2">
        <f t="shared" si="27"/>
        <v>1094125</v>
      </c>
      <c r="P85" s="2">
        <f t="shared" si="28"/>
        <v>1574866</v>
      </c>
      <c r="Q85" s="2">
        <f t="shared" si="29"/>
        <v>1238012</v>
      </c>
      <c r="R85" s="2">
        <f t="shared" si="30"/>
        <v>1243077</v>
      </c>
      <c r="S85" s="2">
        <f t="shared" si="31"/>
        <v>1363505</v>
      </c>
      <c r="T85" s="2">
        <f t="shared" si="32"/>
        <v>718834</v>
      </c>
      <c r="U85" s="2" t="e">
        <f t="shared" si="34"/>
        <v>#N/A</v>
      </c>
      <c r="V85" s="2" t="e">
        <f t="shared" si="35"/>
        <v>#N/A</v>
      </c>
      <c r="W85" s="2" t="e">
        <f t="shared" si="36"/>
        <v>#N/A</v>
      </c>
      <c r="X85" s="2" t="e">
        <f t="shared" si="37"/>
        <v>#N/A</v>
      </c>
      <c r="Y85" s="2" t="e">
        <f t="shared" si="38"/>
        <v>#N/A</v>
      </c>
      <c r="Z85" s="0">
        <f t="shared" ca="1" si="40"/>
        <v>1302717</v>
      </c>
      <c r="AA85" s="0">
        <f t="shared" ca="1" si="39"/>
        <v>1158926.3999999999</v>
      </c>
      <c r="AB85" cm="1" s="0">
        <f t="array" ref="AB85">MAX(IF(ISNUMBER(J85:Y85),J85:Y85))</f>
        <v>1574866</v>
      </c>
      <c r="AC85" cm="1" s="0">
        <f t="array" ref="AC85">MIN(IF(ISNUMBER(J85:Y85),J85:Y85))</f>
        <v>718834</v>
      </c>
      <c r="AD85" s="0">
        <f t="shared" si="33"/>
        <v>856032</v>
      </c>
    </row>
    <row r="86" spans="1:30" x14ac:dyDescent="0.2">
      <c r="A86" t="s" s="0">
        <v>3911</v>
      </c>
      <c r="B86" s="2">
        <v>1059578</v>
      </c>
      <c r="C86" s="2">
        <v>36179</v>
      </c>
      <c r="D86" s="2">
        <v>43162</v>
      </c>
      <c r="E86" s="2">
        <v>40877</v>
      </c>
      <c r="F86" s="2">
        <v>58605</v>
      </c>
      <c r="G86" s="2">
        <v>45214</v>
      </c>
      <c r="I86" t="str" s="0">
        <f t="shared" si="21"/>
        <v>03/24</v>
      </c>
      <c r="J86" s="2">
        <f t="shared" si="22"/>
        <v>967774</v>
      </c>
      <c r="K86" s="2">
        <f t="shared" si="23"/>
        <v>892425</v>
      </c>
      <c r="L86" s="2">
        <f t="shared" si="24"/>
        <v>970408</v>
      </c>
      <c r="M86" s="2">
        <f t="shared" si="25"/>
        <v>1121190</v>
      </c>
      <c r="N86" s="2">
        <f t="shared" si="26"/>
        <v>1036621</v>
      </c>
      <c r="O86" s="2">
        <f t="shared" si="27"/>
        <v>1152569</v>
      </c>
      <c r="P86" s="2">
        <f t="shared" si="28"/>
        <v>1550585</v>
      </c>
      <c r="Q86" s="2">
        <f t="shared" si="29"/>
        <v>1204071</v>
      </c>
      <c r="R86" s="2">
        <f t="shared" si="30"/>
        <v>1243077</v>
      </c>
      <c r="S86" s="2">
        <f t="shared" si="31"/>
        <v>1413179</v>
      </c>
      <c r="T86" s="2">
        <f t="shared" si="32"/>
        <v>723906</v>
      </c>
      <c r="U86" s="2" t="e">
        <f t="shared" si="34"/>
        <v>#N/A</v>
      </c>
      <c r="V86" s="2" t="e">
        <f t="shared" si="35"/>
        <v>#N/A</v>
      </c>
      <c r="W86" s="2" t="e">
        <f t="shared" si="36"/>
        <v>#N/A</v>
      </c>
      <c r="X86" s="2" t="e">
        <f t="shared" si="37"/>
        <v>#N/A</v>
      </c>
      <c r="Y86" s="2" t="e">
        <f t="shared" si="38"/>
        <v>#N/A</v>
      </c>
      <c r="Z86" s="0">
        <f t="shared" ca="1" si="40"/>
        <v>1312696.2</v>
      </c>
      <c r="AA86" s="0">
        <f t="shared" ca="1" si="39"/>
        <v>1155189.8999999999</v>
      </c>
      <c r="AB86" cm="1" s="0">
        <f t="array" ref="AB86">MAX(IF(ISNUMBER(J86:Y86),J86:Y86))</f>
        <v>1550585</v>
      </c>
      <c r="AC86" cm="1" s="0">
        <f t="array" ref="AC86">MIN(IF(ISNUMBER(J86:Y86),J86:Y86))</f>
        <v>723906</v>
      </c>
      <c r="AD86" s="0">
        <f t="shared" si="33"/>
        <v>826679</v>
      </c>
    </row>
    <row r="87" spans="1:30" x14ac:dyDescent="0.2">
      <c r="A87" t="s" s="0">
        <v>3910</v>
      </c>
      <c r="B87" s="2">
        <v>1046921</v>
      </c>
      <c r="C87" s="2">
        <v>46787</v>
      </c>
      <c r="D87" s="2">
        <v>44290</v>
      </c>
      <c r="E87" s="2">
        <v>41265</v>
      </c>
      <c r="F87" s="2">
        <v>59311</v>
      </c>
      <c r="G87" s="2">
        <v>45565</v>
      </c>
      <c r="I87" t="str" s="0">
        <f t="shared" si="21"/>
        <v>03/25</v>
      </c>
      <c r="J87" s="2">
        <f t="shared" si="22"/>
        <v>887931</v>
      </c>
      <c r="K87" s="2">
        <f t="shared" si="23"/>
        <v>892425</v>
      </c>
      <c r="L87" s="2">
        <f t="shared" si="24"/>
        <v>970408</v>
      </c>
      <c r="M87" s="2">
        <f t="shared" si="25"/>
        <v>1049088</v>
      </c>
      <c r="N87" s="2">
        <f t="shared" si="26"/>
        <v>1047636</v>
      </c>
      <c r="O87" s="2">
        <f t="shared" si="27"/>
        <v>1082095</v>
      </c>
      <c r="P87" s="2">
        <f t="shared" si="28"/>
        <v>1559403</v>
      </c>
      <c r="Q87" s="2">
        <f t="shared" si="29"/>
        <v>1204071</v>
      </c>
      <c r="R87" s="2">
        <f t="shared" si="30"/>
        <v>1243077</v>
      </c>
      <c r="S87" s="2">
        <f t="shared" si="31"/>
        <v>1358889</v>
      </c>
      <c r="T87" s="2">
        <f t="shared" si="32"/>
        <v>702234</v>
      </c>
      <c r="U87" s="2" t="e">
        <f t="shared" si="34"/>
        <v>#N/A</v>
      </c>
      <c r="V87" s="2" t="e">
        <f t="shared" si="35"/>
        <v>#N/A</v>
      </c>
      <c r="W87" s="2" t="e">
        <f t="shared" si="36"/>
        <v>#N/A</v>
      </c>
      <c r="X87" s="2" t="e">
        <f t="shared" si="37"/>
        <v>#N/A</v>
      </c>
      <c r="Y87" s="2" t="e">
        <f t="shared" si="38"/>
        <v>#N/A</v>
      </c>
      <c r="Z87" s="0">
        <f t="shared" ca="1" si="40"/>
        <v>1289507</v>
      </c>
      <c r="AA87" s="0">
        <f t="shared" ca="1" si="39"/>
        <v>1129502.3</v>
      </c>
      <c r="AB87" cm="1" s="0">
        <f t="array" ref="AB87">MAX(IF(ISNUMBER(J87:Y87),J87:Y87))</f>
        <v>1559403</v>
      </c>
      <c r="AC87" cm="1" s="0">
        <f t="array" ref="AC87">MIN(IF(ISNUMBER(J87:Y87),J87:Y87))</f>
        <v>702234</v>
      </c>
      <c r="AD87" s="0">
        <f t="shared" si="33"/>
        <v>857169</v>
      </c>
    </row>
    <row r="88" spans="1:30" x14ac:dyDescent="0.2">
      <c r="A88" t="s" s="0">
        <v>3909</v>
      </c>
      <c r="B88" s="2">
        <v>989196</v>
      </c>
      <c r="C88" s="2">
        <v>44141</v>
      </c>
      <c r="D88" s="2">
        <v>45987</v>
      </c>
      <c r="E88" s="2">
        <v>41348</v>
      </c>
      <c r="F88" s="2">
        <v>49217</v>
      </c>
      <c r="G88" s="2">
        <v>45636</v>
      </c>
      <c r="I88" t="str" s="0">
        <f t="shared" si="21"/>
        <v>03/26</v>
      </c>
      <c r="J88" s="2">
        <f t="shared" si="22"/>
        <v>893587</v>
      </c>
      <c r="K88" s="2">
        <f t="shared" si="23"/>
        <v>892425</v>
      </c>
      <c r="L88" s="2">
        <f t="shared" si="24"/>
        <v>968294</v>
      </c>
      <c r="M88" s="2">
        <f t="shared" si="25"/>
        <v>1206645</v>
      </c>
      <c r="N88" s="2">
        <f t="shared" si="26"/>
        <v>1010128</v>
      </c>
      <c r="O88" s="2">
        <f t="shared" si="27"/>
        <v>1115533</v>
      </c>
      <c r="P88" s="2">
        <f t="shared" si="28"/>
        <v>1559403</v>
      </c>
      <c r="Q88" s="2">
        <f t="shared" si="29"/>
        <v>1204071</v>
      </c>
      <c r="R88" s="2">
        <f t="shared" si="30"/>
        <v>1265855</v>
      </c>
      <c r="S88" s="2">
        <f t="shared" si="31"/>
        <v>1326355</v>
      </c>
      <c r="T88" s="2">
        <f t="shared" si="32"/>
        <v>680279</v>
      </c>
      <c r="U88" s="2" t="e">
        <f t="shared" si="34"/>
        <v>#N/A</v>
      </c>
      <c r="V88" s="2" t="e">
        <f t="shared" si="35"/>
        <v>#N/A</v>
      </c>
      <c r="W88" s="2" t="e">
        <f t="shared" si="36"/>
        <v>#N/A</v>
      </c>
      <c r="X88" s="2" t="e">
        <f t="shared" si="37"/>
        <v>#N/A</v>
      </c>
      <c r="Y88" s="2" t="e">
        <f t="shared" si="38"/>
        <v>#N/A</v>
      </c>
      <c r="Z88" s="0">
        <f t="shared" ca="1" si="40"/>
        <v>1294243.3999999999</v>
      </c>
      <c r="AA88" s="0">
        <f t="shared" ca="1" si="39"/>
        <v>1144229.6000000001</v>
      </c>
      <c r="AB88" cm="1" s="0">
        <f t="array" ref="AB88">MAX(IF(ISNUMBER(J88:Y88),J88:Y88))</f>
        <v>1559403</v>
      </c>
      <c r="AC88" cm="1" s="0">
        <f t="array" ref="AC88">MIN(IF(ISNUMBER(J88:Y88),J88:Y88))</f>
        <v>680279</v>
      </c>
      <c r="AD88" s="0">
        <f t="shared" si="33"/>
        <v>879124</v>
      </c>
    </row>
    <row r="89" spans="1:30" x14ac:dyDescent="0.2">
      <c r="A89" t="s" s="0">
        <v>3908</v>
      </c>
      <c r="B89" s="2">
        <v>1052076</v>
      </c>
      <c r="C89" s="2">
        <v>46320</v>
      </c>
      <c r="D89" s="2">
        <v>51414</v>
      </c>
      <c r="E89" s="2">
        <v>42648</v>
      </c>
      <c r="F89" s="2">
        <v>54630</v>
      </c>
      <c r="G89" s="2">
        <v>49517</v>
      </c>
      <c r="I89" t="str" s="0">
        <f t="shared" si="21"/>
        <v>03/27</v>
      </c>
      <c r="J89" s="2">
        <f t="shared" si="22"/>
        <v>893587</v>
      </c>
      <c r="K89" s="2">
        <f t="shared" si="23"/>
        <v>869518</v>
      </c>
      <c r="L89" s="2">
        <f t="shared" si="24"/>
        <v>934907</v>
      </c>
      <c r="M89" s="2">
        <f t="shared" si="25"/>
        <v>1197377</v>
      </c>
      <c r="N89" s="2">
        <f t="shared" si="26"/>
        <v>1040089</v>
      </c>
      <c r="O89" s="2">
        <f t="shared" si="27"/>
        <v>1115533</v>
      </c>
      <c r="P89" s="2">
        <f t="shared" si="28"/>
        <v>1559403</v>
      </c>
      <c r="Q89" s="2">
        <f t="shared" si="29"/>
        <v>1190358</v>
      </c>
      <c r="R89" s="2">
        <f t="shared" si="30"/>
        <v>1328767</v>
      </c>
      <c r="S89" s="2">
        <f t="shared" si="31"/>
        <v>1354909</v>
      </c>
      <c r="T89" s="2">
        <f t="shared" si="32"/>
        <v>650294</v>
      </c>
      <c r="U89" s="2" t="e">
        <f t="shared" si="34"/>
        <v>#N/A</v>
      </c>
      <c r="V89" s="2" t="e">
        <f t="shared" si="35"/>
        <v>#N/A</v>
      </c>
      <c r="W89" s="2" t="e">
        <f t="shared" si="36"/>
        <v>#N/A</v>
      </c>
      <c r="X89" s="2" t="e">
        <f t="shared" si="37"/>
        <v>#N/A</v>
      </c>
      <c r="Y89" s="2" t="e">
        <f t="shared" si="38"/>
        <v>#N/A</v>
      </c>
      <c r="Z89" s="0">
        <f t="shared" ca="1" si="40"/>
        <v>1309794</v>
      </c>
      <c r="AA89" s="0">
        <f t="shared" ca="1" si="39"/>
        <v>1148444.8</v>
      </c>
      <c r="AB89" cm="1" s="0">
        <f t="array" ref="AB89">MAX(IF(ISNUMBER(J89:Y89),J89:Y89))</f>
        <v>1559403</v>
      </c>
      <c r="AC89" cm="1" s="0">
        <f t="array" ref="AC89">MIN(IF(ISNUMBER(J89:Y89),J89:Y89))</f>
        <v>650294</v>
      </c>
      <c r="AD89" s="0">
        <f t="shared" si="33"/>
        <v>909109</v>
      </c>
    </row>
    <row r="90" spans="1:30" x14ac:dyDescent="0.2">
      <c r="A90" t="s" s="0">
        <v>3907</v>
      </c>
      <c r="B90" s="3">
        <v>1052076</v>
      </c>
      <c r="C90" s="3">
        <v>46320</v>
      </c>
      <c r="D90" s="3">
        <v>51414</v>
      </c>
      <c r="E90" s="3">
        <v>42648</v>
      </c>
      <c r="F90" s="3">
        <v>54630</v>
      </c>
      <c r="G90" s="3">
        <v>49517</v>
      </c>
      <c r="I90" t="str" s="0">
        <f t="shared" si="21"/>
        <v>03/28</v>
      </c>
      <c r="J90" s="2">
        <f t="shared" si="22"/>
        <v>893587</v>
      </c>
      <c r="K90" s="2">
        <f t="shared" si="23"/>
        <v>866942</v>
      </c>
      <c r="L90" s="2">
        <f t="shared" si="24"/>
        <v>921291</v>
      </c>
      <c r="M90" s="2">
        <f t="shared" si="25"/>
        <v>1305061</v>
      </c>
      <c r="N90" s="2">
        <f t="shared" si="26"/>
        <v>1031733</v>
      </c>
      <c r="O90" s="2">
        <f t="shared" si="27"/>
        <v>1115533</v>
      </c>
      <c r="P90" s="2">
        <f t="shared" si="28"/>
        <v>1569688</v>
      </c>
      <c r="Q90" s="2">
        <f t="shared" si="29"/>
        <v>1164890</v>
      </c>
      <c r="R90" s="2">
        <f t="shared" si="30"/>
        <v>1271406</v>
      </c>
      <c r="S90" s="2">
        <f t="shared" si="31"/>
        <v>1432069</v>
      </c>
      <c r="T90" s="2">
        <f t="shared" si="32"/>
        <v>650294</v>
      </c>
      <c r="U90" s="2" t="e">
        <f t="shared" si="34"/>
        <v>#N/A</v>
      </c>
      <c r="V90" s="2" t="e">
        <f t="shared" si="35"/>
        <v>#N/A</v>
      </c>
      <c r="W90" s="2" t="e">
        <f t="shared" si="36"/>
        <v>#N/A</v>
      </c>
      <c r="X90" s="2" t="e">
        <f t="shared" si="37"/>
        <v>#N/A</v>
      </c>
      <c r="Y90" s="2" t="e">
        <f t="shared" si="38"/>
        <v>#N/A</v>
      </c>
      <c r="Z90" s="0">
        <f t="shared" ca="1" si="40"/>
        <v>1310717.2</v>
      </c>
      <c r="AA90" s="0">
        <f t="shared" ca="1" si="39"/>
        <v>1157220</v>
      </c>
      <c r="AB90" cm="1" s="0">
        <f t="array" ref="AB90">MAX(IF(ISNUMBER(J90:Y90),J90:Y90))</f>
        <v>1569688</v>
      </c>
      <c r="AC90" cm="1" s="0">
        <f t="array" ref="AC90">MIN(IF(ISNUMBER(J90:Y90),J90:Y90))</f>
        <v>650294</v>
      </c>
      <c r="AD90" s="0">
        <f t="shared" si="33"/>
        <v>919394</v>
      </c>
    </row>
    <row r="91" spans="1:30" x14ac:dyDescent="0.2">
      <c r="A91" t="s" s="0">
        <v>3906</v>
      </c>
      <c r="B91" s="3">
        <v>1052076</v>
      </c>
      <c r="C91" s="3">
        <v>46320</v>
      </c>
      <c r="D91" s="3">
        <v>51414</v>
      </c>
      <c r="E91" s="3">
        <v>42648</v>
      </c>
      <c r="F91" s="3">
        <v>54630</v>
      </c>
      <c r="G91" s="3">
        <v>49517</v>
      </c>
      <c r="I91" t="str" s="0">
        <f t="shared" si="21"/>
        <v>03/29</v>
      </c>
      <c r="J91" s="2">
        <f t="shared" si="22"/>
        <v>806080</v>
      </c>
      <c r="K91" s="2">
        <f t="shared" si="23"/>
        <v>811981</v>
      </c>
      <c r="L91" s="2">
        <f t="shared" si="24"/>
        <v>906897</v>
      </c>
      <c r="M91" s="2">
        <f t="shared" si="25"/>
        <v>1263212</v>
      </c>
      <c r="N91" s="2">
        <f t="shared" si="26"/>
        <v>1031733</v>
      </c>
      <c r="O91" s="2">
        <f t="shared" si="27"/>
        <v>1136433</v>
      </c>
      <c r="P91" s="2">
        <f t="shared" si="28"/>
        <v>1557594</v>
      </c>
      <c r="Q91" s="2">
        <f t="shared" si="29"/>
        <v>1150439</v>
      </c>
      <c r="R91" s="2">
        <f t="shared" si="30"/>
        <v>1232655</v>
      </c>
      <c r="S91" s="2">
        <f t="shared" si="31"/>
        <v>1432069</v>
      </c>
      <c r="T91" s="2">
        <f t="shared" si="32"/>
        <v>650294</v>
      </c>
      <c r="U91" s="2" t="e">
        <f t="shared" si="34"/>
        <v>#N/A</v>
      </c>
      <c r="V91" s="2" t="e">
        <f t="shared" si="35"/>
        <v>#N/A</v>
      </c>
      <c r="W91" s="2" t="e">
        <f t="shared" si="36"/>
        <v>#N/A</v>
      </c>
      <c r="X91" s="2" t="e">
        <f t="shared" si="37"/>
        <v>#N/A</v>
      </c>
      <c r="Y91" s="2" t="e">
        <f t="shared" si="38"/>
        <v>#N/A</v>
      </c>
      <c r="Z91" s="0">
        <f t="shared" ca="1" si="40"/>
        <v>1301838</v>
      </c>
      <c r="AA91" s="0">
        <f t="shared" ca="1" si="39"/>
        <v>1132909.3</v>
      </c>
      <c r="AB91" cm="1" s="0">
        <f t="array" ref="AB91">MAX(IF(ISNUMBER(J91:Y91),J91:Y91))</f>
        <v>1557594</v>
      </c>
      <c r="AC91" cm="1" s="0">
        <f t="array" ref="AC91">MIN(IF(ISNUMBER(J91:Y91),J91:Y91))</f>
        <v>650294</v>
      </c>
      <c r="AD91" s="0">
        <f t="shared" si="33"/>
        <v>907300</v>
      </c>
    </row>
    <row r="92" spans="1:30" x14ac:dyDescent="0.2">
      <c r="A92" t="s" s="0">
        <v>3905</v>
      </c>
      <c r="B92" s="2">
        <v>1007451</v>
      </c>
      <c r="C92" s="2">
        <v>22119</v>
      </c>
      <c r="D92" s="2">
        <v>47726</v>
      </c>
      <c r="E92" s="2">
        <v>43162</v>
      </c>
      <c r="F92" s="2">
        <v>41425</v>
      </c>
      <c r="G92" s="2">
        <v>47777</v>
      </c>
      <c r="I92" t="str" s="0">
        <f t="shared" si="21"/>
        <v>03/30</v>
      </c>
      <c r="J92" s="2">
        <f t="shared" si="22"/>
        <v>888528</v>
      </c>
      <c r="K92" s="2">
        <f t="shared" si="23"/>
        <v>771475</v>
      </c>
      <c r="L92" s="2">
        <f t="shared" si="24"/>
        <v>1034784</v>
      </c>
      <c r="M92" s="2">
        <f t="shared" si="25"/>
        <v>1263212</v>
      </c>
      <c r="N92" s="2">
        <f t="shared" si="26"/>
        <v>1031733</v>
      </c>
      <c r="O92" s="2">
        <f t="shared" si="27"/>
        <v>1200924</v>
      </c>
      <c r="P92" s="2">
        <f t="shared" si="28"/>
        <v>1515600</v>
      </c>
      <c r="Q92" s="2">
        <f t="shared" si="29"/>
        <v>1204225</v>
      </c>
      <c r="R92" s="2">
        <f t="shared" si="30"/>
        <v>1201102</v>
      </c>
      <c r="S92" s="2">
        <f t="shared" si="31"/>
        <v>1432069</v>
      </c>
      <c r="T92" s="2">
        <f t="shared" si="32"/>
        <v>534244</v>
      </c>
      <c r="U92" s="2" t="e">
        <f t="shared" si="34"/>
        <v>#N/A</v>
      </c>
      <c r="V92" s="2" t="e">
        <f t="shared" si="35"/>
        <v>#N/A</v>
      </c>
      <c r="W92" s="2" t="e">
        <f t="shared" si="36"/>
        <v>#N/A</v>
      </c>
      <c r="X92" s="2" t="e">
        <f t="shared" si="37"/>
        <v>#N/A</v>
      </c>
      <c r="Y92" s="2" t="e">
        <f t="shared" si="38"/>
        <v>#N/A</v>
      </c>
      <c r="Z92" s="0">
        <f t="shared" ca="1" si="40"/>
        <v>1310784</v>
      </c>
      <c r="AA92" s="0">
        <f t="shared" ca="1" si="39"/>
        <v>1154365.2</v>
      </c>
      <c r="AB92" cm="1" s="0">
        <f t="array" ref="AB92">MAX(IF(ISNUMBER(J92:Y92),J92:Y92))</f>
        <v>1515600</v>
      </c>
      <c r="AC92" cm="1" s="0">
        <f t="array" ref="AC92">MIN(IF(ISNUMBER(J92:Y92),J92:Y92))</f>
        <v>534244</v>
      </c>
      <c r="AD92" s="0">
        <f t="shared" si="33"/>
        <v>981356</v>
      </c>
    </row>
    <row r="93" spans="1:30" x14ac:dyDescent="0.2">
      <c r="A93" t="s" s="0">
        <v>3904</v>
      </c>
      <c r="B93" s="2">
        <v>1001737</v>
      </c>
      <c r="C93" s="2">
        <v>40310</v>
      </c>
      <c r="D93" s="2">
        <v>48285</v>
      </c>
      <c r="E93" s="2">
        <v>43714</v>
      </c>
      <c r="F93" s="2">
        <v>38495</v>
      </c>
      <c r="G93" s="2">
        <v>49012</v>
      </c>
      <c r="I93" t="str" s="0">
        <f t="shared" si="21"/>
        <v>03/31</v>
      </c>
      <c r="J93" s="2">
        <f t="shared" si="22"/>
        <v>873372</v>
      </c>
      <c r="K93" s="2">
        <f t="shared" si="23"/>
        <v>828353</v>
      </c>
      <c r="L93" s="2">
        <f t="shared" si="24"/>
        <v>1034784</v>
      </c>
      <c r="M93" s="2">
        <f t="shared" si="25"/>
        <v>1263212</v>
      </c>
      <c r="N93" s="2">
        <f t="shared" si="26"/>
        <v>1081424</v>
      </c>
      <c r="O93" s="2">
        <f t="shared" si="27"/>
        <v>1248608</v>
      </c>
      <c r="P93" s="2">
        <f t="shared" si="28"/>
        <v>1478430</v>
      </c>
      <c r="Q93" s="2">
        <f t="shared" si="29"/>
        <v>1175810</v>
      </c>
      <c r="R93" s="2">
        <f t="shared" si="30"/>
        <v>1201102</v>
      </c>
      <c r="S93" s="2">
        <f t="shared" si="31"/>
        <v>1343557</v>
      </c>
      <c r="T93" s="2">
        <f t="shared" si="32"/>
        <v>544202</v>
      </c>
      <c r="U93" s="2" t="e">
        <f t="shared" si="34"/>
        <v>#N/A</v>
      </c>
      <c r="V93" s="2" t="e">
        <f t="shared" si="35"/>
        <v>#N/A</v>
      </c>
      <c r="W93" s="2" t="e">
        <f t="shared" si="36"/>
        <v>#N/A</v>
      </c>
      <c r="X93" s="2" t="e">
        <f t="shared" si="37"/>
        <v>#N/A</v>
      </c>
      <c r="Y93" s="2" t="e">
        <f t="shared" si="38"/>
        <v>#N/A</v>
      </c>
      <c r="Z93" s="0">
        <f t="shared" ca="1" si="40"/>
        <v>1289501.3999999999</v>
      </c>
      <c r="AA93" s="0">
        <f t="shared" ca="1" si="39"/>
        <v>1152865.2</v>
      </c>
      <c r="AB93" cm="1" s="0">
        <f t="array" ref="AB93">MAX(IF(ISNUMBER(J93:Y93),J93:Y93))</f>
        <v>1478430</v>
      </c>
      <c r="AC93" cm="1" s="0">
        <f t="array" ref="AC93">MIN(IF(ISNUMBER(J93:Y93),J93:Y93))</f>
        <v>544202</v>
      </c>
      <c r="AD93" s="0">
        <f t="shared" si="33"/>
        <v>934228</v>
      </c>
    </row>
    <row r="94" spans="1:30" x14ac:dyDescent="0.2">
      <c r="A94" t="s" s="0">
        <v>3903</v>
      </c>
      <c r="B94" s="2">
        <v>992917</v>
      </c>
      <c r="C94" s="2">
        <v>39471</v>
      </c>
      <c r="D94" s="2">
        <v>48608</v>
      </c>
      <c r="E94" s="2">
        <v>44241</v>
      </c>
      <c r="F94" s="2">
        <v>39226</v>
      </c>
      <c r="G94" s="2">
        <v>44451</v>
      </c>
      <c r="I94" t="str" s="0">
        <f t="shared" si="21"/>
        <v>04/01</v>
      </c>
      <c r="J94" s="2">
        <f t="shared" si="22"/>
        <v>885047</v>
      </c>
      <c r="K94" s="2">
        <f t="shared" si="23"/>
        <v>828353</v>
      </c>
      <c r="L94" s="2">
        <f t="shared" si="24"/>
        <v>1034784</v>
      </c>
      <c r="M94" s="2">
        <f t="shared" si="25"/>
        <v>1170885</v>
      </c>
      <c r="N94" s="2">
        <f t="shared" si="26"/>
        <v>1044816</v>
      </c>
      <c r="O94" s="2">
        <f t="shared" si="27"/>
        <v>1249063</v>
      </c>
      <c r="P94" s="2">
        <f t="shared" si="28"/>
        <v>1553351</v>
      </c>
      <c r="Q94" s="2">
        <f t="shared" si="29"/>
        <v>1175810</v>
      </c>
      <c r="R94" s="2">
        <f t="shared" si="30"/>
        <v>1201102</v>
      </c>
      <c r="S94" s="2">
        <f t="shared" si="31"/>
        <v>1308836</v>
      </c>
      <c r="T94" s="2">
        <f t="shared" si="32"/>
        <v>519595</v>
      </c>
      <c r="U94" s="2" t="e">
        <f t="shared" si="34"/>
        <v>#N/A</v>
      </c>
      <c r="V94" s="2" t="e">
        <f t="shared" si="35"/>
        <v>#N/A</v>
      </c>
      <c r="W94" s="2" t="e">
        <f t="shared" si="36"/>
        <v>#N/A</v>
      </c>
      <c r="X94" s="2" t="e">
        <f t="shared" si="37"/>
        <v>#N/A</v>
      </c>
      <c r="Y94" s="2" t="e">
        <f t="shared" si="38"/>
        <v>#N/A</v>
      </c>
      <c r="Z94" s="0">
        <f t="shared" ca="1" si="40"/>
        <v>1297632.3999999999</v>
      </c>
      <c r="AA94" s="0">
        <f t="shared" ca="1" si="39"/>
        <v>1145204.7</v>
      </c>
      <c r="AB94" cm="1" s="0">
        <f t="array" ref="AB94">MAX(IF(ISNUMBER(J94:Y94),J94:Y94))</f>
        <v>1553351</v>
      </c>
      <c r="AC94" cm="1" s="0">
        <f t="array" ref="AC94">MIN(IF(ISNUMBER(J94:Y94),J94:Y94))</f>
        <v>519595</v>
      </c>
      <c r="AD94" s="0">
        <f t="shared" si="33"/>
        <v>1033756</v>
      </c>
    </row>
    <row r="95" spans="1:30" x14ac:dyDescent="0.2">
      <c r="A95" t="s" s="0">
        <v>3902</v>
      </c>
      <c r="B95" s="2">
        <v>932315</v>
      </c>
      <c r="C95" s="2">
        <v>42117</v>
      </c>
      <c r="D95" s="2">
        <v>48809</v>
      </c>
      <c r="E95" s="2">
        <v>44878</v>
      </c>
      <c r="F95" s="2">
        <v>39017</v>
      </c>
      <c r="G95" s="2">
        <v>42315</v>
      </c>
      <c r="I95" t="str" s="0">
        <f t="shared" si="21"/>
        <v>04/02</v>
      </c>
      <c r="J95" s="2">
        <f t="shared" si="22"/>
        <v>886674</v>
      </c>
      <c r="K95" s="2">
        <f t="shared" si="23"/>
        <v>828353</v>
      </c>
      <c r="L95" s="2">
        <f t="shared" si="24"/>
        <v>1032004</v>
      </c>
      <c r="M95" s="2">
        <f t="shared" si="25"/>
        <v>1204519</v>
      </c>
      <c r="N95" s="2">
        <f t="shared" si="26"/>
        <v>1076813</v>
      </c>
      <c r="O95" s="2">
        <f t="shared" si="27"/>
        <v>1228684</v>
      </c>
      <c r="P95" s="2">
        <f t="shared" si="28"/>
        <v>1553351</v>
      </c>
      <c r="Q95" s="2">
        <f t="shared" si="29"/>
        <v>1175810</v>
      </c>
      <c r="R95" s="2">
        <f t="shared" si="30"/>
        <v>1163948</v>
      </c>
      <c r="S95" s="2">
        <f t="shared" si="31"/>
        <v>1338728</v>
      </c>
      <c r="T95" s="2">
        <f t="shared" si="32"/>
        <v>501158</v>
      </c>
      <c r="U95" s="2" t="e">
        <f t="shared" si="34"/>
        <v>#N/A</v>
      </c>
      <c r="V95" s="2" t="e">
        <f t="shared" si="35"/>
        <v>#N/A</v>
      </c>
      <c r="W95" s="2" t="e">
        <f t="shared" si="36"/>
        <v>#N/A</v>
      </c>
      <c r="X95" s="2" t="e">
        <f t="shared" si="37"/>
        <v>#N/A</v>
      </c>
      <c r="Y95" s="2" t="e">
        <f t="shared" si="38"/>
        <v>#N/A</v>
      </c>
      <c r="Z95" s="0">
        <f t="shared" ca="1" si="40"/>
        <v>1292104.2</v>
      </c>
      <c r="AA95" s="0">
        <f t="shared" ca="1" si="39"/>
        <v>1148888.3999999999</v>
      </c>
      <c r="AB95" cm="1" s="0">
        <f t="array" ref="AB95">MAX(IF(ISNUMBER(J95:Y95),J95:Y95))</f>
        <v>1553351</v>
      </c>
      <c r="AC95" cm="1" s="0">
        <f t="array" ref="AC95">MIN(IF(ISNUMBER(J95:Y95),J95:Y95))</f>
        <v>501158</v>
      </c>
      <c r="AD95" s="0">
        <f t="shared" si="33"/>
        <v>1052193</v>
      </c>
    </row>
    <row r="96" spans="1:30" x14ac:dyDescent="0.2">
      <c r="A96" t="s" s="0">
        <v>3901</v>
      </c>
      <c r="B96" s="2">
        <v>884730</v>
      </c>
      <c r="C96" s="2">
        <v>38530</v>
      </c>
      <c r="D96" s="2">
        <v>45163</v>
      </c>
      <c r="E96" s="2">
        <v>45428</v>
      </c>
      <c r="F96" s="2">
        <v>20650</v>
      </c>
      <c r="G96" s="2">
        <v>42541</v>
      </c>
      <c r="I96" t="str" s="0">
        <f t="shared" si="21"/>
        <v>04/03</v>
      </c>
      <c r="J96" s="2">
        <f t="shared" si="22"/>
        <v>886674</v>
      </c>
      <c r="K96" s="2">
        <f t="shared" si="23"/>
        <v>889338</v>
      </c>
      <c r="L96" s="2">
        <f t="shared" si="24"/>
        <v>1061641</v>
      </c>
      <c r="M96" s="2">
        <f t="shared" si="25"/>
        <v>1213563</v>
      </c>
      <c r="N96" s="2">
        <f t="shared" si="26"/>
        <v>1140040</v>
      </c>
      <c r="O96" s="2">
        <f t="shared" si="27"/>
        <v>1228684</v>
      </c>
      <c r="P96" s="2">
        <f t="shared" si="28"/>
        <v>1553351</v>
      </c>
      <c r="Q96" s="2">
        <f t="shared" si="29"/>
        <v>1150694</v>
      </c>
      <c r="R96" s="2">
        <f t="shared" si="30"/>
        <v>1237764</v>
      </c>
      <c r="S96" s="2">
        <f t="shared" si="31"/>
        <v>1342493</v>
      </c>
      <c r="T96" s="2">
        <f t="shared" si="32"/>
        <v>483482</v>
      </c>
      <c r="U96" s="2" t="e">
        <f t="shared" si="34"/>
        <v>#N/A</v>
      </c>
      <c r="V96" s="2" t="e">
        <f t="shared" si="35"/>
        <v>#N/A</v>
      </c>
      <c r="W96" s="2" t="e">
        <f t="shared" si="36"/>
        <v>#N/A</v>
      </c>
      <c r="X96" s="2" t="e">
        <f t="shared" si="37"/>
        <v>#N/A</v>
      </c>
      <c r="Y96" s="2" t="e">
        <f t="shared" si="38"/>
        <v>#N/A</v>
      </c>
      <c r="Z96" s="0">
        <f t="shared" ca="1" si="40"/>
        <v>1302597.2</v>
      </c>
      <c r="AA96" s="0">
        <f t="shared" ca="1" si="39"/>
        <v>1170424.2</v>
      </c>
      <c r="AB96" cm="1" s="0">
        <f t="array" ref="AB96">MAX(IF(ISNUMBER(J96:Y96),J96:Y96))</f>
        <v>1553351</v>
      </c>
      <c r="AC96" cm="1" s="0">
        <f t="array" ref="AC96">MIN(IF(ISNUMBER(J96:Y96),J96:Y96))</f>
        <v>483482</v>
      </c>
      <c r="AD96" s="0">
        <f t="shared" si="33"/>
        <v>1069869</v>
      </c>
    </row>
    <row r="97" spans="1:30" x14ac:dyDescent="0.2">
      <c r="A97" t="s" s="0">
        <v>3900</v>
      </c>
      <c r="B97" s="3">
        <v>884730</v>
      </c>
      <c r="C97" s="3">
        <v>38530</v>
      </c>
      <c r="D97" s="3">
        <v>45163</v>
      </c>
      <c r="E97" s="3">
        <v>45428</v>
      </c>
      <c r="F97" s="3">
        <v>20650</v>
      </c>
      <c r="G97" s="3">
        <v>42541</v>
      </c>
      <c r="I97" t="str" s="0">
        <f t="shared" si="21"/>
        <v>04/04</v>
      </c>
      <c r="J97" s="2">
        <f t="shared" si="22"/>
        <v>886674</v>
      </c>
      <c r="K97" s="2">
        <f t="shared" si="23"/>
        <v>840904</v>
      </c>
      <c r="L97" s="2">
        <f t="shared" si="24"/>
        <v>1016610</v>
      </c>
      <c r="M97" s="2">
        <f t="shared" si="25"/>
        <v>1190497</v>
      </c>
      <c r="N97" s="2">
        <f t="shared" si="26"/>
        <v>1087642</v>
      </c>
      <c r="O97" s="2">
        <f t="shared" si="27"/>
        <v>1228684</v>
      </c>
      <c r="P97" s="2">
        <f t="shared" si="28"/>
        <v>1531146</v>
      </c>
      <c r="Q97" s="2">
        <f t="shared" si="29"/>
        <v>1133427</v>
      </c>
      <c r="R97" s="2">
        <f t="shared" si="30"/>
        <v>1207803</v>
      </c>
      <c r="S97" s="2">
        <f t="shared" si="31"/>
        <v>1338640</v>
      </c>
      <c r="T97" s="2">
        <f t="shared" si="32"/>
        <v>483482</v>
      </c>
      <c r="U97" s="2" t="e">
        <f t="shared" si="34"/>
        <v>#N/A</v>
      </c>
      <c r="V97" s="2" t="e">
        <f t="shared" si="35"/>
        <v>#N/A</v>
      </c>
      <c r="W97" s="2" t="e">
        <f t="shared" si="36"/>
        <v>#N/A</v>
      </c>
      <c r="X97" s="2" t="e">
        <f t="shared" si="37"/>
        <v>#N/A</v>
      </c>
      <c r="Y97" s="2" t="e">
        <f t="shared" si="38"/>
        <v>#N/A</v>
      </c>
      <c r="Z97" s="0">
        <f t="shared" ca="1" si="40"/>
        <v>1287940</v>
      </c>
      <c r="AA97" s="0">
        <f t="shared" ca="1" si="39"/>
        <v>1146202.7</v>
      </c>
      <c r="AB97" cm="1" s="0">
        <f t="array" ref="AB97">MAX(IF(ISNUMBER(J97:Y97),J97:Y97))</f>
        <v>1531146</v>
      </c>
      <c r="AC97" cm="1" s="0">
        <f t="array" ref="AC97">MIN(IF(ISNUMBER(J97:Y97),J97:Y97))</f>
        <v>483482</v>
      </c>
      <c r="AD97" s="0">
        <f t="shared" si="33"/>
        <v>1047664</v>
      </c>
    </row>
    <row r="98" spans="1:30" x14ac:dyDescent="0.2">
      <c r="A98" t="s" s="0">
        <v>3899</v>
      </c>
      <c r="B98" s="3">
        <v>884730</v>
      </c>
      <c r="C98" s="3">
        <v>38530</v>
      </c>
      <c r="D98" s="3">
        <v>45163</v>
      </c>
      <c r="E98" s="3">
        <v>45428</v>
      </c>
      <c r="F98" s="3">
        <v>20650</v>
      </c>
      <c r="G98" s="3">
        <v>42541</v>
      </c>
      <c r="I98" t="str" s="0">
        <f t="shared" si="21"/>
        <v>04/05</v>
      </c>
      <c r="J98" s="2">
        <f t="shared" si="22"/>
        <v>943982</v>
      </c>
      <c r="K98" s="2">
        <f t="shared" si="23"/>
        <v>784067</v>
      </c>
      <c r="L98" s="2">
        <f t="shared" si="24"/>
        <v>1037440</v>
      </c>
      <c r="M98" s="2">
        <f t="shared" si="25"/>
        <v>1184932</v>
      </c>
      <c r="N98" s="2">
        <f t="shared" si="26"/>
        <v>1087642</v>
      </c>
      <c r="O98" s="2">
        <f t="shared" si="27"/>
        <v>1257539</v>
      </c>
      <c r="P98" s="2">
        <f t="shared" si="28"/>
        <v>1542960</v>
      </c>
      <c r="Q98" s="2">
        <f t="shared" si="29"/>
        <v>1098742</v>
      </c>
      <c r="R98" s="2">
        <f t="shared" si="30"/>
        <v>1220279</v>
      </c>
      <c r="S98" s="2">
        <f t="shared" si="31"/>
        <v>1338640</v>
      </c>
      <c r="T98" s="2">
        <f t="shared" si="32"/>
        <v>483482</v>
      </c>
      <c r="U98" s="2" t="e">
        <f t="shared" si="34"/>
        <v>#N/A</v>
      </c>
      <c r="V98" s="2" t="e">
        <f t="shared" si="35"/>
        <v>#N/A</v>
      </c>
      <c r="W98" s="2" t="e">
        <f t="shared" si="36"/>
        <v>#N/A</v>
      </c>
      <c r="X98" s="2" t="e">
        <f t="shared" si="37"/>
        <v>#N/A</v>
      </c>
      <c r="Y98" s="2" t="e">
        <f t="shared" si="38"/>
        <v>#N/A</v>
      </c>
      <c r="Z98" s="0">
        <f t="shared" ca="1" si="40"/>
        <v>1291632</v>
      </c>
      <c r="AA98" s="0">
        <f t="shared" ca="1" si="39"/>
        <v>1149622.3</v>
      </c>
      <c r="AB98" cm="1" s="0">
        <f t="array" ref="AB98">MAX(IF(ISNUMBER(J98:Y98),J98:Y98))</f>
        <v>1542960</v>
      </c>
      <c r="AC98" cm="1" s="0">
        <f t="array" ref="AC98">MIN(IF(ISNUMBER(J98:Y98),J98:Y98))</f>
        <v>483482</v>
      </c>
      <c r="AD98" s="0">
        <f t="shared" si="33"/>
        <v>1059478</v>
      </c>
    </row>
    <row r="99" spans="1:30" x14ac:dyDescent="0.2">
      <c r="A99" t="s" s="0">
        <v>3898</v>
      </c>
      <c r="B99" s="2">
        <v>886242</v>
      </c>
      <c r="C99" s="2">
        <v>20842</v>
      </c>
      <c r="D99" s="2">
        <v>43569</v>
      </c>
      <c r="E99" s="2">
        <v>44524</v>
      </c>
      <c r="F99" s="2">
        <v>25647</v>
      </c>
      <c r="G99" s="2">
        <v>41507</v>
      </c>
      <c r="I99" t="str" s="0">
        <f t="shared" si="21"/>
        <v>04/06</v>
      </c>
      <c r="J99" s="2">
        <f t="shared" si="22"/>
        <v>931734</v>
      </c>
      <c r="K99" s="2">
        <f t="shared" si="23"/>
        <v>858125</v>
      </c>
      <c r="L99" s="2">
        <f t="shared" si="24"/>
        <v>1017805</v>
      </c>
      <c r="M99" s="2">
        <f t="shared" si="25"/>
        <v>1184932</v>
      </c>
      <c r="N99" s="2">
        <f t="shared" si="26"/>
        <v>1087642</v>
      </c>
      <c r="O99" s="2">
        <f t="shared" si="27"/>
        <v>1315375</v>
      </c>
      <c r="P99" s="2">
        <f t="shared" si="28"/>
        <v>1475986</v>
      </c>
      <c r="Q99" s="2">
        <f t="shared" si="29"/>
        <v>1095742</v>
      </c>
      <c r="R99" s="2">
        <f t="shared" si="30"/>
        <v>1220508</v>
      </c>
      <c r="S99" s="2">
        <f t="shared" si="31"/>
        <v>1338640</v>
      </c>
      <c r="T99" s="2">
        <f t="shared" si="32"/>
        <v>482551</v>
      </c>
      <c r="U99" s="2" t="e">
        <f t="shared" si="34"/>
        <v>#N/A</v>
      </c>
      <c r="V99" s="2" t="e">
        <f t="shared" si="35"/>
        <v>#N/A</v>
      </c>
      <c r="W99" s="2" t="e">
        <f t="shared" si="36"/>
        <v>#N/A</v>
      </c>
      <c r="X99" s="2" t="e">
        <f t="shared" si="37"/>
        <v>#N/A</v>
      </c>
      <c r="Y99" s="2" t="e">
        <f t="shared" si="38"/>
        <v>#N/A</v>
      </c>
      <c r="Z99" s="0">
        <f t="shared" ca="1" si="40"/>
        <v>1289250.2</v>
      </c>
      <c r="AA99" s="0">
        <f t="shared" ca="1" si="39"/>
        <v>1152648.8999999999</v>
      </c>
      <c r="AB99" cm="1" s="0">
        <f t="array" ref="AB99">MAX(IF(ISNUMBER(J99:Y99),J99:Y99))</f>
        <v>1475986</v>
      </c>
      <c r="AC99" cm="1" s="0">
        <f t="array" ref="AC99">MIN(IF(ISNUMBER(J99:Y99),J99:Y99))</f>
        <v>482551</v>
      </c>
      <c r="AD99" s="0">
        <f t="shared" si="33"/>
        <v>993435</v>
      </c>
    </row>
    <row r="100" spans="1:30" x14ac:dyDescent="0.2">
      <c r="A100" t="s" s="0">
        <v>3897</v>
      </c>
      <c r="B100" s="2">
        <v>886532</v>
      </c>
      <c r="C100" s="2">
        <v>39583</v>
      </c>
      <c r="D100" s="2">
        <v>43466</v>
      </c>
      <c r="E100" s="2">
        <v>44764</v>
      </c>
      <c r="F100" s="2">
        <v>26401</v>
      </c>
      <c r="G100" s="2">
        <v>41514</v>
      </c>
      <c r="I100" t="str" s="0">
        <f t="shared" si="21"/>
        <v>04/07</v>
      </c>
      <c r="J100" s="2">
        <f t="shared" si="22"/>
        <v>967050</v>
      </c>
      <c r="K100" s="2">
        <f t="shared" si="23"/>
        <v>868451</v>
      </c>
      <c r="L100" s="2">
        <f t="shared" si="24"/>
        <v>1017805</v>
      </c>
      <c r="M100" s="2">
        <f t="shared" si="25"/>
        <v>1184932</v>
      </c>
      <c r="N100" s="2">
        <f t="shared" si="26"/>
        <v>1000158</v>
      </c>
      <c r="O100" s="2">
        <f t="shared" si="27"/>
        <v>1280073</v>
      </c>
      <c r="P100" s="2">
        <f t="shared" si="28"/>
        <v>1518909</v>
      </c>
      <c r="Q100" s="2">
        <f t="shared" si="29"/>
        <v>1136354</v>
      </c>
      <c r="R100" s="2">
        <f t="shared" si="30"/>
        <v>1220508</v>
      </c>
      <c r="S100" s="2">
        <f t="shared" si="31"/>
        <v>1301376</v>
      </c>
      <c r="T100" s="2">
        <f t="shared" si="32"/>
        <v>459839</v>
      </c>
      <c r="U100" s="2" t="e">
        <f t="shared" si="34"/>
        <v>#N/A</v>
      </c>
      <c r="V100" s="2" t="e">
        <f t="shared" si="35"/>
        <v>#N/A</v>
      </c>
      <c r="W100" s="2" t="e">
        <f t="shared" si="36"/>
        <v>#N/A</v>
      </c>
      <c r="X100" s="2" t="e">
        <f t="shared" si="37"/>
        <v>#N/A</v>
      </c>
      <c r="Y100" s="2" t="e">
        <f t="shared" si="38"/>
        <v>#N/A</v>
      </c>
      <c r="Z100" s="0">
        <f t="shared" ca="1" si="40"/>
        <v>1291444</v>
      </c>
      <c r="AA100" s="0">
        <f t="shared" ca="1" si="39"/>
        <v>1149561.6000000001</v>
      </c>
      <c r="AB100" cm="1" s="0">
        <f t="array" ref="AB100">MAX(IF(ISNUMBER(J100:Y100),J100:Y100))</f>
        <v>1518909</v>
      </c>
      <c r="AC100" cm="1" s="0">
        <f t="array" ref="AC100">MIN(IF(ISNUMBER(J100:Y100),J100:Y100))</f>
        <v>459839</v>
      </c>
      <c r="AD100" s="0">
        <f t="shared" si="33"/>
        <v>1059070</v>
      </c>
    </row>
    <row r="101" spans="1:30" x14ac:dyDescent="0.2">
      <c r="A101" t="s" s="0">
        <v>3896</v>
      </c>
      <c r="B101" s="2">
        <v>924258</v>
      </c>
      <c r="C101" s="2">
        <v>37274</v>
      </c>
      <c r="D101" s="2">
        <v>40242</v>
      </c>
      <c r="E101" s="2">
        <v>44177</v>
      </c>
      <c r="F101" s="2">
        <v>29966</v>
      </c>
      <c r="G101" s="2">
        <v>43069</v>
      </c>
      <c r="I101" t="str" s="0">
        <f t="shared" si="21"/>
        <v>04/08</v>
      </c>
      <c r="J101" s="2">
        <f t="shared" si="22"/>
        <v>930082</v>
      </c>
      <c r="K101" s="2">
        <f t="shared" si="23"/>
        <v>868451</v>
      </c>
      <c r="L101" s="2">
        <f t="shared" si="24"/>
        <v>1017805</v>
      </c>
      <c r="M101" s="2">
        <f t="shared" si="25"/>
        <v>1208853</v>
      </c>
      <c r="N101" s="2">
        <f t="shared" si="26"/>
        <v>967882</v>
      </c>
      <c r="O101" s="2">
        <f t="shared" si="27"/>
        <v>1256635</v>
      </c>
      <c r="P101" s="2">
        <f t="shared" si="28"/>
        <v>1463791</v>
      </c>
      <c r="Q101" s="2">
        <f t="shared" si="29"/>
        <v>1136354</v>
      </c>
      <c r="R101" s="2">
        <f t="shared" si="30"/>
        <v>1220508</v>
      </c>
      <c r="S101" s="2">
        <f t="shared" si="31"/>
        <v>1352766</v>
      </c>
      <c r="T101" s="2">
        <f t="shared" si="32"/>
        <v>437619</v>
      </c>
      <c r="U101" s="2" t="e">
        <f t="shared" si="34"/>
        <v>#N/A</v>
      </c>
      <c r="V101" s="2" t="e">
        <f t="shared" si="35"/>
        <v>#N/A</v>
      </c>
      <c r="W101" s="2" t="e">
        <f t="shared" si="36"/>
        <v>#N/A</v>
      </c>
      <c r="X101" s="2" t="e">
        <f t="shared" si="37"/>
        <v>#N/A</v>
      </c>
      <c r="Y101" s="2" t="e">
        <f t="shared" si="38"/>
        <v>#N/A</v>
      </c>
      <c r="Z101" s="0">
        <f t="shared" ca="1" si="40"/>
        <v>1286010.8</v>
      </c>
      <c r="AA101" s="0">
        <f t="shared" ca="1" si="39"/>
        <v>1142312.7</v>
      </c>
      <c r="AB101" cm="1" s="0">
        <f t="array" ref="AB101">MAX(IF(ISNUMBER(J101:Y101),J101:Y101))</f>
        <v>1463791</v>
      </c>
      <c r="AC101" cm="1" s="0">
        <f t="array" ref="AC101">MIN(IF(ISNUMBER(J101:Y101),J101:Y101))</f>
        <v>437619</v>
      </c>
      <c r="AD101" s="0">
        <f t="shared" si="33"/>
        <v>1026172</v>
      </c>
    </row>
    <row r="102" spans="1:30" x14ac:dyDescent="0.2">
      <c r="A102" t="s" s="0">
        <v>3895</v>
      </c>
      <c r="B102" s="2">
        <v>932981</v>
      </c>
      <c r="C102" s="2">
        <v>36242</v>
      </c>
      <c r="D102" s="2">
        <v>36868</v>
      </c>
      <c r="E102" s="2">
        <v>43138</v>
      </c>
      <c r="F102" s="2">
        <v>36496</v>
      </c>
      <c r="G102" s="2">
        <v>43395</v>
      </c>
      <c r="I102" t="str" s="0">
        <f t="shared" si="21"/>
        <v>04/09</v>
      </c>
      <c r="J102" s="2">
        <f t="shared" si="22"/>
        <v>968857</v>
      </c>
      <c r="K102" s="2">
        <f t="shared" si="23"/>
        <v>868451</v>
      </c>
      <c r="L102" s="2">
        <f t="shared" si="24"/>
        <v>1037737</v>
      </c>
      <c r="M102" s="2">
        <f t="shared" si="25"/>
        <v>1327985</v>
      </c>
      <c r="N102" s="2">
        <f t="shared" si="26"/>
        <v>946717</v>
      </c>
      <c r="O102" s="2">
        <f t="shared" si="27"/>
        <v>1248124</v>
      </c>
      <c r="P102" s="2">
        <f t="shared" si="28"/>
        <v>1463791</v>
      </c>
      <c r="Q102" s="2">
        <f t="shared" si="29"/>
        <v>1136354</v>
      </c>
      <c r="R102" s="2">
        <f t="shared" si="30"/>
        <v>1212661</v>
      </c>
      <c r="S102" s="2">
        <f t="shared" si="31"/>
        <v>1363404</v>
      </c>
      <c r="T102" s="2">
        <f t="shared" si="32"/>
        <v>470475</v>
      </c>
      <c r="U102" s="2" t="e">
        <f t="shared" si="34"/>
        <v>#N/A</v>
      </c>
      <c r="V102" s="2" t="e">
        <f t="shared" si="35"/>
        <v>#N/A</v>
      </c>
      <c r="W102" s="2" t="e">
        <f t="shared" si="36"/>
        <v>#N/A</v>
      </c>
      <c r="X102" s="2" t="e">
        <f t="shared" si="37"/>
        <v>#N/A</v>
      </c>
      <c r="Y102" s="2" t="e">
        <f t="shared" si="38"/>
        <v>#N/A</v>
      </c>
      <c r="Z102" s="0">
        <f t="shared" ca="1" si="40"/>
        <v>1284866.8</v>
      </c>
      <c r="AA102" s="0">
        <f t="shared" ca="1" si="39"/>
        <v>1157408.1000000001</v>
      </c>
      <c r="AB102" cm="1" s="0">
        <f t="array" ref="AB102">MAX(IF(ISNUMBER(J102:Y102),J102:Y102))</f>
        <v>1463791</v>
      </c>
      <c r="AC102" cm="1" s="0">
        <f t="array" ref="AC102">MIN(IF(ISNUMBER(J102:Y102),J102:Y102))</f>
        <v>470475</v>
      </c>
      <c r="AD102" s="0">
        <f t="shared" si="33"/>
        <v>993316</v>
      </c>
    </row>
    <row r="103" spans="1:30" x14ac:dyDescent="0.2">
      <c r="A103" t="s" s="0">
        <v>3894</v>
      </c>
      <c r="B103" s="2">
        <v>931889</v>
      </c>
      <c r="C103" s="2">
        <v>39119</v>
      </c>
      <c r="D103" s="2">
        <v>35200</v>
      </c>
      <c r="E103" s="2">
        <v>42484</v>
      </c>
      <c r="F103" s="2">
        <v>40328</v>
      </c>
      <c r="G103" s="2">
        <v>40417</v>
      </c>
      <c r="I103" t="str" s="0">
        <f t="shared" si="21"/>
        <v>04/10</v>
      </c>
      <c r="J103" s="2">
        <f t="shared" si="22"/>
        <v>968857</v>
      </c>
      <c r="K103" s="2">
        <f t="shared" si="23"/>
        <v>856348</v>
      </c>
      <c r="L103" s="2">
        <f t="shared" si="24"/>
        <v>991282</v>
      </c>
      <c r="M103" s="2">
        <f t="shared" si="25"/>
        <v>1280847</v>
      </c>
      <c r="N103" s="2">
        <f t="shared" si="26"/>
        <v>1011134</v>
      </c>
      <c r="O103" s="2">
        <f t="shared" si="27"/>
        <v>1248124</v>
      </c>
      <c r="P103" s="2">
        <f t="shared" si="28"/>
        <v>1463791</v>
      </c>
      <c r="Q103" s="2">
        <f t="shared" si="29"/>
        <v>1167498</v>
      </c>
      <c r="R103" s="2">
        <f t="shared" si="30"/>
        <v>1194649</v>
      </c>
      <c r="S103" s="2">
        <f t="shared" si="31"/>
        <v>1304835</v>
      </c>
      <c r="T103" s="2">
        <f t="shared" si="32"/>
        <v>445067</v>
      </c>
      <c r="U103" s="2" t="e">
        <f t="shared" si="34"/>
        <v>#N/A</v>
      </c>
      <c r="V103" s="2" t="e">
        <f t="shared" si="35"/>
        <v>#N/A</v>
      </c>
      <c r="W103" s="2" t="e">
        <f t="shared" si="36"/>
        <v>#N/A</v>
      </c>
      <c r="X103" s="2" t="e">
        <f t="shared" si="37"/>
        <v>#N/A</v>
      </c>
      <c r="Y103" s="2" t="e">
        <f t="shared" si="38"/>
        <v>#N/A</v>
      </c>
      <c r="Z103" s="0">
        <f t="shared" ca="1" si="40"/>
        <v>1275779.3999999999</v>
      </c>
      <c r="AA103" s="0">
        <f t="shared" ca="1" si="39"/>
        <v>1148736.5</v>
      </c>
      <c r="AB103" cm="1" s="0">
        <f t="array" ref="AB103">MAX(IF(ISNUMBER(J103:Y103),J103:Y103))</f>
        <v>1463791</v>
      </c>
      <c r="AC103" cm="1" s="0">
        <f t="array" ref="AC103">MIN(IF(ISNUMBER(J103:Y103),J103:Y103))</f>
        <v>445067</v>
      </c>
      <c r="AD103" s="0">
        <f t="shared" si="33"/>
        <v>1018724</v>
      </c>
    </row>
    <row r="104" spans="1:30" x14ac:dyDescent="0.2">
      <c r="A104" t="s" s="0">
        <v>3893</v>
      </c>
      <c r="B104" s="3">
        <v>931889</v>
      </c>
      <c r="C104" s="3">
        <v>39119</v>
      </c>
      <c r="D104" s="3">
        <v>35200</v>
      </c>
      <c r="E104" s="3">
        <v>42484</v>
      </c>
      <c r="F104" s="3">
        <v>40328</v>
      </c>
      <c r="G104" s="3">
        <v>40417</v>
      </c>
      <c r="I104" t="str" s="0">
        <f t="shared" si="21"/>
        <v>04/11</v>
      </c>
      <c r="J104" s="2">
        <f t="shared" si="22"/>
        <v>968857</v>
      </c>
      <c r="K104" s="2">
        <f t="shared" si="23"/>
        <v>869972</v>
      </c>
      <c r="L104" s="2">
        <f t="shared" si="24"/>
        <v>1013155</v>
      </c>
      <c r="M104" s="2">
        <f t="shared" si="25"/>
        <v>1240875</v>
      </c>
      <c r="N104" s="2">
        <f t="shared" si="26"/>
        <v>993890</v>
      </c>
      <c r="O104" s="2">
        <f t="shared" si="27"/>
        <v>1248124</v>
      </c>
      <c r="P104" s="2">
        <f t="shared" si="28"/>
        <v>1441526</v>
      </c>
      <c r="Q104" s="2">
        <f t="shared" si="29"/>
        <v>1217556</v>
      </c>
      <c r="R104" s="2">
        <f t="shared" si="30"/>
        <v>1143982</v>
      </c>
      <c r="S104" s="2">
        <f t="shared" si="31"/>
        <v>1310212</v>
      </c>
      <c r="T104" s="2">
        <f t="shared" si="32"/>
        <v>445067</v>
      </c>
      <c r="U104" s="2" t="e">
        <f t="shared" si="34"/>
        <v>#N/A</v>
      </c>
      <c r="V104" s="2" t="e">
        <f t="shared" si="35"/>
        <v>#N/A</v>
      </c>
      <c r="W104" s="2" t="e">
        <f t="shared" si="36"/>
        <v>#N/A</v>
      </c>
      <c r="X104" s="2" t="e">
        <f t="shared" si="37"/>
        <v>#N/A</v>
      </c>
      <c r="Y104" s="2" t="e">
        <f t="shared" si="38"/>
        <v>#N/A</v>
      </c>
      <c r="Z104" s="0">
        <f t="shared" ca="1" si="40"/>
        <v>1272280</v>
      </c>
      <c r="AA104" s="0">
        <f t="shared" ca="1" si="39"/>
        <v>1144814.8999999999</v>
      </c>
      <c r="AB104" cm="1" s="0">
        <f t="array" ref="AB104">MAX(IF(ISNUMBER(J104:Y104),J104:Y104))</f>
        <v>1441526</v>
      </c>
      <c r="AC104" cm="1" s="0">
        <f t="array" ref="AC104">MIN(IF(ISNUMBER(J104:Y104),J104:Y104))</f>
        <v>445067</v>
      </c>
      <c r="AD104" s="0">
        <f t="shared" si="33"/>
        <v>996459</v>
      </c>
    </row>
    <row r="105" spans="1:30" x14ac:dyDescent="0.2">
      <c r="A105" t="s" s="0">
        <v>3892</v>
      </c>
      <c r="B105" s="3">
        <v>931889</v>
      </c>
      <c r="C105" s="3">
        <v>39119</v>
      </c>
      <c r="D105" s="3">
        <v>35200</v>
      </c>
      <c r="E105" s="3">
        <v>42484</v>
      </c>
      <c r="F105" s="3">
        <v>40328</v>
      </c>
      <c r="G105" s="3">
        <v>40417</v>
      </c>
      <c r="I105" t="str" s="0">
        <f t="shared" si="21"/>
        <v>04/12</v>
      </c>
      <c r="J105" s="2">
        <f t="shared" si="22"/>
        <v>925239</v>
      </c>
      <c r="K105" s="2">
        <f t="shared" si="23"/>
        <v>862712</v>
      </c>
      <c r="L105" s="2">
        <f t="shared" si="24"/>
        <v>962163</v>
      </c>
      <c r="M105" s="2">
        <f t="shared" si="25"/>
        <v>1309632</v>
      </c>
      <c r="N105" s="2">
        <f t="shared" si="26"/>
        <v>993890</v>
      </c>
      <c r="O105" s="2">
        <f t="shared" si="27"/>
        <v>1314901</v>
      </c>
      <c r="P105" s="2">
        <f t="shared" si="28"/>
        <v>1396888</v>
      </c>
      <c r="Q105" s="2">
        <f t="shared" si="29"/>
        <v>1152529</v>
      </c>
      <c r="R105" s="2">
        <f t="shared" si="30"/>
        <v>1164709</v>
      </c>
      <c r="S105" s="2">
        <f t="shared" si="31"/>
        <v>1310212</v>
      </c>
      <c r="T105" s="2">
        <f t="shared" si="32"/>
        <v>445067</v>
      </c>
      <c r="U105" s="2" t="e">
        <f t="shared" si="34"/>
        <v>#N/A</v>
      </c>
      <c r="V105" s="2" t="e">
        <f t="shared" si="35"/>
        <v>#N/A</v>
      </c>
      <c r="W105" s="2" t="e">
        <f t="shared" si="36"/>
        <v>#N/A</v>
      </c>
      <c r="X105" s="2" t="e">
        <f t="shared" si="37"/>
        <v>#N/A</v>
      </c>
      <c r="Y105" s="2" t="e">
        <f t="shared" si="38"/>
        <v>#N/A</v>
      </c>
      <c r="Z105" s="0">
        <f t="shared" ca="1" si="40"/>
        <v>1267847.8</v>
      </c>
      <c r="AA105" s="0">
        <f t="shared" ca="1" si="39"/>
        <v>1139287.5</v>
      </c>
      <c r="AB105" cm="1" s="0">
        <f t="array" ref="AB105">MAX(IF(ISNUMBER(J105:Y105),J105:Y105))</f>
        <v>1396888</v>
      </c>
      <c r="AC105" cm="1" s="0">
        <f t="array" ref="AC105">MIN(IF(ISNUMBER(J105:Y105),J105:Y105))</f>
        <v>445067</v>
      </c>
      <c r="AD105" s="0">
        <f t="shared" si="33"/>
        <v>951821</v>
      </c>
    </row>
    <row r="106" spans="1:30" x14ac:dyDescent="0.2">
      <c r="A106" t="s" s="0">
        <v>3891</v>
      </c>
      <c r="B106" s="2">
        <v>993172</v>
      </c>
      <c r="C106" s="2">
        <v>21351</v>
      </c>
      <c r="D106" s="2">
        <v>39102</v>
      </c>
      <c r="E106" s="2">
        <v>43508</v>
      </c>
      <c r="F106" s="2">
        <v>52769</v>
      </c>
      <c r="G106" s="2">
        <v>44777</v>
      </c>
      <c r="I106" t="str" s="0">
        <f t="shared" si="21"/>
        <v>04/13</v>
      </c>
      <c r="J106" s="2">
        <f t="shared" si="22"/>
        <v>957662</v>
      </c>
      <c r="K106" s="2">
        <f t="shared" si="23"/>
        <v>980763</v>
      </c>
      <c r="L106" s="2">
        <f t="shared" si="24"/>
        <v>974465</v>
      </c>
      <c r="M106" s="2">
        <f t="shared" si="25"/>
        <v>1309632</v>
      </c>
      <c r="N106" s="2">
        <f t="shared" si="26"/>
        <v>993890</v>
      </c>
      <c r="O106" s="2">
        <f t="shared" si="27"/>
        <v>1276960</v>
      </c>
      <c r="P106" s="2">
        <f t="shared" si="28"/>
        <v>1430861</v>
      </c>
      <c r="Q106" s="2">
        <f t="shared" si="29"/>
        <v>1156417</v>
      </c>
      <c r="R106" s="2">
        <f t="shared" si="30"/>
        <v>1127957</v>
      </c>
      <c r="S106" s="2">
        <f t="shared" si="31"/>
        <v>1310212</v>
      </c>
      <c r="T106" s="2">
        <f t="shared" si="32"/>
        <v>387299</v>
      </c>
      <c r="U106" s="2" t="e">
        <f t="shared" si="34"/>
        <v>#N/A</v>
      </c>
      <c r="V106" s="2" t="e">
        <f t="shared" si="35"/>
        <v>#N/A</v>
      </c>
      <c r="W106" s="2" t="e">
        <f t="shared" si="36"/>
        <v>#N/A</v>
      </c>
      <c r="X106" s="2" t="e">
        <f t="shared" si="37"/>
        <v>#N/A</v>
      </c>
      <c r="Y106" s="2" t="e">
        <f t="shared" si="38"/>
        <v>#N/A</v>
      </c>
      <c r="Z106" s="0">
        <f t="shared" ca="1" si="40"/>
        <v>1260481.3999999999</v>
      </c>
      <c r="AA106" s="0">
        <f t="shared" ca="1" si="39"/>
        <v>1151881.8999999999</v>
      </c>
      <c r="AB106" cm="1" s="0">
        <f t="array" ref="AB106">MAX(IF(ISNUMBER(J106:Y106),J106:Y106))</f>
        <v>1430861</v>
      </c>
      <c r="AC106" cm="1" s="0">
        <f t="array" ref="AC106">MIN(IF(ISNUMBER(J106:Y106),J106:Y106))</f>
        <v>387299</v>
      </c>
      <c r="AD106" s="0">
        <f t="shared" si="33"/>
        <v>1043562</v>
      </c>
    </row>
    <row r="107" spans="1:30" x14ac:dyDescent="0.2">
      <c r="A107" t="s" s="0">
        <v>3890</v>
      </c>
      <c r="B107" s="2">
        <v>933897</v>
      </c>
      <c r="C107" s="2">
        <v>33168</v>
      </c>
      <c r="D107" s="2">
        <v>41768</v>
      </c>
      <c r="E107" s="2">
        <v>44170</v>
      </c>
      <c r="F107" s="2">
        <v>47024</v>
      </c>
      <c r="G107" s="2">
        <v>42631</v>
      </c>
      <c r="I107" t="str" s="0">
        <f t="shared" si="21"/>
        <v>04/14</v>
      </c>
      <c r="J107" s="2">
        <f t="shared" si="22"/>
        <v>901744</v>
      </c>
      <c r="K107" s="2">
        <f t="shared" si="23"/>
        <v>1011905</v>
      </c>
      <c r="L107" s="2">
        <f t="shared" si="24"/>
        <v>974465</v>
      </c>
      <c r="M107" s="2">
        <f t="shared" si="25"/>
        <v>1309632</v>
      </c>
      <c r="N107" s="2">
        <f t="shared" si="26"/>
        <v>1028247</v>
      </c>
      <c r="O107" s="2">
        <f t="shared" si="27"/>
        <v>1220557</v>
      </c>
      <c r="P107" s="2">
        <f t="shared" si="28"/>
        <v>1381311</v>
      </c>
      <c r="Q107" s="2">
        <f t="shared" si="29"/>
        <v>1118876</v>
      </c>
      <c r="R107" s="2">
        <f t="shared" si="30"/>
        <v>1127957</v>
      </c>
      <c r="S107" s="2">
        <f t="shared" si="31"/>
        <v>1355005</v>
      </c>
      <c r="T107" s="2">
        <f t="shared" si="32"/>
        <v>357649</v>
      </c>
      <c r="U107" s="2" t="e">
        <f t="shared" si="34"/>
        <v>#N/A</v>
      </c>
      <c r="V107" s="2" t="e">
        <f t="shared" si="35"/>
        <v>#N/A</v>
      </c>
      <c r="W107" s="2" t="e">
        <f t="shared" si="36"/>
        <v>#N/A</v>
      </c>
      <c r="X107" s="2" t="e">
        <f t="shared" si="37"/>
        <v>#N/A</v>
      </c>
      <c r="Y107" s="2" t="e">
        <f t="shared" si="38"/>
        <v>#N/A</v>
      </c>
      <c r="Z107" s="0">
        <f t="shared" ca="1" si="40"/>
        <v>1240741.2</v>
      </c>
      <c r="AA107" s="0">
        <f t="shared" ca="1" si="39"/>
        <v>1142969.8999999999</v>
      </c>
      <c r="AB107" cm="1" s="0">
        <f t="array" ref="AB107">MAX(IF(ISNUMBER(J107:Y107),J107:Y107))</f>
        <v>1381311</v>
      </c>
      <c r="AC107" cm="1" s="0">
        <f t="array" ref="AC107">MIN(IF(ISNUMBER(J107:Y107),J107:Y107))</f>
        <v>357649</v>
      </c>
      <c r="AD107" s="0">
        <f t="shared" si="33"/>
        <v>1023662</v>
      </c>
    </row>
    <row r="108" spans="1:30" x14ac:dyDescent="0.2">
      <c r="A108" t="s" s="0">
        <v>3889</v>
      </c>
      <c r="B108" s="2">
        <v>868901</v>
      </c>
      <c r="C108" s="2">
        <v>35010</v>
      </c>
      <c r="D108" s="2">
        <v>45728</v>
      </c>
      <c r="E108" s="2">
        <v>44717</v>
      </c>
      <c r="F108" s="2">
        <v>36310</v>
      </c>
      <c r="G108" s="2">
        <v>41203</v>
      </c>
      <c r="I108" t="str" s="0">
        <f t="shared" si="21"/>
        <v>04/15</v>
      </c>
      <c r="J108" s="2">
        <f t="shared" si="22"/>
        <v>872410</v>
      </c>
      <c r="K108" s="2">
        <f t="shared" si="23"/>
        <v>1011905</v>
      </c>
      <c r="L108" s="2">
        <f t="shared" si="24"/>
        <v>974465</v>
      </c>
      <c r="M108" s="2">
        <f t="shared" si="25"/>
        <v>1271992</v>
      </c>
      <c r="N108" s="2">
        <f t="shared" si="26"/>
        <v>991825</v>
      </c>
      <c r="O108" s="2">
        <f t="shared" si="27"/>
        <v>1280772</v>
      </c>
      <c r="P108" s="2">
        <f t="shared" si="28"/>
        <v>1397807</v>
      </c>
      <c r="Q108" s="2">
        <f t="shared" si="29"/>
        <v>1118876</v>
      </c>
      <c r="R108" s="2">
        <f t="shared" si="30"/>
        <v>1127957</v>
      </c>
      <c r="S108" s="2">
        <f t="shared" si="31"/>
        <v>1370233</v>
      </c>
      <c r="T108" s="2">
        <f t="shared" si="32"/>
        <v>336748</v>
      </c>
      <c r="U108" s="2" t="e">
        <f t="shared" si="34"/>
        <v>#N/A</v>
      </c>
      <c r="V108" s="2" t="e">
        <f t="shared" si="35"/>
        <v>#N/A</v>
      </c>
      <c r="W108" s="2" t="e">
        <f t="shared" si="36"/>
        <v>#N/A</v>
      </c>
      <c r="X108" s="2" t="e">
        <f t="shared" si="37"/>
        <v>#N/A</v>
      </c>
      <c r="Y108" s="2" t="e">
        <f t="shared" si="38"/>
        <v>#N/A</v>
      </c>
      <c r="Z108" s="0">
        <f t="shared" ca="1" si="40"/>
        <v>1259129</v>
      </c>
      <c r="AA108" s="0">
        <f t="shared" ca="1" si="39"/>
        <v>1141824.2</v>
      </c>
      <c r="AB108" cm="1" s="0">
        <f t="array" ref="AB108">MAX(IF(ISNUMBER(J108:Y108),J108:Y108))</f>
        <v>1397807</v>
      </c>
      <c r="AC108" cm="1" s="0">
        <f t="array" ref="AC108">MIN(IF(ISNUMBER(J108:Y108),J108:Y108))</f>
        <v>336748</v>
      </c>
      <c r="AD108" s="0">
        <f t="shared" si="33"/>
        <v>1061059</v>
      </c>
    </row>
    <row r="109" spans="1:30" x14ac:dyDescent="0.2">
      <c r="A109" t="s" s="0">
        <v>3888</v>
      </c>
      <c r="B109" s="2">
        <v>895175</v>
      </c>
      <c r="C109" s="2">
        <v>38730</v>
      </c>
      <c r="D109" s="2">
        <v>47406</v>
      </c>
      <c r="E109" s="2">
        <v>44767</v>
      </c>
      <c r="F109" s="2">
        <v>40495</v>
      </c>
      <c r="G109" s="2">
        <v>41306</v>
      </c>
      <c r="I109" t="str" s="0">
        <f t="shared" si="21"/>
        <v>04/16</v>
      </c>
      <c r="J109" s="2">
        <f t="shared" si="22"/>
        <v>839306</v>
      </c>
      <c r="K109" s="2">
        <f t="shared" si="23"/>
        <v>1011905</v>
      </c>
      <c r="L109" s="2">
        <f t="shared" si="24"/>
        <v>940016</v>
      </c>
      <c r="M109" s="2">
        <f t="shared" si="25"/>
        <v>1237186</v>
      </c>
      <c r="N109" s="2">
        <f t="shared" si="26"/>
        <v>1035165</v>
      </c>
      <c r="O109" s="2">
        <f t="shared" si="27"/>
        <v>1263510</v>
      </c>
      <c r="P109" s="2">
        <f t="shared" si="28"/>
        <v>1397807</v>
      </c>
      <c r="Q109" s="2">
        <f t="shared" si="29"/>
        <v>1118876</v>
      </c>
      <c r="R109" s="2">
        <f t="shared" si="30"/>
        <v>1095167</v>
      </c>
      <c r="S109" s="2">
        <f t="shared" si="31"/>
        <v>1325765</v>
      </c>
      <c r="T109" s="2">
        <f t="shared" si="32"/>
        <v>304374</v>
      </c>
      <c r="U109" s="2" t="e">
        <f t="shared" si="34"/>
        <v>#N/A</v>
      </c>
      <c r="V109" s="2" t="e">
        <f t="shared" si="35"/>
        <v>#N/A</v>
      </c>
      <c r="W109" s="2" t="e">
        <f t="shared" si="36"/>
        <v>#N/A</v>
      </c>
      <c r="X109" s="2" t="e">
        <f t="shared" si="37"/>
        <v>#N/A</v>
      </c>
      <c r="Y109" s="2" t="e">
        <f t="shared" si="38"/>
        <v>#N/A</v>
      </c>
      <c r="Z109" s="0">
        <f t="shared" ca="1" si="40"/>
        <v>1240225</v>
      </c>
      <c r="AA109" s="0">
        <f t="shared" ca="1" si="39"/>
        <v>1126470.3</v>
      </c>
      <c r="AB109" cm="1" s="0">
        <f t="array" ref="AB109">MAX(IF(ISNUMBER(J109:Y109),J109:Y109))</f>
        <v>1397807</v>
      </c>
      <c r="AC109" cm="1" s="0">
        <f t="array" ref="AC109">MIN(IF(ISNUMBER(J109:Y109),J109:Y109))</f>
        <v>304374</v>
      </c>
      <c r="AD109" s="0">
        <f t="shared" si="33"/>
        <v>1093433</v>
      </c>
    </row>
    <row r="110" spans="1:30" x14ac:dyDescent="0.2">
      <c r="A110" t="s" s="0">
        <v>3887</v>
      </c>
      <c r="B110" s="2">
        <v>893358</v>
      </c>
      <c r="C110" s="2">
        <v>37161</v>
      </c>
      <c r="D110" s="2">
        <v>47126</v>
      </c>
      <c r="E110" s="2">
        <v>44726</v>
      </c>
      <c r="F110" s="2">
        <v>40950</v>
      </c>
      <c r="G110" s="2">
        <v>39139</v>
      </c>
      <c r="I110" t="str" s="0">
        <f t="shared" si="21"/>
        <v>04/17</v>
      </c>
      <c r="J110" s="2">
        <f t="shared" si="22"/>
        <v>839306</v>
      </c>
      <c r="K110" s="2">
        <f t="shared" si="23"/>
        <v>984999</v>
      </c>
      <c r="L110" s="2">
        <f t="shared" si="24"/>
        <v>966982</v>
      </c>
      <c r="M110" s="2">
        <f t="shared" si="25"/>
        <v>1263041</v>
      </c>
      <c r="N110" s="2">
        <f t="shared" si="26"/>
        <v>1009404</v>
      </c>
      <c r="O110" s="2">
        <f t="shared" si="27"/>
        <v>1263510</v>
      </c>
      <c r="P110" s="2">
        <f t="shared" si="28"/>
        <v>1397807</v>
      </c>
      <c r="Q110" s="2">
        <f t="shared" si="29"/>
        <v>1170266</v>
      </c>
      <c r="R110" s="2">
        <f t="shared" si="30"/>
        <v>1070110</v>
      </c>
      <c r="S110" s="2">
        <f t="shared" si="31"/>
        <v>1317608</v>
      </c>
      <c r="T110" s="2">
        <f t="shared" si="32"/>
        <v>330407</v>
      </c>
      <c r="U110" s="2" t="e">
        <f t="shared" si="34"/>
        <v>#N/A</v>
      </c>
      <c r="V110" s="2" t="e">
        <f t="shared" si="35"/>
        <v>#N/A</v>
      </c>
      <c r="W110" s="2" t="e">
        <f t="shared" si="36"/>
        <v>#N/A</v>
      </c>
      <c r="X110" s="2" t="e">
        <f t="shared" si="37"/>
        <v>#N/A</v>
      </c>
      <c r="Y110" s="2" t="e">
        <f t="shared" si="38"/>
        <v>#N/A</v>
      </c>
      <c r="Z110" s="0">
        <f t="shared" ca="1" si="40"/>
        <v>1243860.2</v>
      </c>
      <c r="AA110" s="0">
        <f t="shared" ca="1" si="39"/>
        <v>1128303.3</v>
      </c>
      <c r="AB110" cm="1" s="0">
        <f t="array" ref="AB110">MAX(IF(ISNUMBER(J110:Y110),J110:Y110))</f>
        <v>1397807</v>
      </c>
      <c r="AC110" cm="1" s="0">
        <f t="array" ref="AC110">MIN(IF(ISNUMBER(J110:Y110),J110:Y110))</f>
        <v>330407</v>
      </c>
      <c r="AD110" s="0">
        <f t="shared" si="33"/>
        <v>1067400</v>
      </c>
    </row>
    <row r="111" spans="1:30" x14ac:dyDescent="0.2">
      <c r="A111" t="s" s="0">
        <v>3886</v>
      </c>
      <c r="B111" s="3">
        <v>893358</v>
      </c>
      <c r="C111" s="3">
        <v>37161</v>
      </c>
      <c r="D111" s="3">
        <v>47126</v>
      </c>
      <c r="E111" s="3">
        <v>44726</v>
      </c>
      <c r="F111" s="3">
        <v>40950</v>
      </c>
      <c r="G111" s="3">
        <v>39139</v>
      </c>
      <c r="I111" t="str" s="0">
        <f t="shared" si="21"/>
        <v>04/18</v>
      </c>
      <c r="J111" s="2">
        <f t="shared" si="22"/>
        <v>839306</v>
      </c>
      <c r="K111" s="2">
        <f t="shared" si="23"/>
        <v>966802</v>
      </c>
      <c r="L111" s="2">
        <f t="shared" si="24"/>
        <v>938699</v>
      </c>
      <c r="M111" s="2">
        <f t="shared" si="25"/>
        <v>1247969</v>
      </c>
      <c r="N111" s="2">
        <f t="shared" si="26"/>
        <v>984972</v>
      </c>
      <c r="O111" s="2">
        <f t="shared" si="27"/>
        <v>1263510</v>
      </c>
      <c r="P111" s="2">
        <f t="shared" si="28"/>
        <v>1331316</v>
      </c>
      <c r="Q111" s="2">
        <f t="shared" si="29"/>
        <v>1171067</v>
      </c>
      <c r="R111" s="2">
        <f t="shared" si="30"/>
        <v>1068710</v>
      </c>
      <c r="S111" s="2">
        <f t="shared" si="31"/>
        <v>1294053</v>
      </c>
      <c r="T111" s="2">
        <f t="shared" si="32"/>
        <v>330407</v>
      </c>
      <c r="U111" s="2" t="e">
        <f t="shared" si="34"/>
        <v>#N/A</v>
      </c>
      <c r="V111" s="2" t="e">
        <f t="shared" si="35"/>
        <v>#N/A</v>
      </c>
      <c r="W111" s="2" t="e">
        <f t="shared" si="36"/>
        <v>#N/A</v>
      </c>
      <c r="X111" s="2" t="e">
        <f t="shared" si="37"/>
        <v>#N/A</v>
      </c>
      <c r="Y111" s="2" t="e">
        <f t="shared" si="38"/>
        <v>#N/A</v>
      </c>
      <c r="Z111" s="0">
        <f t="shared" ca="1" si="40"/>
        <v>1225731.2</v>
      </c>
      <c r="AA111" s="0">
        <f t="shared" ca="1" si="39"/>
        <v>1110640.3999999999</v>
      </c>
      <c r="AB111" cm="1" s="0">
        <f t="array" ref="AB111">MAX(IF(ISNUMBER(J111:Y111),J111:Y111))</f>
        <v>1331316</v>
      </c>
      <c r="AC111" cm="1" s="0">
        <f t="array" ref="AC111">MIN(IF(ISNUMBER(J111:Y111),J111:Y111))</f>
        <v>330407</v>
      </c>
      <c r="AD111" s="0">
        <f t="shared" si="33"/>
        <v>1000909</v>
      </c>
    </row>
    <row r="112" spans="1:30" x14ac:dyDescent="0.2">
      <c r="A112" t="s" s="0">
        <v>3885</v>
      </c>
      <c r="B112" s="3">
        <v>893358</v>
      </c>
      <c r="C112" s="3">
        <v>37161</v>
      </c>
      <c r="D112" s="3">
        <v>47126</v>
      </c>
      <c r="E112" s="3">
        <v>44726</v>
      </c>
      <c r="F112" s="3">
        <v>40950</v>
      </c>
      <c r="G112" s="3">
        <v>39139</v>
      </c>
      <c r="I112" t="str" s="0">
        <f t="shared" si="21"/>
        <v>04/19</v>
      </c>
      <c r="J112" s="2">
        <f t="shared" si="22"/>
        <v>788587</v>
      </c>
      <c r="K112" s="2">
        <f t="shared" si="23"/>
        <v>962619</v>
      </c>
      <c r="L112" s="2">
        <f t="shared" si="24"/>
        <v>899310</v>
      </c>
      <c r="M112" s="2">
        <f t="shared" si="25"/>
        <v>1322584</v>
      </c>
      <c r="N112" s="2">
        <f t="shared" si="26"/>
        <v>984972</v>
      </c>
      <c r="O112" s="2">
        <f t="shared" si="27"/>
        <v>1362289</v>
      </c>
      <c r="P112" s="2">
        <f t="shared" si="28"/>
        <v>1279346</v>
      </c>
      <c r="Q112" s="2">
        <f t="shared" si="29"/>
        <v>1180331</v>
      </c>
      <c r="R112" s="2">
        <f t="shared" si="30"/>
        <v>1046359</v>
      </c>
      <c r="S112" s="2">
        <f t="shared" si="31"/>
        <v>1294053</v>
      </c>
      <c r="T112" s="2">
        <f t="shared" si="32"/>
        <v>330407</v>
      </c>
      <c r="U112" s="2" t="e">
        <f t="shared" si="34"/>
        <v>#N/A</v>
      </c>
      <c r="V112" s="2" t="e">
        <f t="shared" si="35"/>
        <v>#N/A</v>
      </c>
      <c r="W112" s="2" t="e">
        <f t="shared" si="36"/>
        <v>#N/A</v>
      </c>
      <c r="X112" s="2" t="e">
        <f t="shared" si="37"/>
        <v>#N/A</v>
      </c>
      <c r="Y112" s="2" t="e">
        <f t="shared" si="38"/>
        <v>#N/A</v>
      </c>
      <c r="Z112" s="0">
        <f t="shared" ca="1" si="40"/>
        <v>1232475.6000000001</v>
      </c>
      <c r="AA112" s="0">
        <f t="shared" ca="1" si="39"/>
        <v>1112045</v>
      </c>
      <c r="AB112" cm="1" s="0">
        <f t="array" ref="AB112">MAX(IF(ISNUMBER(J112:Y112),J112:Y112))</f>
        <v>1362289</v>
      </c>
      <c r="AC112" cm="1" s="0">
        <f t="array" ref="AC112">MIN(IF(ISNUMBER(J112:Y112),J112:Y112))</f>
        <v>330407</v>
      </c>
      <c r="AD112" s="0">
        <f t="shared" si="33"/>
        <v>1031882</v>
      </c>
    </row>
    <row r="113" spans="1:30" x14ac:dyDescent="0.2">
      <c r="A113" t="s" s="0">
        <v>3884</v>
      </c>
      <c r="B113" s="2">
        <v>882390</v>
      </c>
      <c r="C113" s="2">
        <v>20265</v>
      </c>
      <c r="D113" s="2">
        <v>47279</v>
      </c>
      <c r="E113" s="2">
        <v>44419</v>
      </c>
      <c r="F113" s="2">
        <v>30781</v>
      </c>
      <c r="G113" s="2">
        <v>37656</v>
      </c>
      <c r="I113" t="str" s="0">
        <f t="shared" si="21"/>
        <v>04/20</v>
      </c>
      <c r="J113" s="2">
        <f t="shared" si="22"/>
        <v>846740</v>
      </c>
      <c r="K113" s="2">
        <f t="shared" si="23"/>
        <v>998529</v>
      </c>
      <c r="L113" s="2">
        <f t="shared" si="24"/>
        <v>967300</v>
      </c>
      <c r="M113" s="2">
        <f t="shared" si="25"/>
        <v>1322584</v>
      </c>
      <c r="N113" s="2">
        <f t="shared" si="26"/>
        <v>984972</v>
      </c>
      <c r="O113" s="2">
        <f t="shared" si="27"/>
        <v>1377826</v>
      </c>
      <c r="P113" s="2">
        <f t="shared" si="28"/>
        <v>1303273</v>
      </c>
      <c r="Q113" s="2">
        <f t="shared" si="29"/>
        <v>1221617</v>
      </c>
      <c r="R113" s="2">
        <f t="shared" si="30"/>
        <v>1029710</v>
      </c>
      <c r="S113" s="2">
        <f t="shared" si="31"/>
        <v>1294053</v>
      </c>
      <c r="T113" s="2">
        <f t="shared" si="32"/>
        <v>277408</v>
      </c>
      <c r="U113" s="2" t="e">
        <f t="shared" si="34"/>
        <v>#N/A</v>
      </c>
      <c r="V113" s="2" t="e">
        <f t="shared" si="35"/>
        <v>#N/A</v>
      </c>
      <c r="W113" s="2" t="e">
        <f t="shared" si="36"/>
        <v>#N/A</v>
      </c>
      <c r="X113" s="2" t="e">
        <f t="shared" si="37"/>
        <v>#N/A</v>
      </c>
      <c r="Y113" s="2" t="e">
        <f t="shared" si="38"/>
        <v>#N/A</v>
      </c>
      <c r="Z113" s="0">
        <f t="shared" ca="1" si="40"/>
        <v>1245295.8</v>
      </c>
      <c r="AA113" s="0">
        <f t="shared" ca="1" si="39"/>
        <v>1134660.3999999999</v>
      </c>
      <c r="AB113" cm="1" s="0">
        <f t="array" ref="AB113">MAX(IF(ISNUMBER(J113:Y113),J113:Y113))</f>
        <v>1377826</v>
      </c>
      <c r="AC113" cm="1" s="0">
        <f t="array" ref="AC113">MIN(IF(ISNUMBER(J113:Y113),J113:Y113))</f>
        <v>277408</v>
      </c>
      <c r="AD113" s="0">
        <f t="shared" si="33"/>
        <v>1100418</v>
      </c>
    </row>
    <row r="114" spans="1:30" x14ac:dyDescent="0.2">
      <c r="A114" t="s" s="0">
        <v>3883</v>
      </c>
      <c r="B114" s="2">
        <v>859222</v>
      </c>
      <c r="C114" s="2">
        <v>37466</v>
      </c>
      <c r="D114" s="2">
        <v>44417</v>
      </c>
      <c r="E114" s="2">
        <v>44484</v>
      </c>
      <c r="F114" s="2">
        <v>32979</v>
      </c>
      <c r="G114" s="2">
        <v>36225</v>
      </c>
      <c r="I114" t="str" s="0">
        <f t="shared" si="21"/>
        <v>04/21</v>
      </c>
      <c r="J114" s="2">
        <f t="shared" si="22"/>
        <v>824284</v>
      </c>
      <c r="K114" s="2">
        <f t="shared" si="23"/>
        <v>943345</v>
      </c>
      <c r="L114" s="2">
        <f t="shared" si="24"/>
        <v>967300</v>
      </c>
      <c r="M114" s="2">
        <f t="shared" si="25"/>
        <v>1322584</v>
      </c>
      <c r="N114" s="2">
        <f t="shared" si="26"/>
        <v>936769</v>
      </c>
      <c r="O114" s="2">
        <f t="shared" si="27"/>
        <v>1412606</v>
      </c>
      <c r="P114" s="2">
        <f t="shared" si="28"/>
        <v>1333974</v>
      </c>
      <c r="Q114" s="2">
        <f t="shared" si="29"/>
        <v>1172146</v>
      </c>
      <c r="R114" s="2">
        <f t="shared" si="30"/>
        <v>1029710</v>
      </c>
      <c r="S114" s="2">
        <f t="shared" si="31"/>
        <v>1347493</v>
      </c>
      <c r="T114" s="2">
        <f t="shared" si="32"/>
        <v>240431</v>
      </c>
      <c r="U114" s="2" t="e">
        <f t="shared" si="34"/>
        <v>#N/A</v>
      </c>
      <c r="V114" s="2" t="e">
        <f t="shared" si="35"/>
        <v>#N/A</v>
      </c>
      <c r="W114" s="2" t="e">
        <f t="shared" si="36"/>
        <v>#N/A</v>
      </c>
      <c r="X114" s="2" t="e">
        <f t="shared" si="37"/>
        <v>#N/A</v>
      </c>
      <c r="Y114" s="2" t="e">
        <f t="shared" si="38"/>
        <v>#N/A</v>
      </c>
      <c r="Z114" s="0">
        <f t="shared" ca="1" si="40"/>
        <v>1259185.8</v>
      </c>
      <c r="AA114" s="0">
        <f t="shared" ca="1" si="39"/>
        <v>1129021.1000000001</v>
      </c>
      <c r="AB114" cm="1" s="0">
        <f t="array" ref="AB114">MAX(IF(ISNUMBER(J114:Y114),J114:Y114))</f>
        <v>1412606</v>
      </c>
      <c r="AC114" cm="1" s="0">
        <f t="array" ref="AC114">MIN(IF(ISNUMBER(J114:Y114),J114:Y114))</f>
        <v>240431</v>
      </c>
      <c r="AD114" s="0">
        <f t="shared" si="33"/>
        <v>1172175</v>
      </c>
    </row>
    <row r="115" spans="1:30" x14ac:dyDescent="0.2">
      <c r="A115" t="s" s="0">
        <v>3882</v>
      </c>
      <c r="B115" s="2">
        <v>810208</v>
      </c>
      <c r="C115" s="2">
        <v>33986</v>
      </c>
      <c r="D115" s="2">
        <v>42130</v>
      </c>
      <c r="E115" s="2">
        <v>44177</v>
      </c>
      <c r="F115" s="2">
        <v>32975</v>
      </c>
      <c r="G115" s="2">
        <v>34619</v>
      </c>
      <c r="I115" t="str" s="0">
        <f t="shared" si="21"/>
        <v>04/22</v>
      </c>
      <c r="J115" s="2">
        <f t="shared" si="22"/>
        <v>764917</v>
      </c>
      <c r="K115" s="2">
        <f t="shared" si="23"/>
        <v>943345</v>
      </c>
      <c r="L115" s="2">
        <f t="shared" si="24"/>
        <v>967300</v>
      </c>
      <c r="M115" s="2">
        <f t="shared" si="25"/>
        <v>1331048</v>
      </c>
      <c r="N115" s="2">
        <f t="shared" si="26"/>
        <v>985465</v>
      </c>
      <c r="O115" s="2">
        <f t="shared" si="27"/>
        <v>1368399</v>
      </c>
      <c r="P115" s="2">
        <f t="shared" si="28"/>
        <v>1317788</v>
      </c>
      <c r="Q115" s="2">
        <f t="shared" si="29"/>
        <v>1172146</v>
      </c>
      <c r="R115" s="2">
        <f t="shared" si="30"/>
        <v>1029710</v>
      </c>
      <c r="S115" s="2">
        <f t="shared" si="31"/>
        <v>1302885</v>
      </c>
      <c r="T115" s="2">
        <f t="shared" si="32"/>
        <v>280767</v>
      </c>
      <c r="U115" s="2" t="e">
        <f t="shared" si="34"/>
        <v>#N/A</v>
      </c>
      <c r="V115" s="2" t="e">
        <f t="shared" si="35"/>
        <v>#N/A</v>
      </c>
      <c r="W115" s="2" t="e">
        <f t="shared" si="36"/>
        <v>#N/A</v>
      </c>
      <c r="X115" s="2" t="e">
        <f t="shared" si="37"/>
        <v>#N/A</v>
      </c>
      <c r="Y115" s="2" t="e">
        <f t="shared" si="38"/>
        <v>#N/A</v>
      </c>
      <c r="Z115" s="0">
        <f t="shared" ca="1" si="40"/>
        <v>1238185.6000000001</v>
      </c>
      <c r="AA115" s="0">
        <f t="shared" ca="1" si="39"/>
        <v>1118300.3</v>
      </c>
      <c r="AB115" cm="1" s="0">
        <f t="array" ref="AB115">MAX(IF(ISNUMBER(J115:Y115),J115:Y115))</f>
        <v>1368399</v>
      </c>
      <c r="AC115" cm="1" s="0">
        <f t="array" ref="AC115">MIN(IF(ISNUMBER(J115:Y115),J115:Y115))</f>
        <v>280767</v>
      </c>
      <c r="AD115" s="0">
        <f t="shared" si="33"/>
        <v>1087632</v>
      </c>
    </row>
    <row r="116" spans="1:30" x14ac:dyDescent="0.2">
      <c r="A116" t="s" s="0">
        <v>3881</v>
      </c>
      <c r="B116" s="2">
        <v>856497</v>
      </c>
      <c r="C116" s="2">
        <v>38752</v>
      </c>
      <c r="D116" s="2">
        <v>42844</v>
      </c>
      <c r="E116" s="2">
        <v>43982</v>
      </c>
      <c r="F116" s="2">
        <v>36548</v>
      </c>
      <c r="G116" s="2">
        <v>38139</v>
      </c>
      <c r="I116" t="str" s="0">
        <f t="shared" si="21"/>
        <v>04/23</v>
      </c>
      <c r="J116" s="2">
        <f t="shared" si="22"/>
        <v>721580</v>
      </c>
      <c r="K116" s="2">
        <f t="shared" si="23"/>
        <v>943345</v>
      </c>
      <c r="L116" s="2">
        <f t="shared" si="24"/>
        <v>969459</v>
      </c>
      <c r="M116" s="2">
        <f t="shared" si="25"/>
        <v>1366862</v>
      </c>
      <c r="N116" s="2">
        <f t="shared" si="26"/>
        <v>942291</v>
      </c>
      <c r="O116" s="2">
        <f t="shared" si="27"/>
        <v>1334787</v>
      </c>
      <c r="P116" s="2">
        <f t="shared" si="28"/>
        <v>1317788</v>
      </c>
      <c r="Q116" s="2">
        <f t="shared" si="29"/>
        <v>1172146</v>
      </c>
      <c r="R116" s="2">
        <f t="shared" si="30"/>
        <v>981376</v>
      </c>
      <c r="S116" s="2">
        <f t="shared" si="31"/>
        <v>1340327</v>
      </c>
      <c r="T116" s="2">
        <f t="shared" si="32"/>
        <v>281559</v>
      </c>
      <c r="U116" s="2" t="e">
        <f t="shared" si="34"/>
        <v>#N/A</v>
      </c>
      <c r="V116" s="2" t="e">
        <f t="shared" si="35"/>
        <v>#N/A</v>
      </c>
      <c r="W116" s="2" t="e">
        <f t="shared" si="36"/>
        <v>#N/A</v>
      </c>
      <c r="X116" s="2" t="e">
        <f t="shared" si="37"/>
        <v>#N/A</v>
      </c>
      <c r="Y116" s="2" t="e">
        <f t="shared" si="38"/>
        <v>#N/A</v>
      </c>
      <c r="Z116" s="0">
        <f t="shared" ca="1" si="40"/>
        <v>1229284.8</v>
      </c>
      <c r="AA116" s="0">
        <f t="shared" ca="1" si="39"/>
        <v>1108996.1000000001</v>
      </c>
      <c r="AB116" cm="1" s="0">
        <f t="array" ref="AB116">MAX(IF(ISNUMBER(J116:Y116),J116:Y116))</f>
        <v>1366862</v>
      </c>
      <c r="AC116" cm="1" s="0">
        <f t="array" ref="AC116">MIN(IF(ISNUMBER(J116:Y116),J116:Y116))</f>
        <v>281559</v>
      </c>
      <c r="AD116" s="0">
        <f t="shared" si="33"/>
        <v>1085303</v>
      </c>
    </row>
    <row r="117" spans="1:30" x14ac:dyDescent="0.2">
      <c r="A117" t="s" s="0">
        <v>3880</v>
      </c>
      <c r="B117" s="2">
        <v>856295</v>
      </c>
      <c r="C117" s="2">
        <v>38678</v>
      </c>
      <c r="D117" s="2">
        <v>43061</v>
      </c>
      <c r="E117" s="2">
        <v>42637</v>
      </c>
      <c r="F117" s="2">
        <v>37104</v>
      </c>
      <c r="G117" s="2">
        <v>34758</v>
      </c>
      <c r="I117" t="str" s="0">
        <f t="shared" si="21"/>
        <v>04/24</v>
      </c>
      <c r="J117" s="2">
        <f t="shared" si="22"/>
        <v>721580</v>
      </c>
      <c r="K117" s="2">
        <f t="shared" si="23"/>
        <v>912447</v>
      </c>
      <c r="L117" s="2">
        <f t="shared" si="24"/>
        <v>918422</v>
      </c>
      <c r="M117" s="2">
        <f t="shared" si="25"/>
        <v>1476764</v>
      </c>
      <c r="N117" s="2">
        <f t="shared" si="26"/>
        <v>912504</v>
      </c>
      <c r="O117" s="2">
        <f t="shared" si="27"/>
        <v>1334787</v>
      </c>
      <c r="P117" s="2">
        <f t="shared" si="28"/>
        <v>1317788</v>
      </c>
      <c r="Q117" s="2">
        <f t="shared" si="29"/>
        <v>1166844</v>
      </c>
      <c r="R117" s="2">
        <f t="shared" si="30"/>
        <v>952681</v>
      </c>
      <c r="S117" s="2">
        <f t="shared" si="31"/>
        <v>1300259</v>
      </c>
      <c r="T117" s="2">
        <f t="shared" si="32"/>
        <v>262233</v>
      </c>
      <c r="U117" s="2" t="e">
        <f t="shared" si="34"/>
        <v>#N/A</v>
      </c>
      <c r="V117" s="2" t="e">
        <f t="shared" si="35"/>
        <v>#N/A</v>
      </c>
      <c r="W117" s="2" t="e">
        <f t="shared" si="36"/>
        <v>#N/A</v>
      </c>
      <c r="X117" s="2" t="e">
        <f t="shared" si="37"/>
        <v>#N/A</v>
      </c>
      <c r="Y117" s="2" t="e">
        <f t="shared" si="38"/>
        <v>#N/A</v>
      </c>
      <c r="Z117" s="0">
        <f t="shared" ca="1" si="40"/>
        <v>1214471.8</v>
      </c>
      <c r="AA117" s="0">
        <f t="shared" ca="1" si="39"/>
        <v>1101407.6000000001</v>
      </c>
      <c r="AB117" cm="1" s="0">
        <f t="array" ref="AB117">MAX(IF(ISNUMBER(J117:Y117),J117:Y117))</f>
        <v>1476764</v>
      </c>
      <c r="AC117" cm="1" s="0">
        <f t="array" ref="AC117">MIN(IF(ISNUMBER(J117:Y117),J117:Y117))</f>
        <v>262233</v>
      </c>
      <c r="AD117" s="0">
        <f t="shared" si="33"/>
        <v>1214531</v>
      </c>
    </row>
    <row r="118" spans="1:30" x14ac:dyDescent="0.2">
      <c r="A118" t="s" s="0">
        <v>3879</v>
      </c>
      <c r="B118" s="3">
        <v>856295</v>
      </c>
      <c r="C118" s="3">
        <v>38678</v>
      </c>
      <c r="D118" s="3">
        <v>43061</v>
      </c>
      <c r="E118" s="3">
        <v>42637</v>
      </c>
      <c r="F118" s="3">
        <v>37104</v>
      </c>
      <c r="G118" s="3">
        <v>34758</v>
      </c>
      <c r="I118" t="str" s="0">
        <f t="shared" si="21"/>
        <v>04/25</v>
      </c>
      <c r="J118" s="2">
        <f t="shared" si="22"/>
        <v>721580</v>
      </c>
      <c r="K118" s="2">
        <f t="shared" si="23"/>
        <v>896599</v>
      </c>
      <c r="L118" s="2">
        <f t="shared" si="24"/>
        <v>929770</v>
      </c>
      <c r="M118" s="2">
        <f t="shared" si="25"/>
        <v>1423109</v>
      </c>
      <c r="N118" s="2">
        <f t="shared" si="26"/>
        <v>870153</v>
      </c>
      <c r="O118" s="2">
        <f t="shared" si="27"/>
        <v>1334787</v>
      </c>
      <c r="P118" s="2">
        <f t="shared" si="28"/>
        <v>1464432</v>
      </c>
      <c r="Q118" s="2">
        <f t="shared" si="29"/>
        <v>1180116</v>
      </c>
      <c r="R118" s="2">
        <f t="shared" si="30"/>
        <v>941369</v>
      </c>
      <c r="S118" s="2">
        <f t="shared" si="31"/>
        <v>1308705</v>
      </c>
      <c r="T118" s="2">
        <f t="shared" si="32"/>
        <v>262233</v>
      </c>
      <c r="U118" s="2" t="e">
        <f t="shared" si="34"/>
        <v>#N/A</v>
      </c>
      <c r="V118" s="2" t="e">
        <f t="shared" si="35"/>
        <v>#N/A</v>
      </c>
      <c r="W118" s="2" t="e">
        <f t="shared" si="36"/>
        <v>#N/A</v>
      </c>
      <c r="X118" s="2" t="e">
        <f t="shared" si="37"/>
        <v>#N/A</v>
      </c>
      <c r="Y118" s="2" t="e">
        <f t="shared" si="38"/>
        <v>#N/A</v>
      </c>
      <c r="Z118" s="0">
        <f t="shared" ca="1" si="40"/>
        <v>1245881.8</v>
      </c>
      <c r="AA118" s="0">
        <f t="shared" ca="1" si="39"/>
        <v>1107062</v>
      </c>
      <c r="AB118" cm="1" s="0">
        <f t="array" ref="AB118">MAX(IF(ISNUMBER(J118:Y118),J118:Y118))</f>
        <v>1464432</v>
      </c>
      <c r="AC118" cm="1" s="0">
        <f t="array" ref="AC118">MIN(IF(ISNUMBER(J118:Y118),J118:Y118))</f>
        <v>262233</v>
      </c>
      <c r="AD118" s="0">
        <f t="shared" si="33"/>
        <v>1202199</v>
      </c>
    </row>
    <row r="119" spans="1:30" x14ac:dyDescent="0.2">
      <c r="A119" t="s" s="0">
        <v>3878</v>
      </c>
      <c r="B119" s="3">
        <v>856295</v>
      </c>
      <c r="C119" s="3">
        <v>38678</v>
      </c>
      <c r="D119" s="3">
        <v>43061</v>
      </c>
      <c r="E119" s="3">
        <v>42637</v>
      </c>
      <c r="F119" s="3">
        <v>37104</v>
      </c>
      <c r="G119" s="3">
        <v>34758</v>
      </c>
      <c r="I119" t="str" s="0">
        <f t="shared" si="21"/>
        <v>04/26</v>
      </c>
      <c r="J119" s="2">
        <f t="shared" si="22"/>
        <v>783087</v>
      </c>
      <c r="K119" s="2">
        <f t="shared" si="23"/>
        <v>846122</v>
      </c>
      <c r="L119" s="2">
        <f t="shared" si="24"/>
        <v>915303</v>
      </c>
      <c r="M119" s="2">
        <f t="shared" si="25"/>
        <v>1293352</v>
      </c>
      <c r="N119" s="2">
        <f t="shared" si="26"/>
        <v>870153</v>
      </c>
      <c r="O119" s="2">
        <f t="shared" si="27"/>
        <v>1333291</v>
      </c>
      <c r="P119" s="2">
        <f t="shared" si="28"/>
        <v>1434123</v>
      </c>
      <c r="Q119" s="2">
        <f t="shared" si="29"/>
        <v>1153539</v>
      </c>
      <c r="R119" s="2">
        <f t="shared" si="30"/>
        <v>902895</v>
      </c>
      <c r="S119" s="2">
        <f t="shared" si="31"/>
        <v>1308705</v>
      </c>
      <c r="T119" s="2">
        <f t="shared" si="32"/>
        <v>262233</v>
      </c>
      <c r="U119" s="2" t="e">
        <f t="shared" si="34"/>
        <v>#N/A</v>
      </c>
      <c r="V119" s="2" t="e">
        <f t="shared" si="35"/>
        <v>#N/A</v>
      </c>
      <c r="W119" s="2" t="e">
        <f t="shared" si="36"/>
        <v>#N/A</v>
      </c>
      <c r="X119" s="2" t="e">
        <f t="shared" si="37"/>
        <v>#N/A</v>
      </c>
      <c r="Y119" s="2" t="e">
        <f t="shared" si="38"/>
        <v>#N/A</v>
      </c>
      <c r="Z119" s="0">
        <f t="shared" ca="1" si="40"/>
        <v>1226510.6000000001</v>
      </c>
      <c r="AA119" s="0">
        <f t="shared" ca="1" si="39"/>
        <v>1084057</v>
      </c>
      <c r="AB119" cm="1" s="0">
        <f t="array" ref="AB119">MAX(IF(ISNUMBER(J119:Y119),J119:Y119))</f>
        <v>1434123</v>
      </c>
      <c r="AC119" cm="1" s="0">
        <f t="array" ref="AC119">MIN(IF(ISNUMBER(J119:Y119),J119:Y119))</f>
        <v>262233</v>
      </c>
      <c r="AD119" s="0">
        <f t="shared" si="33"/>
        <v>1171890</v>
      </c>
    </row>
    <row r="120" spans="1:30" x14ac:dyDescent="0.2">
      <c r="A120" t="s" s="0">
        <v>3877</v>
      </c>
      <c r="B120" s="2">
        <v>835744</v>
      </c>
      <c r="C120" s="2">
        <v>19342</v>
      </c>
      <c r="D120" s="2">
        <v>38553</v>
      </c>
      <c r="E120" s="2">
        <v>42126</v>
      </c>
      <c r="F120" s="2">
        <v>31227</v>
      </c>
      <c r="G120" s="2">
        <v>35106</v>
      </c>
      <c r="I120" t="str" s="0">
        <f t="shared" si="21"/>
        <v>04/27</v>
      </c>
      <c r="J120" s="2">
        <f t="shared" si="22"/>
        <v>837161</v>
      </c>
      <c r="K120" s="2">
        <f t="shared" si="23"/>
        <v>831341</v>
      </c>
      <c r="L120" s="2">
        <f t="shared" si="24"/>
        <v>925400</v>
      </c>
      <c r="M120" s="2">
        <f t="shared" si="25"/>
        <v>1293352</v>
      </c>
      <c r="N120" s="2">
        <f t="shared" si="26"/>
        <v>870153</v>
      </c>
      <c r="O120" s="2">
        <f t="shared" si="27"/>
        <v>1327741</v>
      </c>
      <c r="P120" s="2">
        <f t="shared" si="28"/>
        <v>1408474</v>
      </c>
      <c r="Q120" s="2">
        <f t="shared" si="29"/>
        <v>1103075</v>
      </c>
      <c r="R120" s="2">
        <f t="shared" si="30"/>
        <v>861479</v>
      </c>
      <c r="S120" s="2">
        <f t="shared" si="31"/>
        <v>1308705</v>
      </c>
      <c r="T120" s="2">
        <f t="shared" si="32"/>
        <v>197800</v>
      </c>
      <c r="U120" s="2" t="e">
        <f t="shared" si="34"/>
        <v>#N/A</v>
      </c>
      <c r="V120" s="2" t="e">
        <f t="shared" si="35"/>
        <v>#N/A</v>
      </c>
      <c r="W120" s="2" t="e">
        <f t="shared" si="36"/>
        <v>#N/A</v>
      </c>
      <c r="X120" s="2" t="e">
        <f t="shared" si="37"/>
        <v>#N/A</v>
      </c>
      <c r="Y120" s="2" t="e">
        <f t="shared" si="38"/>
        <v>#N/A</v>
      </c>
      <c r="Z120" s="0">
        <f t="shared" ca="1" si="40"/>
        <v>1201894.8</v>
      </c>
      <c r="AA120" s="0">
        <f t="shared" ca="1" si="39"/>
        <v>1076688.1000000001</v>
      </c>
      <c r="AB120" cm="1" s="0">
        <f t="array" ref="AB120">MAX(IF(ISNUMBER(J120:Y120),J120:Y120))</f>
        <v>1408474</v>
      </c>
      <c r="AC120" cm="1" s="0">
        <f t="array" ref="AC120">MIN(IF(ISNUMBER(J120:Y120),J120:Y120))</f>
        <v>197800</v>
      </c>
      <c r="AD120" s="0">
        <f t="shared" si="33"/>
        <v>1210674</v>
      </c>
    </row>
    <row r="121" spans="1:30" x14ac:dyDescent="0.2">
      <c r="A121" t="s" s="0">
        <v>3876</v>
      </c>
      <c r="B121" s="2">
        <v>803298</v>
      </c>
      <c r="C121" s="2">
        <v>32446</v>
      </c>
      <c r="D121" s="2">
        <v>37729</v>
      </c>
      <c r="E121" s="2">
        <v>41845</v>
      </c>
      <c r="F121" s="2">
        <v>29078</v>
      </c>
      <c r="G121" s="2">
        <v>33870</v>
      </c>
      <c r="I121" t="str" s="0">
        <f t="shared" si="21"/>
        <v>04/28</v>
      </c>
      <c r="J121" s="2">
        <f t="shared" si="22"/>
        <v>800027</v>
      </c>
      <c r="K121" s="2">
        <f t="shared" si="23"/>
        <v>886119</v>
      </c>
      <c r="L121" s="2">
        <f t="shared" si="24"/>
        <v>925400</v>
      </c>
      <c r="M121" s="2">
        <f t="shared" si="25"/>
        <v>1293352</v>
      </c>
      <c r="N121" s="2">
        <f t="shared" si="26"/>
        <v>1039844</v>
      </c>
      <c r="O121" s="2">
        <f t="shared" si="27"/>
        <v>1392175</v>
      </c>
      <c r="P121" s="2">
        <f t="shared" si="28"/>
        <v>1390513</v>
      </c>
      <c r="Q121" s="2">
        <f t="shared" si="29"/>
        <v>1116916</v>
      </c>
      <c r="R121" s="2">
        <f t="shared" si="30"/>
        <v>861479</v>
      </c>
      <c r="S121" s="2">
        <f t="shared" si="31"/>
        <v>1332586</v>
      </c>
      <c r="T121" s="2">
        <f t="shared" si="32"/>
        <v>231765</v>
      </c>
      <c r="U121" s="2" t="e">
        <f t="shared" si="34"/>
        <v>#N/A</v>
      </c>
      <c r="V121" s="2" t="e">
        <f t="shared" si="35"/>
        <v>#N/A</v>
      </c>
      <c r="W121" s="2" t="e">
        <f t="shared" si="36"/>
        <v>#N/A</v>
      </c>
      <c r="X121" s="2" t="e">
        <f t="shared" si="37"/>
        <v>#N/A</v>
      </c>
      <c r="Y121" s="2" t="e">
        <f t="shared" si="38"/>
        <v>#N/A</v>
      </c>
      <c r="Z121" s="0">
        <f t="shared" ca="1" si="40"/>
        <v>1218733.8</v>
      </c>
      <c r="AA121" s="0">
        <f t="shared" ca="1" si="39"/>
        <v>1103841.1000000001</v>
      </c>
      <c r="AB121" cm="1" s="0">
        <f t="array" ref="AB121">MAX(IF(ISNUMBER(J121:Y121),J121:Y121))</f>
        <v>1392175</v>
      </c>
      <c r="AC121" cm="1" s="0">
        <f t="array" ref="AC121">MIN(IF(ISNUMBER(J121:Y121),J121:Y121))</f>
        <v>231765</v>
      </c>
      <c r="AD121" s="0">
        <f t="shared" si="33"/>
        <v>1160410</v>
      </c>
    </row>
    <row r="122" spans="1:30" x14ac:dyDescent="0.2">
      <c r="A122" t="s" s="0">
        <v>3875</v>
      </c>
      <c r="B122" s="2">
        <v>810968</v>
      </c>
      <c r="C122" s="2">
        <v>32330</v>
      </c>
      <c r="D122" s="2">
        <v>35350</v>
      </c>
      <c r="E122" s="2">
        <v>40862</v>
      </c>
      <c r="F122" s="2">
        <v>34796</v>
      </c>
      <c r="G122" s="2">
        <v>33512</v>
      </c>
      <c r="I122" t="str" s="0">
        <f t="shared" si="21"/>
        <v>04/29</v>
      </c>
      <c r="J122" s="2">
        <f t="shared" si="22"/>
        <v>856248</v>
      </c>
      <c r="K122" s="2">
        <f t="shared" si="23"/>
        <v>886119</v>
      </c>
      <c r="L122" s="2">
        <f t="shared" si="24"/>
        <v>925400</v>
      </c>
      <c r="M122" s="2">
        <f t="shared" si="25"/>
        <v>1252294</v>
      </c>
      <c r="N122" s="2">
        <f t="shared" si="26"/>
        <v>1054861</v>
      </c>
      <c r="O122" s="2">
        <f t="shared" si="27"/>
        <v>1373024</v>
      </c>
      <c r="P122" s="2">
        <f t="shared" si="28"/>
        <v>1341620</v>
      </c>
      <c r="Q122" s="2">
        <f t="shared" si="29"/>
        <v>1116916</v>
      </c>
      <c r="R122" s="2">
        <f t="shared" si="30"/>
        <v>861479</v>
      </c>
      <c r="S122" s="2">
        <f t="shared" si="31"/>
        <v>1347119</v>
      </c>
      <c r="T122" s="2">
        <f t="shared" si="32"/>
        <v>231630</v>
      </c>
      <c r="U122" s="2" t="e">
        <f t="shared" si="34"/>
        <v>#N/A</v>
      </c>
      <c r="V122" s="2" t="e">
        <f t="shared" si="35"/>
        <v>#N/A</v>
      </c>
      <c r="W122" s="2" t="e">
        <f t="shared" si="36"/>
        <v>#N/A</v>
      </c>
      <c r="X122" s="2" t="e">
        <f t="shared" si="37"/>
        <v>#N/A</v>
      </c>
      <c r="Y122" s="2" t="e">
        <f t="shared" si="38"/>
        <v>#N/A</v>
      </c>
      <c r="Z122" s="0">
        <f t="shared" ca="1" si="40"/>
        <v>1208031.6000000001</v>
      </c>
      <c r="AA122" s="0">
        <f t="shared" ca="1" si="39"/>
        <v>1101508</v>
      </c>
      <c r="AB122" cm="1" s="0">
        <f t="array" ref="AB122">MAX(IF(ISNUMBER(J122:Y122),J122:Y122))</f>
        <v>1373024</v>
      </c>
      <c r="AC122" cm="1" s="0">
        <f t="array" ref="AC122">MIN(IF(ISNUMBER(J122:Y122),J122:Y122))</f>
        <v>231630</v>
      </c>
      <c r="AD122" s="0">
        <f t="shared" si="33"/>
        <v>1141394</v>
      </c>
    </row>
    <row r="123" spans="1:30" x14ac:dyDescent="0.2">
      <c r="A123" t="s" s="0">
        <v>3874</v>
      </c>
      <c r="B123" s="2">
        <v>758950</v>
      </c>
      <c r="C123" s="2">
        <v>41578</v>
      </c>
      <c r="D123" s="2">
        <v>35101</v>
      </c>
      <c r="E123" s="2">
        <v>40555</v>
      </c>
      <c r="F123" s="2">
        <v>20504</v>
      </c>
      <c r="G123" s="2">
        <v>33511</v>
      </c>
      <c r="I123" t="str" s="0">
        <f t="shared" si="21"/>
        <v>04/30</v>
      </c>
      <c r="J123" s="2">
        <f t="shared" si="22"/>
        <v>794123</v>
      </c>
      <c r="K123" s="2">
        <f t="shared" si="23"/>
        <v>886119</v>
      </c>
      <c r="L123" s="2">
        <f t="shared" si="24"/>
        <v>886501</v>
      </c>
      <c r="M123" s="2">
        <f t="shared" si="25"/>
        <v>1236839</v>
      </c>
      <c r="N123" s="2">
        <f t="shared" si="26"/>
        <v>1027333</v>
      </c>
      <c r="O123" s="2">
        <f t="shared" si="27"/>
        <v>1395231</v>
      </c>
      <c r="P123" s="2">
        <f t="shared" si="28"/>
        <v>1341620</v>
      </c>
      <c r="Q123" s="2">
        <f t="shared" si="29"/>
        <v>1116916</v>
      </c>
      <c r="R123" s="2">
        <f t="shared" si="30"/>
        <v>990110</v>
      </c>
      <c r="S123" s="2">
        <f t="shared" si="31"/>
        <v>1356558</v>
      </c>
      <c r="T123" s="2">
        <f t="shared" si="32"/>
        <v>260173</v>
      </c>
      <c r="U123" s="2" t="e">
        <f t="shared" si="34"/>
        <v>#N/A</v>
      </c>
      <c r="V123" s="2" t="e">
        <f t="shared" si="35"/>
        <v>#N/A</v>
      </c>
      <c r="W123" s="2" t="e">
        <f t="shared" si="36"/>
        <v>#N/A</v>
      </c>
      <c r="X123" s="2" t="e">
        <f t="shared" si="37"/>
        <v>#N/A</v>
      </c>
      <c r="Y123" s="2" t="e">
        <f t="shared" si="38"/>
        <v>#N/A</v>
      </c>
      <c r="Z123" s="0">
        <f t="shared" ca="1" si="40"/>
        <v>1240087</v>
      </c>
      <c r="AA123" s="0">
        <f t="shared" ca="1" si="39"/>
        <v>1103135</v>
      </c>
      <c r="AB123" cm="1" s="0">
        <f t="array" ref="AB123">MAX(IF(ISNUMBER(J123:Y123),J123:Y123))</f>
        <v>1395231</v>
      </c>
      <c r="AC123" cm="1" s="0">
        <f t="array" ref="AC123">MIN(IF(ISNUMBER(J123:Y123),J123:Y123))</f>
        <v>260173</v>
      </c>
      <c r="AD123" s="0">
        <f t="shared" si="33"/>
        <v>1135058</v>
      </c>
    </row>
    <row r="124" spans="1:30" x14ac:dyDescent="0.2">
      <c r="A124" t="s" s="0">
        <v>3873</v>
      </c>
      <c r="B124" s="2">
        <v>735179</v>
      </c>
      <c r="C124" s="2">
        <v>34092</v>
      </c>
      <c r="D124" s="2">
        <v>36491</v>
      </c>
      <c r="E124" s="2">
        <v>40469</v>
      </c>
      <c r="F124" s="2">
        <v>18447</v>
      </c>
      <c r="G124" s="2">
        <v>34207</v>
      </c>
      <c r="I124" t="str" s="0">
        <f t="shared" si="21"/>
        <v>05/01</v>
      </c>
      <c r="J124" s="2">
        <f t="shared" si="22"/>
        <v>794123</v>
      </c>
      <c r="K124" s="2">
        <f t="shared" si="23"/>
        <v>840856</v>
      </c>
      <c r="L124" s="2">
        <f t="shared" si="24"/>
        <v>853858</v>
      </c>
      <c r="M124" s="2">
        <f t="shared" si="25"/>
        <v>1215600</v>
      </c>
      <c r="N124" s="2">
        <f t="shared" si="26"/>
        <v>967319</v>
      </c>
      <c r="O124" s="2">
        <f t="shared" si="27"/>
        <v>1395231</v>
      </c>
      <c r="P124" s="2">
        <f t="shared" si="28"/>
        <v>1341620</v>
      </c>
      <c r="Q124" s="2">
        <f t="shared" si="29"/>
        <v>1109999</v>
      </c>
      <c r="R124" s="2">
        <f t="shared" si="30"/>
        <v>982219</v>
      </c>
      <c r="S124" s="2">
        <f t="shared" si="31"/>
        <v>1335040</v>
      </c>
      <c r="T124" s="2">
        <f t="shared" si="32"/>
        <v>758031</v>
      </c>
      <c r="U124" s="2" t="e">
        <f t="shared" si="34"/>
        <v>#N/A</v>
      </c>
      <c r="V124" s="2" t="e">
        <f t="shared" si="35"/>
        <v>#N/A</v>
      </c>
      <c r="W124" s="2" t="e">
        <f t="shared" si="36"/>
        <v>#N/A</v>
      </c>
      <c r="X124" s="2" t="e">
        <f t="shared" si="37"/>
        <v>#N/A</v>
      </c>
      <c r="Y124" s="2" t="e">
        <f t="shared" si="38"/>
        <v>#N/A</v>
      </c>
      <c r="Z124" s="0">
        <f t="shared" ca="1" si="40"/>
        <v>1232821.8</v>
      </c>
      <c r="AA124" s="0">
        <f t="shared" ca="1" si="39"/>
        <v>1083586.5</v>
      </c>
      <c r="AB124" cm="1" s="0">
        <f t="array" ref="AB124">MAX(IF(ISNUMBER(J124:Y124),J124:Y124))</f>
        <v>1395231</v>
      </c>
      <c r="AC124" cm="1" s="0">
        <f t="array" ref="AC124">MIN(IF(ISNUMBER(J124:Y124),J124:Y124))</f>
        <v>758031</v>
      </c>
      <c r="AD124" s="0">
        <f t="shared" si="33"/>
        <v>637200</v>
      </c>
    </row>
    <row r="125" spans="1:30" x14ac:dyDescent="0.2">
      <c r="A125" t="s" s="0">
        <v>3872</v>
      </c>
      <c r="B125" s="3">
        <v>735179</v>
      </c>
      <c r="C125" s="3">
        <v>34092</v>
      </c>
      <c r="D125" s="3">
        <v>36491</v>
      </c>
      <c r="E125" s="3">
        <v>40469</v>
      </c>
      <c r="F125" s="3">
        <v>18447</v>
      </c>
      <c r="G125" s="3">
        <v>34207</v>
      </c>
      <c r="I125" t="str" s="0">
        <f t="shared" si="21"/>
        <v>05/02</v>
      </c>
      <c r="J125" s="2">
        <f t="shared" si="22"/>
        <v>794123</v>
      </c>
      <c r="K125" s="2">
        <f t="shared" si="23"/>
        <v>804123</v>
      </c>
      <c r="L125" s="2">
        <f t="shared" si="24"/>
        <v>827314</v>
      </c>
      <c r="M125" s="2">
        <f t="shared" si="25"/>
        <v>1233479</v>
      </c>
      <c r="N125" s="2">
        <f t="shared" si="26"/>
        <v>1042456</v>
      </c>
      <c r="O125" s="2">
        <f t="shared" si="27"/>
        <v>1395231</v>
      </c>
      <c r="P125" s="2">
        <f t="shared" si="28"/>
        <v>1318751</v>
      </c>
      <c r="Q125" s="2">
        <f t="shared" si="29"/>
        <v>1100998</v>
      </c>
      <c r="R125" s="2">
        <f t="shared" si="30"/>
        <v>936878</v>
      </c>
      <c r="S125" s="2">
        <f t="shared" si="31"/>
        <v>1357370</v>
      </c>
      <c r="T125" s="2">
        <f t="shared" si="32"/>
        <v>758031</v>
      </c>
      <c r="U125" s="2" t="e">
        <f t="shared" si="34"/>
        <v>#N/A</v>
      </c>
      <c r="V125" s="2" t="e">
        <f t="shared" si="35"/>
        <v>#N/A</v>
      </c>
      <c r="W125" s="2" t="e">
        <f t="shared" si="36"/>
        <v>#N/A</v>
      </c>
      <c r="X125" s="2" t="e">
        <f t="shared" si="37"/>
        <v>#N/A</v>
      </c>
      <c r="Y125" s="2" t="e">
        <f t="shared" si="38"/>
        <v>#N/A</v>
      </c>
      <c r="Z125" s="0">
        <f t="shared" ca="1" si="40"/>
        <v>1221845.6000000001</v>
      </c>
      <c r="AA125" s="0">
        <f t="shared" ca="1" si="39"/>
        <v>1081072.3</v>
      </c>
      <c r="AB125" cm="1" s="0">
        <f t="array" ref="AB125">MAX(IF(ISNUMBER(J125:Y125),J125:Y125))</f>
        <v>1395231</v>
      </c>
      <c r="AC125" cm="1" s="0">
        <f t="array" ref="AC125">MIN(IF(ISNUMBER(J125:Y125),J125:Y125))</f>
        <v>758031</v>
      </c>
      <c r="AD125" s="0">
        <f t="shared" si="33"/>
        <v>637200</v>
      </c>
    </row>
    <row r="126" spans="1:30" x14ac:dyDescent="0.2">
      <c r="A126" t="s" s="0">
        <v>3871</v>
      </c>
      <c r="B126" s="3">
        <v>735179</v>
      </c>
      <c r="C126" s="3">
        <v>34092</v>
      </c>
      <c r="D126" s="3">
        <v>36491</v>
      </c>
      <c r="E126" s="3">
        <v>40469</v>
      </c>
      <c r="F126" s="3">
        <v>18447</v>
      </c>
      <c r="G126" s="3">
        <v>34207</v>
      </c>
      <c r="I126" t="str" s="0">
        <f t="shared" si="21"/>
        <v>05/03</v>
      </c>
      <c r="J126" s="2">
        <f t="shared" si="22"/>
        <v>822886</v>
      </c>
      <c r="K126" s="2">
        <f t="shared" si="23"/>
        <v>822600</v>
      </c>
      <c r="L126" s="2">
        <f t="shared" si="24"/>
        <v>849998</v>
      </c>
      <c r="M126" s="2">
        <f t="shared" si="25"/>
        <v>1204355</v>
      </c>
      <c r="N126" s="2">
        <f t="shared" si="26"/>
        <v>1042456</v>
      </c>
      <c r="O126" s="2">
        <f t="shared" si="27"/>
        <v>1347984</v>
      </c>
      <c r="P126" s="2">
        <f t="shared" si="28"/>
        <v>1366373</v>
      </c>
      <c r="Q126" s="2">
        <f t="shared" si="29"/>
        <v>1143159</v>
      </c>
      <c r="R126" s="2">
        <f t="shared" si="30"/>
        <v>904287</v>
      </c>
      <c r="S126" s="2">
        <f t="shared" si="31"/>
        <v>1357370</v>
      </c>
      <c r="T126" s="2">
        <f t="shared" si="32"/>
        <v>758031</v>
      </c>
      <c r="U126" s="2" t="e">
        <f t="shared" si="34"/>
        <v>#N/A</v>
      </c>
      <c r="V126" s="2" t="e">
        <f t="shared" si="35"/>
        <v>#N/A</v>
      </c>
      <c r="W126" s="2" t="e">
        <f t="shared" si="36"/>
        <v>#N/A</v>
      </c>
      <c r="X126" s="2" t="e">
        <f t="shared" si="37"/>
        <v>#N/A</v>
      </c>
      <c r="Y126" s="2" t="e">
        <f t="shared" si="38"/>
        <v>#N/A</v>
      </c>
      <c r="Z126" s="0">
        <f t="shared" ca="1" si="40"/>
        <v>1223834.6000000001</v>
      </c>
      <c r="AA126" s="0">
        <f t="shared" ca="1" si="39"/>
        <v>1086146.8</v>
      </c>
      <c r="AB126" cm="1" s="0">
        <f t="array" ref="AB126">MAX(IF(ISNUMBER(J126:Y126),J126:Y126))</f>
        <v>1366373</v>
      </c>
      <c r="AC126" cm="1" s="0">
        <f t="array" ref="AC126">MIN(IF(ISNUMBER(J126:Y126),J126:Y126))</f>
        <v>758031</v>
      </c>
      <c r="AD126" s="0">
        <f t="shared" si="33"/>
        <v>608342</v>
      </c>
    </row>
    <row r="127" spans="1:30" x14ac:dyDescent="0.2">
      <c r="A127" t="s" s="0">
        <v>3870</v>
      </c>
      <c r="B127" s="2">
        <v>759510</v>
      </c>
      <c r="C127" s="2">
        <v>20438</v>
      </c>
      <c r="D127" s="2">
        <v>36373</v>
      </c>
      <c r="E127" s="2">
        <v>40327</v>
      </c>
      <c r="F127" s="2">
        <v>24477</v>
      </c>
      <c r="G127" s="2">
        <v>34814</v>
      </c>
      <c r="I127" t="str" s="0">
        <f t="shared" si="21"/>
        <v>05/04</v>
      </c>
      <c r="J127" s="2">
        <f t="shared" si="22"/>
        <v>850156</v>
      </c>
      <c r="K127" s="2">
        <f t="shared" si="23"/>
        <v>852731</v>
      </c>
      <c r="L127" s="2">
        <f t="shared" si="24"/>
        <v>835850</v>
      </c>
      <c r="M127" s="2">
        <f t="shared" si="25"/>
        <v>1204355</v>
      </c>
      <c r="N127" s="2">
        <f t="shared" si="26"/>
        <v>1042456</v>
      </c>
      <c r="O127" s="2">
        <f t="shared" si="27"/>
        <v>1371759</v>
      </c>
      <c r="P127" s="2">
        <f t="shared" si="28"/>
        <v>1318064</v>
      </c>
      <c r="Q127" s="2">
        <f t="shared" si="29"/>
        <v>1101531</v>
      </c>
      <c r="R127" s="2">
        <f t="shared" si="30"/>
        <v>983974</v>
      </c>
      <c r="S127" s="2">
        <f t="shared" si="31"/>
        <v>1357370</v>
      </c>
      <c r="T127" s="2">
        <f t="shared" si="32"/>
        <v>756618</v>
      </c>
      <c r="U127" s="2" t="e">
        <f t="shared" si="34"/>
        <v>#N/A</v>
      </c>
      <c r="V127" s="2" t="e">
        <f t="shared" si="35"/>
        <v>#N/A</v>
      </c>
      <c r="W127" s="2" t="e">
        <f t="shared" si="36"/>
        <v>#N/A</v>
      </c>
      <c r="X127" s="2" t="e">
        <f t="shared" si="37"/>
        <v>#N/A</v>
      </c>
      <c r="Y127" s="2" t="e">
        <f t="shared" si="38"/>
        <v>#N/A</v>
      </c>
      <c r="Z127" s="0">
        <f t="shared" ca="1" si="40"/>
        <v>1226539.6000000001</v>
      </c>
      <c r="AA127" s="0">
        <f t="shared" ca="1" si="39"/>
        <v>1091824.6000000001</v>
      </c>
      <c r="AB127" cm="1" s="0">
        <f t="array" ref="AB127">MAX(IF(ISNUMBER(J127:Y127),J127:Y127))</f>
        <v>1371759</v>
      </c>
      <c r="AC127" cm="1" s="0">
        <f t="array" ref="AC127">MIN(IF(ISNUMBER(J127:Y127),J127:Y127))</f>
        <v>756618</v>
      </c>
      <c r="AD127" s="0">
        <f t="shared" si="33"/>
        <v>615141</v>
      </c>
    </row>
    <row r="128" spans="1:30" x14ac:dyDescent="0.2">
      <c r="A128" t="s" s="0">
        <v>3869</v>
      </c>
      <c r="B128" s="2">
        <v>778748</v>
      </c>
      <c r="C128" s="2">
        <v>33720</v>
      </c>
      <c r="D128" s="2">
        <v>36555</v>
      </c>
      <c r="E128" s="2">
        <v>40117</v>
      </c>
      <c r="F128" s="2">
        <v>31564</v>
      </c>
      <c r="G128" s="2">
        <v>35161</v>
      </c>
      <c r="I128" t="str" s="0">
        <f t="shared" si="21"/>
        <v>05/05</v>
      </c>
      <c r="J128" s="2">
        <f t="shared" si="22"/>
        <v>830470</v>
      </c>
      <c r="K128" s="2">
        <f t="shared" si="23"/>
        <v>791447</v>
      </c>
      <c r="L128" s="2">
        <f t="shared" si="24"/>
        <v>835850</v>
      </c>
      <c r="M128" s="2">
        <f t="shared" si="25"/>
        <v>1204355</v>
      </c>
      <c r="N128" s="2">
        <f t="shared" si="26"/>
        <v>1053728</v>
      </c>
      <c r="O128" s="2">
        <f t="shared" si="27"/>
        <v>1372910</v>
      </c>
      <c r="P128" s="2">
        <f t="shared" si="28"/>
        <v>1329265</v>
      </c>
      <c r="Q128" s="2">
        <f t="shared" si="29"/>
        <v>1155542</v>
      </c>
      <c r="R128" s="2">
        <f t="shared" si="30"/>
        <v>983974</v>
      </c>
      <c r="S128" s="2">
        <f t="shared" si="31"/>
        <v>1305124</v>
      </c>
      <c r="T128" s="2">
        <f t="shared" si="32"/>
        <v>724490</v>
      </c>
      <c r="U128" s="2" t="e">
        <f t="shared" si="34"/>
        <v>#N/A</v>
      </c>
      <c r="V128" s="2" t="e">
        <f t="shared" si="35"/>
        <v>#N/A</v>
      </c>
      <c r="W128" s="2" t="e">
        <f t="shared" si="36"/>
        <v>#N/A</v>
      </c>
      <c r="X128" s="2" t="e">
        <f t="shared" si="37"/>
        <v>#N/A</v>
      </c>
      <c r="Y128" s="2" t="e">
        <f t="shared" si="38"/>
        <v>#N/A</v>
      </c>
      <c r="Z128" s="0">
        <f t="shared" ca="1" si="40"/>
        <v>1229363</v>
      </c>
      <c r="AA128" s="0">
        <f t="shared" ca="1" si="39"/>
        <v>1086266.5</v>
      </c>
      <c r="AB128" cm="1" s="0">
        <f t="array" ref="AB128">MAX(IF(ISNUMBER(J128:Y128),J128:Y128))</f>
        <v>1372910</v>
      </c>
      <c r="AC128" cm="1" s="0">
        <f t="array" ref="AC128">MIN(IF(ISNUMBER(J128:Y128),J128:Y128))</f>
        <v>724490</v>
      </c>
      <c r="AD128" s="0">
        <f t="shared" si="33"/>
        <v>648420</v>
      </c>
    </row>
    <row r="129" spans="1:30" x14ac:dyDescent="0.2">
      <c r="A129" t="s" s="0">
        <v>3868</v>
      </c>
      <c r="B129" s="2">
        <v>846730</v>
      </c>
      <c r="C129" s="2">
        <v>31988</v>
      </c>
      <c r="D129" s="2">
        <v>36506</v>
      </c>
      <c r="E129" s="2">
        <v>39929</v>
      </c>
      <c r="F129" s="2">
        <v>40131</v>
      </c>
      <c r="G129" s="2">
        <v>36053</v>
      </c>
      <c r="I129" t="str" s="0">
        <f t="shared" si="21"/>
        <v>05/06</v>
      </c>
      <c r="J129" s="2">
        <f t="shared" si="22"/>
        <v>807264</v>
      </c>
      <c r="K129" s="2">
        <f t="shared" si="23"/>
        <v>791447</v>
      </c>
      <c r="L129" s="2">
        <f t="shared" si="24"/>
        <v>835850</v>
      </c>
      <c r="M129" s="2">
        <f t="shared" si="25"/>
        <v>1080774</v>
      </c>
      <c r="N129" s="2">
        <f t="shared" si="26"/>
        <v>1049074</v>
      </c>
      <c r="O129" s="2">
        <f t="shared" si="27"/>
        <v>1421674</v>
      </c>
      <c r="P129" s="2">
        <f t="shared" si="28"/>
        <v>1299430</v>
      </c>
      <c r="Q129" s="2">
        <f t="shared" si="29"/>
        <v>1155542</v>
      </c>
      <c r="R129" s="2">
        <f t="shared" si="30"/>
        <v>983974</v>
      </c>
      <c r="S129" s="2">
        <f t="shared" si="31"/>
        <v>1264679</v>
      </c>
      <c r="T129" s="2">
        <f t="shared" si="32"/>
        <v>703958</v>
      </c>
      <c r="U129" s="2" t="e">
        <f t="shared" si="34"/>
        <v>#N/A</v>
      </c>
      <c r="V129" s="2" t="e">
        <f t="shared" si="35"/>
        <v>#N/A</v>
      </c>
      <c r="W129" s="2" t="e">
        <f t="shared" si="36"/>
        <v>#N/A</v>
      </c>
      <c r="X129" s="2" t="e">
        <f t="shared" si="37"/>
        <v>#N/A</v>
      </c>
      <c r="Y129" s="2" t="e">
        <f t="shared" si="38"/>
        <v>#N/A</v>
      </c>
      <c r="Z129" s="0">
        <f t="shared" ca="1" si="40"/>
        <v>1225059.8</v>
      </c>
      <c r="AA129" s="0">
        <f t="shared" ca="1" si="39"/>
        <v>1068970.8</v>
      </c>
      <c r="AB129" cm="1" s="0">
        <f t="array" ref="AB129">MAX(IF(ISNUMBER(J129:Y129),J129:Y129))</f>
        <v>1421674</v>
      </c>
      <c r="AC129" cm="1" s="0">
        <f t="array" ref="AC129">MIN(IF(ISNUMBER(J129:Y129),J129:Y129))</f>
        <v>703958</v>
      </c>
      <c r="AD129" s="0">
        <f t="shared" si="33"/>
        <v>717716</v>
      </c>
    </row>
    <row r="130" spans="1:30" x14ac:dyDescent="0.2">
      <c r="A130" t="s" s="0">
        <v>3867</v>
      </c>
      <c r="B130" s="2">
        <v>794587</v>
      </c>
      <c r="C130" s="2">
        <v>37148</v>
      </c>
      <c r="D130" s="2">
        <v>36527</v>
      </c>
      <c r="E130" s="2">
        <v>40469</v>
      </c>
      <c r="F130" s="2">
        <v>40134</v>
      </c>
      <c r="G130" s="2">
        <v>34420</v>
      </c>
      <c r="I130" t="str" s="0">
        <f t="shared" si="21"/>
        <v>05/07</v>
      </c>
      <c r="J130" s="2">
        <f t="shared" si="22"/>
        <v>849646</v>
      </c>
      <c r="K130" s="2">
        <f t="shared" si="23"/>
        <v>791447</v>
      </c>
      <c r="L130" s="2">
        <f t="shared" si="24"/>
        <v>891128</v>
      </c>
      <c r="M130" s="2">
        <f t="shared" si="25"/>
        <v>1130952</v>
      </c>
      <c r="N130" s="2">
        <f t="shared" si="26"/>
        <v>1029801</v>
      </c>
      <c r="O130" s="2">
        <f t="shared" si="27"/>
        <v>1435620</v>
      </c>
      <c r="P130" s="2">
        <f t="shared" si="28"/>
        <v>1299430</v>
      </c>
      <c r="Q130" s="2">
        <f t="shared" si="29"/>
        <v>1155542</v>
      </c>
      <c r="R130" s="2">
        <f t="shared" si="30"/>
        <v>961245</v>
      </c>
      <c r="S130" s="2">
        <f t="shared" si="31"/>
        <v>1265218</v>
      </c>
      <c r="T130" s="2">
        <f t="shared" si="32"/>
        <v>766179</v>
      </c>
      <c r="U130" s="2" t="e">
        <f t="shared" si="34"/>
        <v>#N/A</v>
      </c>
      <c r="V130" s="2" t="e">
        <f t="shared" si="35"/>
        <v>#N/A</v>
      </c>
      <c r="W130" s="2" t="e">
        <f t="shared" si="36"/>
        <v>#N/A</v>
      </c>
      <c r="X130" s="2" t="e">
        <f t="shared" si="37"/>
        <v>#N/A</v>
      </c>
      <c r="Y130" s="2" t="e">
        <f t="shared" si="38"/>
        <v>#N/A</v>
      </c>
      <c r="Z130" s="0">
        <f t="shared" ca="1" si="40"/>
        <v>1223411</v>
      </c>
      <c r="AA130" s="0">
        <f t="shared" ca="1" si="39"/>
        <v>1081002.8999999999</v>
      </c>
      <c r="AB130" cm="1" s="0">
        <f t="array" ref="AB130">MAX(IF(ISNUMBER(J130:Y130),J130:Y130))</f>
        <v>1435620</v>
      </c>
      <c r="AC130" cm="1" s="0">
        <f t="array" ref="AC130">MIN(IF(ISNUMBER(J130:Y130),J130:Y130))</f>
        <v>766179</v>
      </c>
      <c r="AD130" s="0">
        <f t="shared" si="33"/>
        <v>669441</v>
      </c>
    </row>
    <row r="131" spans="1:30" x14ac:dyDescent="0.2">
      <c r="A131" t="s" s="0">
        <v>3866</v>
      </c>
      <c r="B131" s="2">
        <v>828120</v>
      </c>
      <c r="C131" s="2">
        <v>45530</v>
      </c>
      <c r="D131" s="2">
        <v>38259</v>
      </c>
      <c r="E131" s="2">
        <v>41234</v>
      </c>
      <c r="F131" s="2">
        <v>49928</v>
      </c>
      <c r="G131" s="2">
        <v>36607</v>
      </c>
      <c r="I131" t="str" s="0">
        <f t="shared" si="21"/>
        <v>05/08</v>
      </c>
      <c r="J131" s="2">
        <f t="shared" si="22"/>
        <v>849646</v>
      </c>
      <c r="K131" s="2">
        <f t="shared" si="23"/>
        <v>869795</v>
      </c>
      <c r="L131" s="2">
        <f t="shared" si="24"/>
        <v>859922</v>
      </c>
      <c r="M131" s="2">
        <f t="shared" si="25"/>
        <v>1095400</v>
      </c>
      <c r="N131" s="2">
        <f t="shared" si="26"/>
        <v>1071213</v>
      </c>
      <c r="O131" s="2">
        <f t="shared" si="27"/>
        <v>1435620</v>
      </c>
      <c r="P131" s="2">
        <f t="shared" si="28"/>
        <v>1299430</v>
      </c>
      <c r="Q131" s="2">
        <f t="shared" si="29"/>
        <v>1061265</v>
      </c>
      <c r="R131" s="2">
        <f t="shared" si="30"/>
        <v>1020938</v>
      </c>
      <c r="S131" s="2">
        <f t="shared" si="31"/>
        <v>1282988</v>
      </c>
      <c r="T131" s="2">
        <f t="shared" si="32"/>
        <v>841399</v>
      </c>
      <c r="U131" s="2" t="e">
        <f t="shared" si="34"/>
        <v>#N/A</v>
      </c>
      <c r="V131" s="2" t="e">
        <f t="shared" si="35"/>
        <v>#N/A</v>
      </c>
      <c r="W131" s="2" t="e">
        <f t="shared" si="36"/>
        <v>#N/A</v>
      </c>
      <c r="X131" s="2" t="e">
        <f t="shared" si="37"/>
        <v>#N/A</v>
      </c>
      <c r="Y131" s="2" t="e">
        <f t="shared" si="38"/>
        <v>#N/A</v>
      </c>
      <c r="Z131" s="0">
        <f t="shared" ca="1" si="40"/>
        <v>1220048.2</v>
      </c>
      <c r="AA131" s="0">
        <f t="shared" ca="1" si="39"/>
        <v>1084621.7</v>
      </c>
      <c r="AB131" cm="1" s="0">
        <f t="array" ref="AB131">MAX(IF(ISNUMBER(J131:Y131),J131:Y131))</f>
        <v>1435620</v>
      </c>
      <c r="AC131" cm="1" s="0">
        <f t="array" ref="AC131">MIN(IF(ISNUMBER(J131:Y131),J131:Y131))</f>
        <v>841399</v>
      </c>
      <c r="AD131" s="0">
        <f t="shared" si="33"/>
        <v>594221</v>
      </c>
    </row>
    <row r="132" spans="1:30" x14ac:dyDescent="0.2">
      <c r="A132" t="s" s="0">
        <v>3865</v>
      </c>
      <c r="B132" s="3">
        <v>828120</v>
      </c>
      <c r="C132" s="3">
        <v>45530</v>
      </c>
      <c r="D132" s="3">
        <v>38259</v>
      </c>
      <c r="E132" s="3">
        <v>41234</v>
      </c>
      <c r="F132" s="3">
        <v>49928</v>
      </c>
      <c r="G132" s="3">
        <v>36607</v>
      </c>
      <c r="I132" t="str" s="0">
        <f t="shared" ref="I132:I195" si="41">LEFT(A315, 5)</f>
        <v>05/09</v>
      </c>
      <c r="J132" s="2">
        <f t="shared" ref="J132:J195" si="42">B315</f>
        <v>849646</v>
      </c>
      <c r="K132" s="2">
        <f t="shared" ref="K132:K195" si="43">B680</f>
        <v>828055</v>
      </c>
      <c r="L132" s="2">
        <f t="shared" ref="L132:L195" si="44">B1045</f>
        <v>880904</v>
      </c>
      <c r="M132" s="2">
        <f t="shared" ref="M132:M195" si="45">B1410</f>
        <v>1041800</v>
      </c>
      <c r="N132" s="2">
        <f t="shared" ref="N132:N195" si="46">B1775</f>
        <v>1129560</v>
      </c>
      <c r="O132" s="2">
        <f t="shared" ref="O132:O195" si="47">B2140</f>
        <v>1435620</v>
      </c>
      <c r="P132" s="2">
        <f t="shared" ref="P132:P195" si="48">B2505</f>
        <v>1264744</v>
      </c>
      <c r="Q132" s="2">
        <f t="shared" ref="Q132:Q195" si="49">B2870</f>
        <v>1075555</v>
      </c>
      <c r="R132" s="2">
        <f t="shared" ref="R132:R195" si="50">B3235</f>
        <v>973493</v>
      </c>
      <c r="S132" s="2">
        <f t="shared" ref="S132:S195" si="51">B3600</f>
        <v>1282919</v>
      </c>
      <c r="T132" s="2">
        <f t="shared" ref="T132:T196" si="52">IF(B3965=0, NA(), B3965)</f>
        <v>841399</v>
      </c>
      <c r="U132" s="2" t="e">
        <f t="shared" si="34"/>
        <v>#N/A</v>
      </c>
      <c r="V132" s="2" t="e">
        <f t="shared" si="35"/>
        <v>#N/A</v>
      </c>
      <c r="W132" s="2" t="e">
        <f t="shared" si="36"/>
        <v>#N/A</v>
      </c>
      <c r="X132" s="2" t="e">
        <f t="shared" si="37"/>
        <v>#N/A</v>
      </c>
      <c r="Y132" s="2" t="e">
        <f t="shared" si="38"/>
        <v>#N/A</v>
      </c>
      <c r="Z132" s="0">
        <f t="shared" ca="1" si="40"/>
        <v>1206466.2</v>
      </c>
      <c r="AA132" s="0">
        <f t="shared" ca="1" si="39"/>
        <v>1076229.6000000001</v>
      </c>
      <c r="AB132" cm="1" s="0">
        <f t="array" ref="AB132">MAX(IF(ISNUMBER(J132:Y132),J132:Y132))</f>
        <v>1435620</v>
      </c>
      <c r="AC132" cm="1" s="0">
        <f t="array" ref="AC132">MIN(IF(ISNUMBER(J132:Y132),J132:Y132))</f>
        <v>828055</v>
      </c>
      <c r="AD132" s="0">
        <f t="shared" ref="AD132:AD195" si="53">AB132-AC132</f>
        <v>607565</v>
      </c>
    </row>
    <row r="133" spans="1:30" x14ac:dyDescent="0.2">
      <c r="A133" t="s" s="0">
        <v>3864</v>
      </c>
      <c r="B133" s="3">
        <v>828120</v>
      </c>
      <c r="C133" s="3">
        <v>45530</v>
      </c>
      <c r="D133" s="3">
        <v>38259</v>
      </c>
      <c r="E133" s="3">
        <v>41234</v>
      </c>
      <c r="F133" s="3">
        <v>49928</v>
      </c>
      <c r="G133" s="3">
        <v>36607</v>
      </c>
      <c r="I133" t="str" s="0">
        <f t="shared" si="41"/>
        <v>05/10</v>
      </c>
      <c r="J133" s="2">
        <f t="shared" si="42"/>
        <v>903390</v>
      </c>
      <c r="K133" s="2">
        <f t="shared" si="43"/>
        <v>776349</v>
      </c>
      <c r="L133" s="2">
        <f t="shared" si="44"/>
        <v>945072</v>
      </c>
      <c r="M133" s="2">
        <f t="shared" si="45"/>
        <v>1033768</v>
      </c>
      <c r="N133" s="2">
        <f t="shared" si="46"/>
        <v>1129560</v>
      </c>
      <c r="O133" s="2">
        <f t="shared" si="47"/>
        <v>1397733</v>
      </c>
      <c r="P133" s="2">
        <f t="shared" si="48"/>
        <v>1389598</v>
      </c>
      <c r="Q133" s="2">
        <f t="shared" si="49"/>
        <v>1128479</v>
      </c>
      <c r="R133" s="2">
        <f t="shared" si="50"/>
        <v>919557</v>
      </c>
      <c r="S133" s="2">
        <f t="shared" si="51"/>
        <v>1282919</v>
      </c>
      <c r="T133" s="2">
        <f t="shared" si="52"/>
        <v>841399</v>
      </c>
      <c r="U133" s="2" t="e">
        <f t="shared" ref="U133:U196" si="54">IF(B4325=0, NA(), B4325)</f>
        <v>#N/A</v>
      </c>
      <c r="V133" s="2" t="e">
        <f t="shared" ref="V133:V196" si="55">IF(B4690=0, NA(), B4690)</f>
        <v>#N/A</v>
      </c>
      <c r="W133" s="2" t="e">
        <f t="shared" ref="W133:W196" si="56">IF(B5055=0, NA(), B5055)</f>
        <v>#N/A</v>
      </c>
      <c r="X133" s="2" t="e">
        <f t="shared" ref="X133:X196" si="57">IF(B5420=0, NA(), B5420)</f>
        <v>#N/A</v>
      </c>
      <c r="Y133" s="2" t="e">
        <f t="shared" ref="Y133:Y196" si="58">IF(B5785=0, NA(), B5785)</f>
        <v>#N/A</v>
      </c>
      <c r="Z133" s="0">
        <f t="shared" ca="1" si="40"/>
        <v>1223657.2</v>
      </c>
      <c r="AA133" s="0">
        <f t="shared" ca="1" si="39"/>
        <v>1090642.5</v>
      </c>
      <c r="AB133" cm="1" s="0">
        <f t="array" ref="AB133">MAX(IF(ISNUMBER(J133:Y133),J133:Y133))</f>
        <v>1397733</v>
      </c>
      <c r="AC133" cm="1" s="0">
        <f t="array" ref="AC133">MIN(IF(ISNUMBER(J133:Y133),J133:Y133))</f>
        <v>776349</v>
      </c>
      <c r="AD133" s="0">
        <f t="shared" si="53"/>
        <v>621384</v>
      </c>
    </row>
    <row r="134" spans="1:30" x14ac:dyDescent="0.2">
      <c r="A134" t="s" s="0">
        <v>3863</v>
      </c>
      <c r="B134" s="2">
        <v>859488</v>
      </c>
      <c r="C134" s="2">
        <v>29668</v>
      </c>
      <c r="D134" s="2">
        <v>39728</v>
      </c>
      <c r="E134" s="2">
        <v>40483</v>
      </c>
      <c r="F134" s="2">
        <v>52666</v>
      </c>
      <c r="G134" s="2">
        <v>34788</v>
      </c>
      <c r="I134" t="str" s="0">
        <f t="shared" si="41"/>
        <v>05/11</v>
      </c>
      <c r="J134" s="2">
        <f t="shared" si="42"/>
        <v>910024</v>
      </c>
      <c r="K134" s="2">
        <f t="shared" si="43"/>
        <v>796186</v>
      </c>
      <c r="L134" s="2">
        <f t="shared" si="44"/>
        <v>913172</v>
      </c>
      <c r="M134" s="2">
        <f t="shared" si="45"/>
        <v>1033768</v>
      </c>
      <c r="N134" s="2">
        <f t="shared" si="46"/>
        <v>1129560</v>
      </c>
      <c r="O134" s="2">
        <f t="shared" si="47"/>
        <v>1484684</v>
      </c>
      <c r="P134" s="2">
        <f t="shared" si="48"/>
        <v>1372720</v>
      </c>
      <c r="Q134" s="2">
        <f t="shared" si="49"/>
        <v>1078605</v>
      </c>
      <c r="R134" s="2">
        <f t="shared" si="50"/>
        <v>941377</v>
      </c>
      <c r="S134" s="2">
        <f t="shared" si="51"/>
        <v>1282919</v>
      </c>
      <c r="T134" s="2">
        <f t="shared" si="52"/>
        <v>948238</v>
      </c>
      <c r="U134" s="2" t="e">
        <f t="shared" si="54"/>
        <v>#N/A</v>
      </c>
      <c r="V134" s="2" t="e">
        <f t="shared" si="55"/>
        <v>#N/A</v>
      </c>
      <c r="W134" s="2" t="e">
        <f t="shared" si="56"/>
        <v>#N/A</v>
      </c>
      <c r="X134" s="2" t="e">
        <f t="shared" si="57"/>
        <v>#N/A</v>
      </c>
      <c r="Y134" s="2" t="e">
        <f t="shared" si="58"/>
        <v>#N/A</v>
      </c>
      <c r="Z134" s="0">
        <f t="shared" ca="1" si="40"/>
        <v>1232061</v>
      </c>
      <c r="AA134" s="0">
        <f t="shared" ref="AA134:AA197" ca="1" si="59">AVERAGE(OFFSET(J134,0,YEAR(TODAY())-2015-10,1,10))</f>
        <v>1094301.5</v>
      </c>
      <c r="AB134" cm="1" s="0">
        <f t="array" ref="AB134">MAX(IF(ISNUMBER(J134:Y134),J134:Y134))</f>
        <v>1484684</v>
      </c>
      <c r="AC134" cm="1" s="0">
        <f t="array" ref="AC134">MIN(IF(ISNUMBER(J134:Y134),J134:Y134))</f>
        <v>796186</v>
      </c>
      <c r="AD134" s="0">
        <f t="shared" si="53"/>
        <v>688498</v>
      </c>
    </row>
    <row r="135" spans="1:30" x14ac:dyDescent="0.2">
      <c r="A135" t="s" s="0">
        <v>3862</v>
      </c>
      <c r="B135" s="2">
        <v>884872</v>
      </c>
      <c r="C135" s="2">
        <v>32668</v>
      </c>
      <c r="D135" s="2">
        <v>39578</v>
      </c>
      <c r="E135" s="2">
        <v>39570</v>
      </c>
      <c r="F135" s="2">
        <v>53873</v>
      </c>
      <c r="G135" s="2">
        <v>36873</v>
      </c>
      <c r="I135" t="str" s="0">
        <f t="shared" si="41"/>
        <v>05/12</v>
      </c>
      <c r="J135" s="2">
        <f t="shared" si="42"/>
        <v>894016</v>
      </c>
      <c r="K135" s="2">
        <f t="shared" si="43"/>
        <v>828148</v>
      </c>
      <c r="L135" s="2">
        <f t="shared" si="44"/>
        <v>913172</v>
      </c>
      <c r="M135" s="2">
        <f t="shared" si="45"/>
        <v>1033768</v>
      </c>
      <c r="N135" s="2">
        <f t="shared" si="46"/>
        <v>1075047</v>
      </c>
      <c r="O135" s="2">
        <f t="shared" si="47"/>
        <v>1440920</v>
      </c>
      <c r="P135" s="2">
        <f t="shared" si="48"/>
        <v>1345093</v>
      </c>
      <c r="Q135" s="2">
        <f t="shared" si="49"/>
        <v>1056302</v>
      </c>
      <c r="R135" s="2">
        <f t="shared" si="50"/>
        <v>941377</v>
      </c>
      <c r="S135" s="2">
        <f t="shared" si="51"/>
        <v>1190071</v>
      </c>
      <c r="T135" s="2">
        <f t="shared" si="52"/>
        <v>1091711</v>
      </c>
      <c r="U135" s="2" t="e">
        <f t="shared" si="54"/>
        <v>#N/A</v>
      </c>
      <c r="V135" s="2" t="e">
        <f t="shared" si="55"/>
        <v>#N/A</v>
      </c>
      <c r="W135" s="2" t="e">
        <f t="shared" si="56"/>
        <v>#N/A</v>
      </c>
      <c r="X135" s="2" t="e">
        <f t="shared" si="57"/>
        <v>#N/A</v>
      </c>
      <c r="Y135" s="2" t="e">
        <f t="shared" si="58"/>
        <v>#N/A</v>
      </c>
      <c r="Z135" s="0">
        <f t="shared" ca="1" si="40"/>
        <v>1194752.6000000001</v>
      </c>
      <c r="AA135" s="0">
        <f t="shared" ca="1" si="59"/>
        <v>1071791.3999999999</v>
      </c>
      <c r="AB135" cm="1" s="0">
        <f t="array" ref="AB135">MAX(IF(ISNUMBER(J135:Y135),J135:Y135))</f>
        <v>1440920</v>
      </c>
      <c r="AC135" cm="1" s="0">
        <f t="array" ref="AC135">MIN(IF(ISNUMBER(J135:Y135),J135:Y135))</f>
        <v>828148</v>
      </c>
      <c r="AD135" s="0">
        <f t="shared" si="53"/>
        <v>612772</v>
      </c>
    </row>
    <row r="136" spans="1:30" x14ac:dyDescent="0.2">
      <c r="A136" t="s" s="0">
        <v>3861</v>
      </c>
      <c r="B136" s="2">
        <v>865880</v>
      </c>
      <c r="C136" s="2">
        <v>33992</v>
      </c>
      <c r="D136" s="2">
        <v>39864</v>
      </c>
      <c r="E136" s="2">
        <v>38463</v>
      </c>
      <c r="F136" s="2">
        <v>41734</v>
      </c>
      <c r="G136" s="2">
        <v>37409</v>
      </c>
      <c r="I136" t="str" s="0">
        <f t="shared" si="41"/>
        <v>05/13</v>
      </c>
      <c r="J136" s="2">
        <f t="shared" si="42"/>
        <v>929722</v>
      </c>
      <c r="K136" s="2">
        <f t="shared" si="43"/>
        <v>828148</v>
      </c>
      <c r="L136" s="2">
        <f t="shared" si="44"/>
        <v>913172</v>
      </c>
      <c r="M136" s="2">
        <f t="shared" si="45"/>
        <v>1011710</v>
      </c>
      <c r="N136" s="2">
        <f t="shared" si="46"/>
        <v>1058547</v>
      </c>
      <c r="O136" s="2">
        <f t="shared" si="47"/>
        <v>1420283</v>
      </c>
      <c r="P136" s="2">
        <f t="shared" si="48"/>
        <v>1337512</v>
      </c>
      <c r="Q136" s="2">
        <f t="shared" si="49"/>
        <v>1056302</v>
      </c>
      <c r="R136" s="2">
        <f t="shared" si="50"/>
        <v>941377</v>
      </c>
      <c r="S136" s="2">
        <f t="shared" si="51"/>
        <v>1198037</v>
      </c>
      <c r="T136" s="2">
        <f t="shared" si="52"/>
        <v>1036551</v>
      </c>
      <c r="U136" s="2" t="e">
        <f t="shared" si="54"/>
        <v>#N/A</v>
      </c>
      <c r="V136" s="2" t="e">
        <f t="shared" si="55"/>
        <v>#N/A</v>
      </c>
      <c r="W136" s="2" t="e">
        <f t="shared" si="56"/>
        <v>#N/A</v>
      </c>
      <c r="X136" s="2" t="e">
        <f t="shared" si="57"/>
        <v>#N/A</v>
      </c>
      <c r="Y136" s="2" t="e">
        <f t="shared" si="58"/>
        <v>#N/A</v>
      </c>
      <c r="Z136" s="0">
        <f t="shared" ref="Z136:Z199" ca="1" si="60">AVERAGE(OFFSET(J136,0,YEAR(TODAY())-2015-5,1,5))</f>
        <v>1190702.2</v>
      </c>
      <c r="AA136" s="0">
        <f t="shared" ca="1" si="59"/>
        <v>1069481</v>
      </c>
      <c r="AB136" cm="1" s="0">
        <f t="array" ref="AB136">MAX(IF(ISNUMBER(J136:Y136),J136:Y136))</f>
        <v>1420283</v>
      </c>
      <c r="AC136" cm="1" s="0">
        <f t="array" ref="AC136">MIN(IF(ISNUMBER(J136:Y136),J136:Y136))</f>
        <v>828148</v>
      </c>
      <c r="AD136" s="0">
        <f t="shared" si="53"/>
        <v>592135</v>
      </c>
    </row>
    <row r="137" spans="1:30" x14ac:dyDescent="0.2">
      <c r="A137" t="s" s="0">
        <v>3860</v>
      </c>
      <c r="B137" s="2">
        <v>853804</v>
      </c>
      <c r="C137" s="2">
        <v>39318</v>
      </c>
      <c r="D137" s="2">
        <v>38140</v>
      </c>
      <c r="E137" s="2">
        <v>38153</v>
      </c>
      <c r="F137" s="2">
        <v>45733</v>
      </c>
      <c r="G137" s="2">
        <v>35730</v>
      </c>
      <c r="I137" t="str" s="0">
        <f t="shared" si="41"/>
        <v>05/14</v>
      </c>
      <c r="J137" s="2">
        <f t="shared" si="42"/>
        <v>884270</v>
      </c>
      <c r="K137" s="2">
        <f t="shared" si="43"/>
        <v>828148</v>
      </c>
      <c r="L137" s="2">
        <f t="shared" si="44"/>
        <v>976687</v>
      </c>
      <c r="M137" s="2">
        <f t="shared" si="45"/>
        <v>987011</v>
      </c>
      <c r="N137" s="2">
        <f t="shared" si="46"/>
        <v>1162299</v>
      </c>
      <c r="O137" s="2">
        <f t="shared" si="47"/>
        <v>1391456</v>
      </c>
      <c r="P137" s="2">
        <f t="shared" si="48"/>
        <v>1337512</v>
      </c>
      <c r="Q137" s="2">
        <f t="shared" si="49"/>
        <v>1056302</v>
      </c>
      <c r="R137" s="2">
        <f t="shared" si="50"/>
        <v>949517</v>
      </c>
      <c r="S137" s="2">
        <f t="shared" si="51"/>
        <v>1189830</v>
      </c>
      <c r="T137" s="2">
        <f t="shared" si="52"/>
        <v>1032142</v>
      </c>
      <c r="U137" s="2" t="e">
        <f t="shared" si="54"/>
        <v>#N/A</v>
      </c>
      <c r="V137" s="2" t="e">
        <f t="shared" si="55"/>
        <v>#N/A</v>
      </c>
      <c r="W137" s="2" t="e">
        <f t="shared" si="56"/>
        <v>#N/A</v>
      </c>
      <c r="X137" s="2" t="e">
        <f t="shared" si="57"/>
        <v>#N/A</v>
      </c>
      <c r="Y137" s="2" t="e">
        <f t="shared" si="58"/>
        <v>#N/A</v>
      </c>
      <c r="Z137" s="0">
        <f t="shared" ca="1" si="60"/>
        <v>1184923.3999999999</v>
      </c>
      <c r="AA137" s="0">
        <f t="shared" ca="1" si="59"/>
        <v>1076303.2</v>
      </c>
      <c r="AB137" cm="1" s="0">
        <f t="array" ref="AB137">MAX(IF(ISNUMBER(J137:Y137),J137:Y137))</f>
        <v>1391456</v>
      </c>
      <c r="AC137" cm="1" s="0">
        <f t="array" ref="AC137">MIN(IF(ISNUMBER(J137:Y137),J137:Y137))</f>
        <v>828148</v>
      </c>
      <c r="AD137" s="0">
        <f t="shared" si="53"/>
        <v>563308</v>
      </c>
    </row>
    <row r="138" spans="1:30" x14ac:dyDescent="0.2">
      <c r="A138" t="s" s="0">
        <v>3859</v>
      </c>
      <c r="B138" s="2">
        <v>795934</v>
      </c>
      <c r="C138" s="2">
        <v>36792</v>
      </c>
      <c r="D138" s="2">
        <v>37187</v>
      </c>
      <c r="E138" s="2">
        <v>38749</v>
      </c>
      <c r="F138" s="2">
        <v>32090</v>
      </c>
      <c r="G138" s="2">
        <v>34392</v>
      </c>
      <c r="I138" t="str" s="0">
        <f t="shared" si="41"/>
        <v>05/15</v>
      </c>
      <c r="J138" s="2">
        <f t="shared" si="42"/>
        <v>884270</v>
      </c>
      <c r="K138" s="2">
        <f t="shared" si="43"/>
        <v>771667</v>
      </c>
      <c r="L138" s="2">
        <f t="shared" si="44"/>
        <v>1121787</v>
      </c>
      <c r="M138" s="2">
        <f t="shared" si="45"/>
        <v>957561</v>
      </c>
      <c r="N138" s="2">
        <f t="shared" si="46"/>
        <v>1143580</v>
      </c>
      <c r="O138" s="2">
        <f t="shared" si="47"/>
        <v>1391456</v>
      </c>
      <c r="P138" s="2">
        <f t="shared" si="48"/>
        <v>1337512</v>
      </c>
      <c r="Q138" s="2">
        <f t="shared" si="49"/>
        <v>1060925</v>
      </c>
      <c r="R138" s="2">
        <f t="shared" si="50"/>
        <v>1142619</v>
      </c>
      <c r="S138" s="2">
        <f t="shared" si="51"/>
        <v>1213193</v>
      </c>
      <c r="T138" s="2">
        <f t="shared" si="52"/>
        <v>990829</v>
      </c>
      <c r="U138" s="2" t="e">
        <f t="shared" si="54"/>
        <v>#N/A</v>
      </c>
      <c r="V138" s="2" t="e">
        <f t="shared" si="55"/>
        <v>#N/A</v>
      </c>
      <c r="W138" s="2" t="e">
        <f t="shared" si="56"/>
        <v>#N/A</v>
      </c>
      <c r="X138" s="2" t="e">
        <f t="shared" si="57"/>
        <v>#N/A</v>
      </c>
      <c r="Y138" s="2" t="e">
        <f t="shared" si="58"/>
        <v>#N/A</v>
      </c>
      <c r="Z138" s="0">
        <f t="shared" ca="1" si="60"/>
        <v>1229141</v>
      </c>
      <c r="AA138" s="0">
        <f t="shared" ca="1" si="59"/>
        <v>1102457</v>
      </c>
      <c r="AB138" cm="1" s="0">
        <f t="array" ref="AB138">MAX(IF(ISNUMBER(J138:Y138),J138:Y138))</f>
        <v>1391456</v>
      </c>
      <c r="AC138" cm="1" s="0">
        <f t="array" ref="AC138">MIN(IF(ISNUMBER(J138:Y138),J138:Y138))</f>
        <v>771667</v>
      </c>
      <c r="AD138" s="0">
        <f t="shared" si="53"/>
        <v>619789</v>
      </c>
    </row>
    <row r="139" spans="1:30" x14ac:dyDescent="0.2">
      <c r="A139" t="s" s="0">
        <v>3858</v>
      </c>
      <c r="B139" s="3">
        <v>795934</v>
      </c>
      <c r="C139" s="3">
        <v>36792</v>
      </c>
      <c r="D139" s="3">
        <v>37187</v>
      </c>
      <c r="E139" s="3">
        <v>38749</v>
      </c>
      <c r="F139" s="3">
        <v>32090</v>
      </c>
      <c r="G139" s="3">
        <v>34392</v>
      </c>
      <c r="I139" t="str" s="0">
        <f t="shared" si="41"/>
        <v>05/16</v>
      </c>
      <c r="J139" s="2">
        <f t="shared" si="42"/>
        <v>884270</v>
      </c>
      <c r="K139" s="2">
        <f t="shared" si="43"/>
        <v>725325</v>
      </c>
      <c r="L139" s="2">
        <f t="shared" si="44"/>
        <v>1068339</v>
      </c>
      <c r="M139" s="2">
        <f t="shared" si="45"/>
        <v>978518</v>
      </c>
      <c r="N139" s="2">
        <f t="shared" si="46"/>
        <v>1118251</v>
      </c>
      <c r="O139" s="2">
        <f t="shared" si="47"/>
        <v>1391456</v>
      </c>
      <c r="P139" s="2">
        <f t="shared" si="48"/>
        <v>1361715</v>
      </c>
      <c r="Q139" s="2">
        <f t="shared" si="49"/>
        <v>1021794</v>
      </c>
      <c r="R139" s="2">
        <f t="shared" si="50"/>
        <v>1121797</v>
      </c>
      <c r="S139" s="2">
        <f t="shared" si="51"/>
        <v>1192902</v>
      </c>
      <c r="T139" s="2">
        <f t="shared" si="52"/>
        <v>990829</v>
      </c>
      <c r="U139" s="2" t="e">
        <f t="shared" si="54"/>
        <v>#N/A</v>
      </c>
      <c r="V139" s="2" t="e">
        <f t="shared" si="55"/>
        <v>#N/A</v>
      </c>
      <c r="W139" s="2" t="e">
        <f t="shared" si="56"/>
        <v>#N/A</v>
      </c>
      <c r="X139" s="2" t="e">
        <f t="shared" si="57"/>
        <v>#N/A</v>
      </c>
      <c r="Y139" s="2" t="e">
        <f t="shared" si="58"/>
        <v>#N/A</v>
      </c>
      <c r="Z139" s="0">
        <f t="shared" ca="1" si="60"/>
        <v>1217932.8</v>
      </c>
      <c r="AA139" s="0">
        <f t="shared" ca="1" si="59"/>
        <v>1086436.7</v>
      </c>
      <c r="AB139" cm="1" s="0">
        <f t="array" ref="AB139">MAX(IF(ISNUMBER(J139:Y139),J139:Y139))</f>
        <v>1391456</v>
      </c>
      <c r="AC139" cm="1" s="0">
        <f t="array" ref="AC139">MIN(IF(ISNUMBER(J139:Y139),J139:Y139))</f>
        <v>725325</v>
      </c>
      <c r="AD139" s="0">
        <f t="shared" si="53"/>
        <v>666131</v>
      </c>
    </row>
    <row r="140" spans="1:30" x14ac:dyDescent="0.2">
      <c r="A140" t="s" s="0">
        <v>3857</v>
      </c>
      <c r="B140" s="3">
        <v>795934</v>
      </c>
      <c r="C140" s="3">
        <v>36792</v>
      </c>
      <c r="D140" s="3">
        <v>37187</v>
      </c>
      <c r="E140" s="3">
        <v>38749</v>
      </c>
      <c r="F140" s="3">
        <v>32090</v>
      </c>
      <c r="G140" s="3">
        <v>34392</v>
      </c>
      <c r="I140" t="str" s="0">
        <f t="shared" si="41"/>
        <v>05/17</v>
      </c>
      <c r="J140" s="2">
        <f t="shared" si="42"/>
        <v>852489</v>
      </c>
      <c r="K140" s="2">
        <f t="shared" si="43"/>
        <v>785101</v>
      </c>
      <c r="L140" s="2">
        <f t="shared" si="44"/>
        <v>982754</v>
      </c>
      <c r="M140" s="2">
        <f t="shared" si="45"/>
        <v>978098</v>
      </c>
      <c r="N140" s="2">
        <f t="shared" si="46"/>
        <v>1118251</v>
      </c>
      <c r="O140" s="2">
        <f t="shared" si="47"/>
        <v>1385472</v>
      </c>
      <c r="P140" s="2">
        <f t="shared" si="48"/>
        <v>1380244</v>
      </c>
      <c r="Q140" s="2">
        <f t="shared" si="49"/>
        <v>1023905</v>
      </c>
      <c r="R140" s="2">
        <f t="shared" si="50"/>
        <v>1149395</v>
      </c>
      <c r="S140" s="2">
        <f t="shared" si="51"/>
        <v>1192902</v>
      </c>
      <c r="T140" s="2">
        <f t="shared" si="52"/>
        <v>990829</v>
      </c>
      <c r="U140" s="2" t="e">
        <f t="shared" si="54"/>
        <v>#N/A</v>
      </c>
      <c r="V140" s="2" t="e">
        <f t="shared" si="55"/>
        <v>#N/A</v>
      </c>
      <c r="W140" s="2" t="e">
        <f t="shared" si="56"/>
        <v>#N/A</v>
      </c>
      <c r="X140" s="2" t="e">
        <f t="shared" si="57"/>
        <v>#N/A</v>
      </c>
      <c r="Y140" s="2" t="e">
        <f t="shared" si="58"/>
        <v>#N/A</v>
      </c>
      <c r="Z140" s="0">
        <f t="shared" ca="1" si="60"/>
        <v>1226383.6000000001</v>
      </c>
      <c r="AA140" s="0">
        <f t="shared" ca="1" si="59"/>
        <v>1084861.1000000001</v>
      </c>
      <c r="AB140" cm="1" s="0">
        <f t="array" ref="AB140">MAX(IF(ISNUMBER(J140:Y140),J140:Y140))</f>
        <v>1385472</v>
      </c>
      <c r="AC140" cm="1" s="0">
        <f t="array" ref="AC140">MIN(IF(ISNUMBER(J140:Y140),J140:Y140))</f>
        <v>785101</v>
      </c>
      <c r="AD140" s="0">
        <f t="shared" si="53"/>
        <v>600371</v>
      </c>
    </row>
    <row r="141" spans="1:30" x14ac:dyDescent="0.2">
      <c r="A141" t="s" s="0">
        <v>3856</v>
      </c>
      <c r="B141" s="2">
        <v>785980</v>
      </c>
      <c r="C141" s="2">
        <v>23361</v>
      </c>
      <c r="D141" s="2">
        <v>37228</v>
      </c>
      <c r="E141" s="2">
        <v>37971</v>
      </c>
      <c r="F141" s="2">
        <v>26211</v>
      </c>
      <c r="G141" s="2">
        <v>33646</v>
      </c>
      <c r="I141" t="str" s="0">
        <f t="shared" si="41"/>
        <v>05/18</v>
      </c>
      <c r="J141" s="2">
        <f t="shared" si="42"/>
        <v>839358</v>
      </c>
      <c r="K141" s="2">
        <f t="shared" si="43"/>
        <v>772508</v>
      </c>
      <c r="L141" s="2">
        <f t="shared" si="44"/>
        <v>951330</v>
      </c>
      <c r="M141" s="2">
        <f t="shared" si="45"/>
        <v>978098</v>
      </c>
      <c r="N141" s="2">
        <f t="shared" si="46"/>
        <v>1118251</v>
      </c>
      <c r="O141" s="2">
        <f t="shared" si="47"/>
        <v>1424261</v>
      </c>
      <c r="P141" s="2">
        <f t="shared" si="48"/>
        <v>1325889</v>
      </c>
      <c r="Q141" s="2">
        <f t="shared" si="49"/>
        <v>1065955</v>
      </c>
      <c r="R141" s="2">
        <f t="shared" si="50"/>
        <v>1130945</v>
      </c>
      <c r="S141" s="2">
        <f t="shared" si="51"/>
        <v>1192902</v>
      </c>
      <c r="T141" s="2">
        <f t="shared" si="52"/>
        <v>997136</v>
      </c>
      <c r="U141" s="2" t="e">
        <f t="shared" si="54"/>
        <v>#N/A</v>
      </c>
      <c r="V141" s="2" t="e">
        <f t="shared" si="55"/>
        <v>#N/A</v>
      </c>
      <c r="W141" s="2" t="e">
        <f t="shared" si="56"/>
        <v>#N/A</v>
      </c>
      <c r="X141" s="2" t="e">
        <f t="shared" si="57"/>
        <v>#N/A</v>
      </c>
      <c r="Y141" s="2" t="e">
        <f t="shared" si="58"/>
        <v>#N/A</v>
      </c>
      <c r="Z141" s="0">
        <f t="shared" ca="1" si="60"/>
        <v>1227990.3999999999</v>
      </c>
      <c r="AA141" s="0">
        <f t="shared" ca="1" si="59"/>
        <v>1079949.7</v>
      </c>
      <c r="AB141" cm="1" s="0">
        <f t="array" ref="AB141">MAX(IF(ISNUMBER(J141:Y141),J141:Y141))</f>
        <v>1424261</v>
      </c>
      <c r="AC141" cm="1" s="0">
        <f t="array" ref="AC141">MIN(IF(ISNUMBER(J141:Y141),J141:Y141))</f>
        <v>772508</v>
      </c>
      <c r="AD141" s="0">
        <f t="shared" si="53"/>
        <v>651753</v>
      </c>
    </row>
    <row r="142" spans="1:30" x14ac:dyDescent="0.2">
      <c r="A142" t="s" s="0">
        <v>3855</v>
      </c>
      <c r="B142" s="2">
        <v>784887</v>
      </c>
      <c r="C142" s="2">
        <v>31040</v>
      </c>
      <c r="D142" s="2">
        <v>36996</v>
      </c>
      <c r="E142" s="2">
        <v>37715</v>
      </c>
      <c r="F142" s="2">
        <v>22196</v>
      </c>
      <c r="G142" s="2">
        <v>34178</v>
      </c>
      <c r="I142" t="str" s="0">
        <f t="shared" si="41"/>
        <v>05/19</v>
      </c>
      <c r="J142" s="2">
        <f t="shared" si="42"/>
        <v>852246</v>
      </c>
      <c r="K142" s="2">
        <f t="shared" si="43"/>
        <v>735183</v>
      </c>
      <c r="L142" s="2">
        <f t="shared" si="44"/>
        <v>951330</v>
      </c>
      <c r="M142" s="2">
        <f t="shared" si="45"/>
        <v>978098</v>
      </c>
      <c r="N142" s="2">
        <f t="shared" si="46"/>
        <v>1112289</v>
      </c>
      <c r="O142" s="2">
        <f t="shared" si="47"/>
        <v>1445187</v>
      </c>
      <c r="P142" s="2">
        <f t="shared" si="48"/>
        <v>1280040</v>
      </c>
      <c r="Q142" s="2">
        <f t="shared" si="49"/>
        <v>1105650</v>
      </c>
      <c r="R142" s="2">
        <f t="shared" si="50"/>
        <v>1130945</v>
      </c>
      <c r="S142" s="2">
        <f t="shared" si="51"/>
        <v>1240696</v>
      </c>
      <c r="T142" s="2">
        <f t="shared" si="52"/>
        <v>1171313</v>
      </c>
      <c r="U142" s="2" t="e">
        <f t="shared" si="54"/>
        <v>#N/A</v>
      </c>
      <c r="V142" s="2" t="e">
        <f t="shared" si="55"/>
        <v>#N/A</v>
      </c>
      <c r="W142" s="2" t="e">
        <f t="shared" si="56"/>
        <v>#N/A</v>
      </c>
      <c r="X142" s="2" t="e">
        <f t="shared" si="57"/>
        <v>#N/A</v>
      </c>
      <c r="Y142" s="2" t="e">
        <f t="shared" si="58"/>
        <v>#N/A</v>
      </c>
      <c r="Z142" s="0">
        <f t="shared" ca="1" si="60"/>
        <v>1240503.6000000001</v>
      </c>
      <c r="AA142" s="0">
        <f t="shared" ca="1" si="59"/>
        <v>1083166.3999999999</v>
      </c>
      <c r="AB142" cm="1" s="0">
        <f t="array" ref="AB142">MAX(IF(ISNUMBER(J142:Y142),J142:Y142))</f>
        <v>1445187</v>
      </c>
      <c r="AC142" cm="1" s="0">
        <f t="array" ref="AC142">MIN(IF(ISNUMBER(J142:Y142),J142:Y142))</f>
        <v>735183</v>
      </c>
      <c r="AD142" s="0">
        <f t="shared" si="53"/>
        <v>710004</v>
      </c>
    </row>
    <row r="143" spans="1:30" x14ac:dyDescent="0.2">
      <c r="A143" t="s" s="0">
        <v>3854</v>
      </c>
      <c r="B143" s="2">
        <v>781574</v>
      </c>
      <c r="C143" s="2">
        <v>32399</v>
      </c>
      <c r="D143" s="2">
        <v>36768</v>
      </c>
      <c r="E143" s="2">
        <v>37122</v>
      </c>
      <c r="F143" s="2">
        <v>24209</v>
      </c>
      <c r="G143" s="2">
        <v>35218</v>
      </c>
      <c r="I143" t="str" s="0">
        <f t="shared" si="41"/>
        <v>05/20</v>
      </c>
      <c r="J143" s="2">
        <f t="shared" si="42"/>
        <v>808439</v>
      </c>
      <c r="K143" s="2">
        <f t="shared" si="43"/>
        <v>735183</v>
      </c>
      <c r="L143" s="2">
        <f t="shared" si="44"/>
        <v>951330</v>
      </c>
      <c r="M143" s="2">
        <f t="shared" si="45"/>
        <v>960211</v>
      </c>
      <c r="N143" s="2">
        <f t="shared" si="46"/>
        <v>1092813</v>
      </c>
      <c r="O143" s="2">
        <f t="shared" si="47"/>
        <v>1425455</v>
      </c>
      <c r="P143" s="2">
        <f t="shared" si="48"/>
        <v>1290449</v>
      </c>
      <c r="Q143" s="2">
        <f t="shared" si="49"/>
        <v>1105650</v>
      </c>
      <c r="R143" s="2">
        <f t="shared" si="50"/>
        <v>1130945</v>
      </c>
      <c r="S143" s="2">
        <f t="shared" si="51"/>
        <v>1214584</v>
      </c>
      <c r="T143" s="2">
        <f t="shared" si="52"/>
        <v>1320123</v>
      </c>
      <c r="U143" s="2" t="e">
        <f t="shared" si="54"/>
        <v>#N/A</v>
      </c>
      <c r="V143" s="2" t="e">
        <f t="shared" si="55"/>
        <v>#N/A</v>
      </c>
      <c r="W143" s="2" t="e">
        <f t="shared" si="56"/>
        <v>#N/A</v>
      </c>
      <c r="X143" s="2" t="e">
        <f t="shared" si="57"/>
        <v>#N/A</v>
      </c>
      <c r="Y143" s="2" t="e">
        <f t="shared" si="58"/>
        <v>#N/A</v>
      </c>
      <c r="Z143" s="0">
        <f t="shared" ca="1" si="60"/>
        <v>1233416.6000000001</v>
      </c>
      <c r="AA143" s="0">
        <f t="shared" ca="1" si="59"/>
        <v>1071505.8999999999</v>
      </c>
      <c r="AB143" cm="1" s="0">
        <f t="array" ref="AB143">MAX(IF(ISNUMBER(J143:Y143),J143:Y143))</f>
        <v>1425455</v>
      </c>
      <c r="AC143" cm="1" s="0">
        <f t="array" ref="AC143">MIN(IF(ISNUMBER(J143:Y143),J143:Y143))</f>
        <v>735183</v>
      </c>
      <c r="AD143" s="0">
        <f t="shared" si="53"/>
        <v>690272</v>
      </c>
    </row>
    <row r="144" spans="1:30" x14ac:dyDescent="0.2">
      <c r="A144" t="s" s="0">
        <v>3853</v>
      </c>
      <c r="B144" s="2">
        <v>728557</v>
      </c>
      <c r="C144" s="2">
        <v>36817</v>
      </c>
      <c r="D144" s="2">
        <v>43592</v>
      </c>
      <c r="E144" s="2">
        <v>38340</v>
      </c>
      <c r="F144" s="2">
        <v>25184</v>
      </c>
      <c r="G144" s="2">
        <v>32889</v>
      </c>
      <c r="I144" t="str" s="0">
        <f t="shared" si="41"/>
        <v>05/21</v>
      </c>
      <c r="J144" s="2">
        <f t="shared" si="42"/>
        <v>762549</v>
      </c>
      <c r="K144" s="2">
        <f t="shared" si="43"/>
        <v>735183</v>
      </c>
      <c r="L144" s="2">
        <f t="shared" si="44"/>
        <v>977304</v>
      </c>
      <c r="M144" s="2">
        <f t="shared" si="45"/>
        <v>912370</v>
      </c>
      <c r="N144" s="2">
        <f t="shared" si="46"/>
        <v>1038448</v>
      </c>
      <c r="O144" s="2">
        <f t="shared" si="47"/>
        <v>1455653</v>
      </c>
      <c r="P144" s="2">
        <f t="shared" si="48"/>
        <v>1290449</v>
      </c>
      <c r="Q144" s="2">
        <f t="shared" si="49"/>
        <v>1105650</v>
      </c>
      <c r="R144" s="2">
        <f t="shared" si="50"/>
        <v>1230205</v>
      </c>
      <c r="S144" s="2">
        <f t="shared" si="51"/>
        <v>1145042</v>
      </c>
      <c r="T144" s="2">
        <f t="shared" si="52"/>
        <v>1300456</v>
      </c>
      <c r="U144" s="2" t="e">
        <f t="shared" si="54"/>
        <v>#N/A</v>
      </c>
      <c r="V144" s="2" t="e">
        <f t="shared" si="55"/>
        <v>#N/A</v>
      </c>
      <c r="W144" s="2" t="e">
        <f t="shared" si="56"/>
        <v>#N/A</v>
      </c>
      <c r="X144" s="2" t="e">
        <f t="shared" si="57"/>
        <v>#N/A</v>
      </c>
      <c r="Y144" s="2" t="e">
        <f t="shared" si="58"/>
        <v>#N/A</v>
      </c>
      <c r="Z144" s="0">
        <f t="shared" ca="1" si="60"/>
        <v>1245399.8</v>
      </c>
      <c r="AA144" s="0">
        <f t="shared" ca="1" si="59"/>
        <v>1065285.3</v>
      </c>
      <c r="AB144" cm="1" s="0">
        <f t="array" ref="AB144">MAX(IF(ISNUMBER(J144:Y144),J144:Y144))</f>
        <v>1455653</v>
      </c>
      <c r="AC144" cm="1" s="0">
        <f t="array" ref="AC144">MIN(IF(ISNUMBER(J144:Y144),J144:Y144))</f>
        <v>735183</v>
      </c>
      <c r="AD144" s="0">
        <f t="shared" si="53"/>
        <v>720470</v>
      </c>
    </row>
    <row r="145" spans="1:30" x14ac:dyDescent="0.2">
      <c r="A145" t="s" s="0">
        <v>3852</v>
      </c>
      <c r="B145" s="2">
        <v>694042</v>
      </c>
      <c r="C145" s="2">
        <v>37343</v>
      </c>
      <c r="D145" s="2">
        <v>41233</v>
      </c>
      <c r="E145" s="2">
        <v>38292</v>
      </c>
      <c r="F145" s="2">
        <v>26193</v>
      </c>
      <c r="G145" s="2">
        <v>31664</v>
      </c>
      <c r="I145" t="str" s="0">
        <f t="shared" si="41"/>
        <v>05/22</v>
      </c>
      <c r="J145" s="2">
        <f t="shared" si="42"/>
        <v>762549</v>
      </c>
      <c r="K145" s="2">
        <f t="shared" si="43"/>
        <v>687792</v>
      </c>
      <c r="L145" s="2">
        <f t="shared" si="44"/>
        <v>1022563</v>
      </c>
      <c r="M145" s="2">
        <f t="shared" si="45"/>
        <v>911699</v>
      </c>
      <c r="N145" s="2">
        <f t="shared" si="46"/>
        <v>1086175</v>
      </c>
      <c r="O145" s="2">
        <f t="shared" si="47"/>
        <v>1455653</v>
      </c>
      <c r="P145" s="2">
        <f t="shared" si="48"/>
        <v>1290449</v>
      </c>
      <c r="Q145" s="2">
        <f t="shared" si="49"/>
        <v>1106047</v>
      </c>
      <c r="R145" s="2">
        <f t="shared" si="50"/>
        <v>1206553</v>
      </c>
      <c r="S145" s="2">
        <f t="shared" si="51"/>
        <v>1163074</v>
      </c>
      <c r="T145" s="2">
        <f t="shared" si="52"/>
        <v>1232113</v>
      </c>
      <c r="U145" s="2" t="e">
        <f t="shared" si="54"/>
        <v>#N/A</v>
      </c>
      <c r="V145" s="2" t="e">
        <f t="shared" si="55"/>
        <v>#N/A</v>
      </c>
      <c r="W145" s="2" t="e">
        <f t="shared" si="56"/>
        <v>#N/A</v>
      </c>
      <c r="X145" s="2" t="e">
        <f t="shared" si="57"/>
        <v>#N/A</v>
      </c>
      <c r="Y145" s="2" t="e">
        <f t="shared" si="58"/>
        <v>#N/A</v>
      </c>
      <c r="Z145" s="0">
        <f t="shared" ca="1" si="60"/>
        <v>1244355.2</v>
      </c>
      <c r="AA145" s="0">
        <f t="shared" ca="1" si="59"/>
        <v>1069255.3999999999</v>
      </c>
      <c r="AB145" cm="1" s="0">
        <f t="array" ref="AB145">MAX(IF(ISNUMBER(J145:Y145),J145:Y145))</f>
        <v>1455653</v>
      </c>
      <c r="AC145" cm="1" s="0">
        <f t="array" ref="AC145">MIN(IF(ISNUMBER(J145:Y145),J145:Y145))</f>
        <v>687792</v>
      </c>
      <c r="AD145" s="0">
        <f t="shared" si="53"/>
        <v>767861</v>
      </c>
    </row>
    <row r="146" spans="1:30" x14ac:dyDescent="0.2">
      <c r="A146" t="s" s="0">
        <v>3851</v>
      </c>
      <c r="B146" s="3">
        <v>694042</v>
      </c>
      <c r="C146" s="3">
        <v>37343</v>
      </c>
      <c r="D146" s="3">
        <v>41233</v>
      </c>
      <c r="E146" s="3">
        <v>38292</v>
      </c>
      <c r="F146" s="3">
        <v>26193</v>
      </c>
      <c r="G146" s="3">
        <v>31664</v>
      </c>
      <c r="I146" t="str" s="0">
        <f t="shared" si="41"/>
        <v>05/23</v>
      </c>
      <c r="J146" s="2">
        <f t="shared" si="42"/>
        <v>762549</v>
      </c>
      <c r="K146" s="2">
        <f t="shared" si="43"/>
        <v>754328</v>
      </c>
      <c r="L146" s="2">
        <f t="shared" si="44"/>
        <v>1046261</v>
      </c>
      <c r="M146" s="2">
        <f t="shared" si="45"/>
        <v>967468</v>
      </c>
      <c r="N146" s="2">
        <f t="shared" si="46"/>
        <v>1049218</v>
      </c>
      <c r="O146" s="2">
        <f t="shared" si="47"/>
        <v>1455653</v>
      </c>
      <c r="P146" s="2">
        <f t="shared" si="48"/>
        <v>1254516</v>
      </c>
      <c r="Q146" s="2">
        <f t="shared" si="49"/>
        <v>1109975</v>
      </c>
      <c r="R146" s="2">
        <f t="shared" si="50"/>
        <v>1210655</v>
      </c>
      <c r="S146" s="2">
        <f t="shared" si="51"/>
        <v>1217975</v>
      </c>
      <c r="T146" s="2">
        <f t="shared" si="52"/>
        <v>1232113</v>
      </c>
      <c r="U146" s="2" t="e">
        <f t="shared" si="54"/>
        <v>#N/A</v>
      </c>
      <c r="V146" s="2" t="e">
        <f t="shared" si="55"/>
        <v>#N/A</v>
      </c>
      <c r="W146" s="2" t="e">
        <f t="shared" si="56"/>
        <v>#N/A</v>
      </c>
      <c r="X146" s="2" t="e">
        <f t="shared" si="57"/>
        <v>#N/A</v>
      </c>
      <c r="Y146" s="2" t="e">
        <f t="shared" si="58"/>
        <v>#N/A</v>
      </c>
      <c r="Z146" s="0">
        <f t="shared" ca="1" si="60"/>
        <v>1249754.8</v>
      </c>
      <c r="AA146" s="0">
        <f t="shared" ca="1" si="59"/>
        <v>1082859.8</v>
      </c>
      <c r="AB146" cm="1" s="0">
        <f t="array" ref="AB146">MAX(IF(ISNUMBER(J146:Y146),J146:Y146))</f>
        <v>1455653</v>
      </c>
      <c r="AC146" cm="1" s="0">
        <f t="array" ref="AC146">MIN(IF(ISNUMBER(J146:Y146),J146:Y146))</f>
        <v>754328</v>
      </c>
      <c r="AD146" s="0">
        <f t="shared" si="53"/>
        <v>701325</v>
      </c>
    </row>
    <row r="147" spans="1:30" x14ac:dyDescent="0.2">
      <c r="A147" t="s" s="0">
        <v>3850</v>
      </c>
      <c r="B147" s="3">
        <v>694042</v>
      </c>
      <c r="C147" s="3">
        <v>37343</v>
      </c>
      <c r="D147" s="3">
        <v>41233</v>
      </c>
      <c r="E147" s="3">
        <v>38292</v>
      </c>
      <c r="F147" s="3">
        <v>26193</v>
      </c>
      <c r="G147" s="3">
        <v>31664</v>
      </c>
      <c r="I147" t="str" s="0">
        <f t="shared" si="41"/>
        <v>05/24</v>
      </c>
      <c r="J147" s="2">
        <f t="shared" si="42"/>
        <v>759664</v>
      </c>
      <c r="K147" s="2">
        <f t="shared" si="43"/>
        <v>822307</v>
      </c>
      <c r="L147" s="2">
        <f t="shared" si="44"/>
        <v>992722</v>
      </c>
      <c r="M147" s="2">
        <f t="shared" si="45"/>
        <v>916149</v>
      </c>
      <c r="N147" s="2">
        <f t="shared" si="46"/>
        <v>1049218</v>
      </c>
      <c r="O147" s="2">
        <f t="shared" si="47"/>
        <v>1377908</v>
      </c>
      <c r="P147" s="2">
        <f t="shared" si="48"/>
        <v>1332831</v>
      </c>
      <c r="Q147" s="2">
        <f t="shared" si="49"/>
        <v>1098681</v>
      </c>
      <c r="R147" s="2">
        <f t="shared" si="50"/>
        <v>1210046</v>
      </c>
      <c r="S147" s="2">
        <f t="shared" si="51"/>
        <v>1217975</v>
      </c>
      <c r="T147" s="2">
        <f t="shared" si="52"/>
        <v>1232113</v>
      </c>
      <c r="U147" s="2" t="e">
        <f t="shared" si="54"/>
        <v>#N/A</v>
      </c>
      <c r="V147" s="2" t="e">
        <f t="shared" si="55"/>
        <v>#N/A</v>
      </c>
      <c r="W147" s="2" t="e">
        <f t="shared" si="56"/>
        <v>#N/A</v>
      </c>
      <c r="X147" s="2" t="e">
        <f t="shared" si="57"/>
        <v>#N/A</v>
      </c>
      <c r="Y147" s="2" t="e">
        <f t="shared" si="58"/>
        <v>#N/A</v>
      </c>
      <c r="Z147" s="0">
        <f t="shared" ca="1" si="60"/>
        <v>1247488.2</v>
      </c>
      <c r="AA147" s="0">
        <f t="shared" ca="1" si="59"/>
        <v>1077750.1000000001</v>
      </c>
      <c r="AB147" cm="1" s="0">
        <f t="array" ref="AB147">MAX(IF(ISNUMBER(J147:Y147),J147:Y147))</f>
        <v>1377908</v>
      </c>
      <c r="AC147" cm="1" s="0">
        <f t="array" ref="AC147">MIN(IF(ISNUMBER(J147:Y147),J147:Y147))</f>
        <v>759664</v>
      </c>
      <c r="AD147" s="0">
        <f t="shared" si="53"/>
        <v>618244</v>
      </c>
    </row>
    <row r="148" spans="1:30" x14ac:dyDescent="0.2">
      <c r="A148" t="s" s="0">
        <v>3849</v>
      </c>
      <c r="B148" s="2">
        <v>715191</v>
      </c>
      <c r="C148" s="2">
        <v>24501</v>
      </c>
      <c r="D148" s="2">
        <v>41065</v>
      </c>
      <c r="E148" s="2">
        <v>38599</v>
      </c>
      <c r="F148" s="2">
        <v>30485</v>
      </c>
      <c r="G148" s="2">
        <v>33460</v>
      </c>
      <c r="I148" t="str" s="0">
        <f t="shared" si="41"/>
        <v>05/25</v>
      </c>
      <c r="J148" s="2">
        <f t="shared" si="42"/>
        <v>755181</v>
      </c>
      <c r="K148" s="2">
        <f t="shared" si="43"/>
        <v>782634</v>
      </c>
      <c r="L148" s="2">
        <f t="shared" si="44"/>
        <v>991700</v>
      </c>
      <c r="M148" s="2">
        <f t="shared" si="45"/>
        <v>916149</v>
      </c>
      <c r="N148" s="2">
        <f t="shared" si="46"/>
        <v>1049218</v>
      </c>
      <c r="O148" s="2">
        <f t="shared" si="47"/>
        <v>1380763</v>
      </c>
      <c r="P148" s="2">
        <f t="shared" si="48"/>
        <v>1359030</v>
      </c>
      <c r="Q148" s="2">
        <f t="shared" si="49"/>
        <v>1037644</v>
      </c>
      <c r="R148" s="2">
        <f t="shared" si="50"/>
        <v>1179405</v>
      </c>
      <c r="S148" s="2">
        <f t="shared" si="51"/>
        <v>1217975</v>
      </c>
      <c r="T148" s="2">
        <f t="shared" si="52"/>
        <v>1239883</v>
      </c>
      <c r="U148" s="2" t="e">
        <f t="shared" si="54"/>
        <v>#N/A</v>
      </c>
      <c r="V148" s="2" t="e">
        <f t="shared" si="55"/>
        <v>#N/A</v>
      </c>
      <c r="W148" s="2" t="e">
        <f t="shared" si="56"/>
        <v>#N/A</v>
      </c>
      <c r="X148" s="2" t="e">
        <f t="shared" si="57"/>
        <v>#N/A</v>
      </c>
      <c r="Y148" s="2" t="e">
        <f t="shared" si="58"/>
        <v>#N/A</v>
      </c>
      <c r="Z148" s="0">
        <f t="shared" ca="1" si="60"/>
        <v>1234963.3999999999</v>
      </c>
      <c r="AA148" s="0">
        <f t="shared" ca="1" si="59"/>
        <v>1066969.8999999999</v>
      </c>
      <c r="AB148" cm="1" s="0">
        <f t="array" ref="AB148">MAX(IF(ISNUMBER(J148:Y148),J148:Y148))</f>
        <v>1380763</v>
      </c>
      <c r="AC148" cm="1" s="0">
        <f t="array" ref="AC148">MIN(IF(ISNUMBER(J148:Y148),J148:Y148))</f>
        <v>755181</v>
      </c>
      <c r="AD148" s="0">
        <f t="shared" si="53"/>
        <v>625582</v>
      </c>
    </row>
    <row r="149" spans="1:30" x14ac:dyDescent="0.2">
      <c r="A149" t="s" s="0">
        <v>3848</v>
      </c>
      <c r="B149" s="2">
        <v>754444</v>
      </c>
      <c r="C149" s="2">
        <v>36029</v>
      </c>
      <c r="D149" s="2">
        <v>41778</v>
      </c>
      <c r="E149" s="2">
        <v>38727</v>
      </c>
      <c r="F149" s="2">
        <v>36962</v>
      </c>
      <c r="G149" s="2">
        <v>36149</v>
      </c>
      <c r="I149" t="str" s="0">
        <f t="shared" si="41"/>
        <v>05/26</v>
      </c>
      <c r="J149" s="2">
        <f t="shared" si="42"/>
        <v>709175</v>
      </c>
      <c r="K149" s="2">
        <f t="shared" si="43"/>
        <v>802545</v>
      </c>
      <c r="L149" s="2">
        <f t="shared" si="44"/>
        <v>991700</v>
      </c>
      <c r="M149" s="2">
        <f t="shared" si="45"/>
        <v>916149</v>
      </c>
      <c r="N149" s="2">
        <f t="shared" si="46"/>
        <v>1038704</v>
      </c>
      <c r="O149" s="2">
        <f t="shared" si="47"/>
        <v>1372572</v>
      </c>
      <c r="P149" s="2">
        <f t="shared" si="48"/>
        <v>1434403</v>
      </c>
      <c r="Q149" s="2">
        <f t="shared" si="49"/>
        <v>1014996</v>
      </c>
      <c r="R149" s="2">
        <f t="shared" si="50"/>
        <v>1179405</v>
      </c>
      <c r="S149" s="2">
        <f t="shared" si="51"/>
        <v>1221801</v>
      </c>
      <c r="T149" s="2">
        <f t="shared" si="52"/>
        <v>1201853</v>
      </c>
      <c r="U149" s="2" t="e">
        <f t="shared" si="54"/>
        <v>#N/A</v>
      </c>
      <c r="V149" s="2" t="e">
        <f t="shared" si="55"/>
        <v>#N/A</v>
      </c>
      <c r="W149" s="2" t="e">
        <f t="shared" si="56"/>
        <v>#N/A</v>
      </c>
      <c r="X149" s="2" t="e">
        <f t="shared" si="57"/>
        <v>#N/A</v>
      </c>
      <c r="Y149" s="2" t="e">
        <f t="shared" si="58"/>
        <v>#N/A</v>
      </c>
      <c r="Z149" s="0">
        <f t="shared" ca="1" si="60"/>
        <v>1244635.3999999999</v>
      </c>
      <c r="AA149" s="0">
        <f t="shared" ca="1" si="59"/>
        <v>1068145</v>
      </c>
      <c r="AB149" cm="1" s="0">
        <f t="array" ref="AB149">MAX(IF(ISNUMBER(J149:Y149),J149:Y149))</f>
        <v>1434403</v>
      </c>
      <c r="AC149" cm="1" s="0">
        <f t="array" ref="AC149">MIN(IF(ISNUMBER(J149:Y149),J149:Y149))</f>
        <v>709175</v>
      </c>
      <c r="AD149" s="0">
        <f t="shared" si="53"/>
        <v>725228</v>
      </c>
    </row>
    <row r="150" spans="1:30" x14ac:dyDescent="0.2">
      <c r="A150" t="s" s="0">
        <v>3847</v>
      </c>
      <c r="B150" s="2">
        <v>705605</v>
      </c>
      <c r="C150" s="2">
        <v>43839</v>
      </c>
      <c r="D150" s="2">
        <v>44126</v>
      </c>
      <c r="E150" s="2">
        <v>39316</v>
      </c>
      <c r="F150" s="2">
        <v>32807</v>
      </c>
      <c r="G150" s="2">
        <v>34720</v>
      </c>
      <c r="I150" t="str" s="0">
        <f t="shared" si="41"/>
        <v>05/27</v>
      </c>
      <c r="J150" s="2">
        <f t="shared" si="42"/>
        <v>702686</v>
      </c>
      <c r="K150" s="2">
        <f t="shared" si="43"/>
        <v>802545</v>
      </c>
      <c r="L150" s="2">
        <f t="shared" si="44"/>
        <v>991700</v>
      </c>
      <c r="M150" s="2">
        <f t="shared" si="45"/>
        <v>961249</v>
      </c>
      <c r="N150" s="2">
        <f t="shared" si="46"/>
        <v>1081338</v>
      </c>
      <c r="O150" s="2">
        <f t="shared" si="47"/>
        <v>1344302</v>
      </c>
      <c r="P150" s="2">
        <f t="shared" si="48"/>
        <v>1452295</v>
      </c>
      <c r="Q150" s="2">
        <f t="shared" si="49"/>
        <v>1014996</v>
      </c>
      <c r="R150" s="2">
        <f t="shared" si="50"/>
        <v>1179405</v>
      </c>
      <c r="S150" s="2">
        <f t="shared" si="51"/>
        <v>1157146</v>
      </c>
      <c r="T150" s="2">
        <f t="shared" si="52"/>
        <v>1228390</v>
      </c>
      <c r="U150" s="2" t="e">
        <f t="shared" si="54"/>
        <v>#N/A</v>
      </c>
      <c r="V150" s="2" t="e">
        <f t="shared" si="55"/>
        <v>#N/A</v>
      </c>
      <c r="W150" s="2" t="e">
        <f t="shared" si="56"/>
        <v>#N/A</v>
      </c>
      <c r="X150" s="2" t="e">
        <f t="shared" si="57"/>
        <v>#N/A</v>
      </c>
      <c r="Y150" s="2" t="e">
        <f t="shared" si="58"/>
        <v>#N/A</v>
      </c>
      <c r="Z150" s="0">
        <f t="shared" ca="1" si="60"/>
        <v>1229628.8</v>
      </c>
      <c r="AA150" s="0">
        <f t="shared" ca="1" si="59"/>
        <v>1068766.2</v>
      </c>
      <c r="AB150" cm="1" s="0">
        <f t="array" ref="AB150">MAX(IF(ISNUMBER(J150:Y150),J150:Y150))</f>
        <v>1452295</v>
      </c>
      <c r="AC150" cm="1" s="0">
        <f t="array" ref="AC150">MIN(IF(ISNUMBER(J150:Y150),J150:Y150))</f>
        <v>702686</v>
      </c>
      <c r="AD150" s="0">
        <f t="shared" si="53"/>
        <v>749609</v>
      </c>
    </row>
    <row r="151" spans="1:30" x14ac:dyDescent="0.2">
      <c r="A151" t="s" s="0">
        <v>3846</v>
      </c>
      <c r="B151" s="2">
        <v>713697</v>
      </c>
      <c r="C151" s="2">
        <v>41637</v>
      </c>
      <c r="D151" s="2">
        <v>39656</v>
      </c>
      <c r="E151" s="2">
        <v>39479</v>
      </c>
      <c r="F151" s="2">
        <v>37067</v>
      </c>
      <c r="G151" s="2">
        <v>37030</v>
      </c>
      <c r="I151" t="str" s="0">
        <f t="shared" si="41"/>
        <v>05/28</v>
      </c>
      <c r="J151" s="2">
        <f t="shared" si="42"/>
        <v>658643</v>
      </c>
      <c r="K151" s="2">
        <f t="shared" si="43"/>
        <v>802545</v>
      </c>
      <c r="L151" s="2">
        <f t="shared" si="44"/>
        <v>970387</v>
      </c>
      <c r="M151" s="2">
        <f t="shared" si="45"/>
        <v>920741</v>
      </c>
      <c r="N151" s="2">
        <f t="shared" si="46"/>
        <v>1031448</v>
      </c>
      <c r="O151" s="2">
        <f t="shared" si="47"/>
        <v>1350423</v>
      </c>
      <c r="P151" s="2">
        <f t="shared" si="48"/>
        <v>1452295</v>
      </c>
      <c r="Q151" s="2">
        <f t="shared" si="49"/>
        <v>1014996</v>
      </c>
      <c r="R151" s="2">
        <f t="shared" si="50"/>
        <v>1208083</v>
      </c>
      <c r="S151" s="2">
        <f t="shared" si="51"/>
        <v>1166905</v>
      </c>
      <c r="T151" s="2">
        <f t="shared" si="52"/>
        <v>1171116</v>
      </c>
      <c r="U151" s="2" t="e">
        <f t="shared" si="54"/>
        <v>#N/A</v>
      </c>
      <c r="V151" s="2" t="e">
        <f t="shared" si="55"/>
        <v>#N/A</v>
      </c>
      <c r="W151" s="2" t="e">
        <f t="shared" si="56"/>
        <v>#N/A</v>
      </c>
      <c r="X151" s="2" t="e">
        <f t="shared" si="57"/>
        <v>#N/A</v>
      </c>
      <c r="Y151" s="2" t="e">
        <f t="shared" si="58"/>
        <v>#N/A</v>
      </c>
      <c r="Z151" s="0">
        <f t="shared" ca="1" si="60"/>
        <v>1238540.3999999999</v>
      </c>
      <c r="AA151" s="0">
        <f t="shared" ca="1" si="59"/>
        <v>1057646.6000000001</v>
      </c>
      <c r="AB151" cm="1" s="0">
        <f t="array" ref="AB151">MAX(IF(ISNUMBER(J151:Y151),J151:Y151))</f>
        <v>1452295</v>
      </c>
      <c r="AC151" cm="1" s="0">
        <f t="array" ref="AC151">MIN(IF(ISNUMBER(J151:Y151),J151:Y151))</f>
        <v>658643</v>
      </c>
      <c r="AD151" s="0">
        <f t="shared" si="53"/>
        <v>793652</v>
      </c>
    </row>
    <row r="152" spans="1:30" x14ac:dyDescent="0.2">
      <c r="A152" t="s" s="0">
        <v>3845</v>
      </c>
      <c r="B152" s="2">
        <v>752477</v>
      </c>
      <c r="C152" s="2">
        <v>19871</v>
      </c>
      <c r="D152" s="2">
        <v>38772</v>
      </c>
      <c r="E152" s="2">
        <v>38863</v>
      </c>
      <c r="F152" s="2">
        <v>47120</v>
      </c>
      <c r="G152" s="2">
        <v>38833</v>
      </c>
      <c r="I152" t="str" s="0">
        <f t="shared" si="41"/>
        <v>05/29</v>
      </c>
      <c r="J152" s="2">
        <f t="shared" si="42"/>
        <v>658643</v>
      </c>
      <c r="K152" s="2">
        <f t="shared" si="43"/>
        <v>755065</v>
      </c>
      <c r="L152" s="2">
        <f t="shared" si="44"/>
        <v>1025590</v>
      </c>
      <c r="M152" s="2">
        <f t="shared" si="45"/>
        <v>1050713</v>
      </c>
      <c r="N152" s="2">
        <f t="shared" si="46"/>
        <v>978424</v>
      </c>
      <c r="O152" s="2">
        <f t="shared" si="47"/>
        <v>1350423</v>
      </c>
      <c r="P152" s="2">
        <f t="shared" si="48"/>
        <v>1452295</v>
      </c>
      <c r="Q152" s="2">
        <f t="shared" si="49"/>
        <v>1022569</v>
      </c>
      <c r="R152" s="2">
        <f t="shared" si="50"/>
        <v>1216883</v>
      </c>
      <c r="S152" s="2">
        <f t="shared" si="51"/>
        <v>1187049</v>
      </c>
      <c r="T152" s="2">
        <f t="shared" si="52"/>
        <v>1213556</v>
      </c>
      <c r="U152" s="2" t="e">
        <f t="shared" si="54"/>
        <v>#N/A</v>
      </c>
      <c r="V152" s="2" t="e">
        <f t="shared" si="55"/>
        <v>#N/A</v>
      </c>
      <c r="W152" s="2" t="e">
        <f t="shared" si="56"/>
        <v>#N/A</v>
      </c>
      <c r="X152" s="2" t="e">
        <f t="shared" si="57"/>
        <v>#N/A</v>
      </c>
      <c r="Y152" s="2" t="e">
        <f t="shared" si="58"/>
        <v>#N/A</v>
      </c>
      <c r="Z152" s="0">
        <f t="shared" ca="1" si="60"/>
        <v>1245843.8</v>
      </c>
      <c r="AA152" s="0">
        <f t="shared" ca="1" si="59"/>
        <v>1069765.3999999999</v>
      </c>
      <c r="AB152" cm="1" s="0">
        <f t="array" ref="AB152">MAX(IF(ISNUMBER(J152:Y152),J152:Y152))</f>
        <v>1452295</v>
      </c>
      <c r="AC152" cm="1" s="0">
        <f t="array" ref="AC152">MIN(IF(ISNUMBER(J152:Y152),J152:Y152))</f>
        <v>658643</v>
      </c>
      <c r="AD152" s="0">
        <f t="shared" si="53"/>
        <v>793652</v>
      </c>
    </row>
    <row r="153" spans="1:30" x14ac:dyDescent="0.2">
      <c r="A153" t="s" s="0">
        <v>3844</v>
      </c>
      <c r="B153" s="3">
        <v>752477</v>
      </c>
      <c r="C153" s="3">
        <v>19871</v>
      </c>
      <c r="D153" s="3">
        <v>38772</v>
      </c>
      <c r="E153" s="3">
        <v>38863</v>
      </c>
      <c r="F153" s="3">
        <v>47120</v>
      </c>
      <c r="G153" s="3">
        <v>38833</v>
      </c>
      <c r="I153" t="str" s="0">
        <f t="shared" si="41"/>
        <v>05/30</v>
      </c>
      <c r="J153" s="2">
        <f t="shared" si="42"/>
        <v>658643</v>
      </c>
      <c r="K153" s="2">
        <f t="shared" si="43"/>
        <v>778015</v>
      </c>
      <c r="L153" s="2">
        <f t="shared" si="44"/>
        <v>1000987</v>
      </c>
      <c r="M153" s="2">
        <f t="shared" si="45"/>
        <v>987097</v>
      </c>
      <c r="N153" s="2">
        <f t="shared" si="46"/>
        <v>1029723</v>
      </c>
      <c r="O153" s="2">
        <f t="shared" si="47"/>
        <v>1350423</v>
      </c>
      <c r="P153" s="2">
        <f t="shared" si="48"/>
        <v>1439352</v>
      </c>
      <c r="Q153" s="2">
        <f t="shared" si="49"/>
        <v>991395</v>
      </c>
      <c r="R153" s="2">
        <f t="shared" si="50"/>
        <v>1206513</v>
      </c>
      <c r="S153" s="2">
        <f t="shared" si="51"/>
        <v>1125861</v>
      </c>
      <c r="T153" s="2">
        <f t="shared" si="52"/>
        <v>1213556</v>
      </c>
      <c r="U153" s="2" t="e">
        <f t="shared" si="54"/>
        <v>#N/A</v>
      </c>
      <c r="V153" s="2" t="e">
        <f t="shared" si="55"/>
        <v>#N/A</v>
      </c>
      <c r="W153" s="2" t="e">
        <f t="shared" si="56"/>
        <v>#N/A</v>
      </c>
      <c r="X153" s="2" t="e">
        <f t="shared" si="57"/>
        <v>#N/A</v>
      </c>
      <c r="Y153" s="2" t="e">
        <f t="shared" si="58"/>
        <v>#N/A</v>
      </c>
      <c r="Z153" s="0">
        <f t="shared" ca="1" si="60"/>
        <v>1222708.8</v>
      </c>
      <c r="AA153" s="0">
        <f t="shared" ca="1" si="59"/>
        <v>1056800.8999999999</v>
      </c>
      <c r="AB153" cm="1" s="0">
        <f t="array" ref="AB153">MAX(IF(ISNUMBER(J153:Y153),J153:Y153))</f>
        <v>1439352</v>
      </c>
      <c r="AC153" cm="1" s="0">
        <f t="array" ref="AC153">MIN(IF(ISNUMBER(J153:Y153),J153:Y153))</f>
        <v>658643</v>
      </c>
      <c r="AD153" s="0">
        <f t="shared" si="53"/>
        <v>780709</v>
      </c>
    </row>
    <row r="154" spans="1:30" x14ac:dyDescent="0.2">
      <c r="A154" t="s" s="0">
        <v>3843</v>
      </c>
      <c r="B154" s="3">
        <v>752477</v>
      </c>
      <c r="C154" s="3">
        <v>19871</v>
      </c>
      <c r="D154" s="3">
        <v>38772</v>
      </c>
      <c r="E154" s="3">
        <v>38863</v>
      </c>
      <c r="F154" s="3">
        <v>47120</v>
      </c>
      <c r="G154" s="3">
        <v>38833</v>
      </c>
      <c r="I154" t="str" s="0">
        <f t="shared" si="41"/>
        <v>05/31</v>
      </c>
      <c r="J154" s="2">
        <f t="shared" si="42"/>
        <v>713595</v>
      </c>
      <c r="K154" s="2">
        <f t="shared" si="43"/>
        <v>785931</v>
      </c>
      <c r="L154" s="2">
        <f t="shared" si="44"/>
        <v>978627</v>
      </c>
      <c r="M154" s="2">
        <f t="shared" si="45"/>
        <v>961607</v>
      </c>
      <c r="N154" s="2">
        <f t="shared" si="46"/>
        <v>1029723</v>
      </c>
      <c r="O154" s="2">
        <f t="shared" si="47"/>
        <v>1293615</v>
      </c>
      <c r="P154" s="2">
        <f t="shared" si="48"/>
        <v>1431641</v>
      </c>
      <c r="Q154" s="2">
        <f t="shared" si="49"/>
        <v>915001</v>
      </c>
      <c r="R154" s="2">
        <f t="shared" si="50"/>
        <v>1213286</v>
      </c>
      <c r="S154" s="2">
        <f t="shared" si="51"/>
        <v>1125861</v>
      </c>
      <c r="T154" s="2">
        <f t="shared" si="52"/>
        <v>1213556</v>
      </c>
      <c r="U154" s="2" t="e">
        <f t="shared" si="54"/>
        <v>#N/A</v>
      </c>
      <c r="V154" s="2" t="e">
        <f t="shared" si="55"/>
        <v>#N/A</v>
      </c>
      <c r="W154" s="2" t="e">
        <f t="shared" si="56"/>
        <v>#N/A</v>
      </c>
      <c r="X154" s="2" t="e">
        <f t="shared" si="57"/>
        <v>#N/A</v>
      </c>
      <c r="Y154" s="2" t="e">
        <f t="shared" si="58"/>
        <v>#N/A</v>
      </c>
      <c r="Z154" s="0">
        <f t="shared" ca="1" si="60"/>
        <v>1195880.8</v>
      </c>
      <c r="AA154" s="0">
        <f t="shared" ca="1" si="59"/>
        <v>1044888.7</v>
      </c>
      <c r="AB154" cm="1" s="0">
        <f t="array" ref="AB154">MAX(IF(ISNUMBER(J154:Y154),J154:Y154))</f>
        <v>1431641</v>
      </c>
      <c r="AC154" cm="1" s="0">
        <f t="array" ref="AC154">MIN(IF(ISNUMBER(J154:Y154),J154:Y154))</f>
        <v>713595</v>
      </c>
      <c r="AD154" s="0">
        <f t="shared" si="53"/>
        <v>718046</v>
      </c>
    </row>
    <row r="155" spans="1:30" x14ac:dyDescent="0.2">
      <c r="A155" t="s" s="0">
        <v>3842</v>
      </c>
      <c r="B155" s="2">
        <v>723101</v>
      </c>
      <c r="C155" s="2">
        <v>20253</v>
      </c>
      <c r="D155" s="2">
        <v>35968</v>
      </c>
      <c r="E155" s="2">
        <v>38497</v>
      </c>
      <c r="F155" s="2">
        <v>37087</v>
      </c>
      <c r="G155" s="2">
        <v>36613</v>
      </c>
      <c r="I155" t="str" s="0">
        <f t="shared" si="41"/>
        <v>06/01</v>
      </c>
      <c r="J155" s="2">
        <f t="shared" si="42"/>
        <v>797221</v>
      </c>
      <c r="K155" s="2">
        <f t="shared" si="43"/>
        <v>744733</v>
      </c>
      <c r="L155" s="2">
        <f t="shared" si="44"/>
        <v>933079</v>
      </c>
      <c r="M155" s="2">
        <f t="shared" si="45"/>
        <v>961607</v>
      </c>
      <c r="N155" s="2">
        <f t="shared" si="46"/>
        <v>1029723</v>
      </c>
      <c r="O155" s="2">
        <f t="shared" si="47"/>
        <v>1245226</v>
      </c>
      <c r="P155" s="2">
        <f t="shared" si="48"/>
        <v>1465187</v>
      </c>
      <c r="Q155" s="2">
        <f t="shared" si="49"/>
        <v>859964</v>
      </c>
      <c r="R155" s="2">
        <f t="shared" si="50"/>
        <v>1168367</v>
      </c>
      <c r="S155" s="2">
        <f t="shared" si="51"/>
        <v>1125861</v>
      </c>
      <c r="T155" s="2">
        <f t="shared" si="52"/>
        <v>1207022</v>
      </c>
      <c r="U155" s="2" t="e">
        <f t="shared" si="54"/>
        <v>#N/A</v>
      </c>
      <c r="V155" s="2" t="e">
        <f t="shared" si="55"/>
        <v>#N/A</v>
      </c>
      <c r="W155" s="2" t="e">
        <f t="shared" si="56"/>
        <v>#N/A</v>
      </c>
      <c r="X155" s="2" t="e">
        <f t="shared" si="57"/>
        <v>#N/A</v>
      </c>
      <c r="Y155" s="2" t="e">
        <f t="shared" si="58"/>
        <v>#N/A</v>
      </c>
      <c r="Z155" s="0">
        <f t="shared" ca="1" si="60"/>
        <v>1172921</v>
      </c>
      <c r="AA155" s="0">
        <f t="shared" ca="1" si="59"/>
        <v>1033096.8</v>
      </c>
      <c r="AB155" cm="1" s="0">
        <f t="array" ref="AB155">MAX(IF(ISNUMBER(J155:Y155),J155:Y155))</f>
        <v>1465187</v>
      </c>
      <c r="AC155" cm="1" s="0">
        <f t="array" ref="AC155">MIN(IF(ISNUMBER(J155:Y155),J155:Y155))</f>
        <v>744733</v>
      </c>
      <c r="AD155" s="0">
        <f t="shared" si="53"/>
        <v>720454</v>
      </c>
    </row>
    <row r="156" spans="1:30" x14ac:dyDescent="0.2">
      <c r="A156" t="s" s="0">
        <v>3841</v>
      </c>
      <c r="B156" s="2">
        <v>739631</v>
      </c>
      <c r="C156" s="2">
        <v>28931</v>
      </c>
      <c r="D156" s="2">
        <v>34954</v>
      </c>
      <c r="E156" s="2">
        <v>38326</v>
      </c>
      <c r="F156" s="2">
        <v>32047</v>
      </c>
      <c r="G156" s="2">
        <v>36269</v>
      </c>
      <c r="I156" t="str" s="0">
        <f t="shared" si="41"/>
        <v>06/02</v>
      </c>
      <c r="J156" s="2">
        <f t="shared" si="42"/>
        <v>731594</v>
      </c>
      <c r="K156" s="2">
        <f t="shared" si="43"/>
        <v>739024</v>
      </c>
      <c r="L156" s="2">
        <f t="shared" si="44"/>
        <v>933079</v>
      </c>
      <c r="M156" s="2">
        <f t="shared" si="45"/>
        <v>961607</v>
      </c>
      <c r="N156" s="2">
        <f t="shared" si="46"/>
        <v>944080</v>
      </c>
      <c r="O156" s="2">
        <f t="shared" si="47"/>
        <v>1223026</v>
      </c>
      <c r="P156" s="2">
        <f t="shared" si="48"/>
        <v>1426106</v>
      </c>
      <c r="Q156" s="2">
        <f t="shared" si="49"/>
        <v>843645</v>
      </c>
      <c r="R156" s="2">
        <f t="shared" si="50"/>
        <v>1168367</v>
      </c>
      <c r="S156" s="2">
        <f t="shared" si="51"/>
        <v>1129107</v>
      </c>
      <c r="T156" s="2">
        <f t="shared" si="52"/>
        <v>1160281</v>
      </c>
      <c r="U156" s="2" t="e">
        <f t="shared" si="54"/>
        <v>#N/A</v>
      </c>
      <c r="V156" s="2" t="e">
        <f t="shared" si="55"/>
        <v>#N/A</v>
      </c>
      <c r="W156" s="2" t="e">
        <f t="shared" si="56"/>
        <v>#N/A</v>
      </c>
      <c r="X156" s="2" t="e">
        <f t="shared" si="57"/>
        <v>#N/A</v>
      </c>
      <c r="Y156" s="2" t="e">
        <f t="shared" si="58"/>
        <v>#N/A</v>
      </c>
      <c r="Z156" s="0">
        <f t="shared" ca="1" si="60"/>
        <v>1158050.2</v>
      </c>
      <c r="AA156" s="0">
        <f t="shared" ca="1" si="59"/>
        <v>1009963.5</v>
      </c>
      <c r="AB156" cm="1" s="0">
        <f t="array" ref="AB156">MAX(IF(ISNUMBER(J156:Y156),J156:Y156))</f>
        <v>1426106</v>
      </c>
      <c r="AC156" cm="1" s="0">
        <f t="array" ref="AC156">MIN(IF(ISNUMBER(J156:Y156),J156:Y156))</f>
        <v>731594</v>
      </c>
      <c r="AD156" s="0">
        <f t="shared" si="53"/>
        <v>694512</v>
      </c>
    </row>
    <row r="157" spans="1:30" x14ac:dyDescent="0.2">
      <c r="A157" t="s" s="0">
        <v>3840</v>
      </c>
      <c r="B157" s="2">
        <v>795909</v>
      </c>
      <c r="C157" s="2">
        <v>29808</v>
      </c>
      <c r="D157" s="2">
        <v>33098</v>
      </c>
      <c r="E157" s="2">
        <v>38464</v>
      </c>
      <c r="F157" s="2">
        <v>45208</v>
      </c>
      <c r="G157" s="2">
        <v>35989</v>
      </c>
      <c r="I157" t="str" s="0">
        <f t="shared" si="41"/>
        <v>06/03</v>
      </c>
      <c r="J157" s="2">
        <f t="shared" si="42"/>
        <v>686191</v>
      </c>
      <c r="K157" s="2">
        <f t="shared" si="43"/>
        <v>739024</v>
      </c>
      <c r="L157" s="2">
        <f t="shared" si="44"/>
        <v>933079</v>
      </c>
      <c r="M157" s="2">
        <f t="shared" si="45"/>
        <v>985141</v>
      </c>
      <c r="N157" s="2">
        <f t="shared" si="46"/>
        <v>966671</v>
      </c>
      <c r="O157" s="2">
        <f t="shared" si="47"/>
        <v>1202039</v>
      </c>
      <c r="P157" s="2">
        <f t="shared" si="48"/>
        <v>1400428</v>
      </c>
      <c r="Q157" s="2">
        <f t="shared" si="49"/>
        <v>843645</v>
      </c>
      <c r="R157" s="2">
        <f t="shared" si="50"/>
        <v>1168367</v>
      </c>
      <c r="S157" s="2">
        <f t="shared" si="51"/>
        <v>1142386</v>
      </c>
      <c r="T157" s="2">
        <f t="shared" si="52"/>
        <v>1153810</v>
      </c>
      <c r="U157" s="2" t="e">
        <f t="shared" si="54"/>
        <v>#N/A</v>
      </c>
      <c r="V157" s="2" t="e">
        <f t="shared" si="55"/>
        <v>#N/A</v>
      </c>
      <c r="W157" s="2" t="e">
        <f t="shared" si="56"/>
        <v>#N/A</v>
      </c>
      <c r="X157" s="2" t="e">
        <f t="shared" si="57"/>
        <v>#N/A</v>
      </c>
      <c r="Y157" s="2" t="e">
        <f t="shared" si="58"/>
        <v>#N/A</v>
      </c>
      <c r="Z157" s="0">
        <f t="shared" ca="1" si="60"/>
        <v>1151373</v>
      </c>
      <c r="AA157" s="0">
        <f t="shared" ca="1" si="59"/>
        <v>1006697.1</v>
      </c>
      <c r="AB157" cm="1" s="0">
        <f t="array" ref="AB157">MAX(IF(ISNUMBER(J157:Y157),J157:Y157))</f>
        <v>1400428</v>
      </c>
      <c r="AC157" cm="1" s="0">
        <f t="array" ref="AC157">MIN(IF(ISNUMBER(J157:Y157),J157:Y157))</f>
        <v>686191</v>
      </c>
      <c r="AD157" s="0">
        <f t="shared" si="53"/>
        <v>714237</v>
      </c>
    </row>
    <row r="158" spans="1:30" x14ac:dyDescent="0.2">
      <c r="A158" t="s" s="0">
        <v>3839</v>
      </c>
      <c r="B158" s="2">
        <v>794022</v>
      </c>
      <c r="C158" s="2">
        <v>35445</v>
      </c>
      <c r="D158" s="2">
        <v>31152</v>
      </c>
      <c r="E158" s="2">
        <v>38135</v>
      </c>
      <c r="F158" s="2">
        <v>41836</v>
      </c>
      <c r="G158" s="2">
        <v>37455</v>
      </c>
      <c r="I158" t="str" s="0">
        <f t="shared" si="41"/>
        <v>06/04</v>
      </c>
      <c r="J158" s="2">
        <f t="shared" si="42"/>
        <v>687600</v>
      </c>
      <c r="K158" s="2">
        <f t="shared" si="43"/>
        <v>739024</v>
      </c>
      <c r="L158" s="2">
        <f t="shared" si="44"/>
        <v>1083497</v>
      </c>
      <c r="M158" s="2">
        <f t="shared" si="45"/>
        <v>1049595</v>
      </c>
      <c r="N158" s="2">
        <f t="shared" si="46"/>
        <v>965870</v>
      </c>
      <c r="O158" s="2">
        <f t="shared" si="47"/>
        <v>1295285</v>
      </c>
      <c r="P158" s="2">
        <f t="shared" si="48"/>
        <v>1400428</v>
      </c>
      <c r="Q158" s="2">
        <f t="shared" si="49"/>
        <v>843645</v>
      </c>
      <c r="R158" s="2">
        <f t="shared" si="50"/>
        <v>1165727</v>
      </c>
      <c r="S158" s="2">
        <f t="shared" si="51"/>
        <v>1143791</v>
      </c>
      <c r="T158" s="2">
        <f t="shared" si="52"/>
        <v>1177674</v>
      </c>
      <c r="U158" s="2" t="e">
        <f t="shared" si="54"/>
        <v>#N/A</v>
      </c>
      <c r="V158" s="2" t="e">
        <f t="shared" si="55"/>
        <v>#N/A</v>
      </c>
      <c r="W158" s="2" t="e">
        <f t="shared" si="56"/>
        <v>#N/A</v>
      </c>
      <c r="X158" s="2" t="e">
        <f t="shared" si="57"/>
        <v>#N/A</v>
      </c>
      <c r="Y158" s="2" t="e">
        <f t="shared" si="58"/>
        <v>#N/A</v>
      </c>
      <c r="Z158" s="0">
        <f t="shared" ca="1" si="60"/>
        <v>1169775.2</v>
      </c>
      <c r="AA158" s="0">
        <f t="shared" ca="1" si="59"/>
        <v>1037446.2</v>
      </c>
      <c r="AB158" cm="1" s="0">
        <f t="array" ref="AB158">MAX(IF(ISNUMBER(J158:Y158),J158:Y158))</f>
        <v>1400428</v>
      </c>
      <c r="AC158" cm="1" s="0">
        <f t="array" ref="AC158">MIN(IF(ISNUMBER(J158:Y158),J158:Y158))</f>
        <v>687600</v>
      </c>
      <c r="AD158" s="0">
        <f t="shared" si="53"/>
        <v>712828</v>
      </c>
    </row>
    <row r="159" spans="1:30" x14ac:dyDescent="0.2">
      <c r="A159" t="s" s="0">
        <v>3838</v>
      </c>
      <c r="B159" s="2">
        <v>757431</v>
      </c>
      <c r="C159" s="2">
        <v>31452</v>
      </c>
      <c r="D159" s="2">
        <v>31909</v>
      </c>
      <c r="E159" s="2">
        <v>37275</v>
      </c>
      <c r="F159" s="2">
        <v>31826</v>
      </c>
      <c r="G159" s="2">
        <v>34307</v>
      </c>
      <c r="I159" t="str" s="0">
        <f t="shared" si="41"/>
        <v>06/05</v>
      </c>
      <c r="J159" s="2">
        <f t="shared" si="42"/>
        <v>687600</v>
      </c>
      <c r="K159" s="2">
        <f t="shared" si="43"/>
        <v>735855</v>
      </c>
      <c r="L159" s="2">
        <f t="shared" si="44"/>
        <v>1100585</v>
      </c>
      <c r="M159" s="2">
        <f t="shared" si="45"/>
        <v>1013382</v>
      </c>
      <c r="N159" s="2">
        <f t="shared" si="46"/>
        <v>996840</v>
      </c>
      <c r="O159" s="2">
        <f t="shared" si="47"/>
        <v>1295285</v>
      </c>
      <c r="P159" s="2">
        <f t="shared" si="48"/>
        <v>1400428</v>
      </c>
      <c r="Q159" s="2">
        <f t="shared" si="49"/>
        <v>912145</v>
      </c>
      <c r="R159" s="2">
        <f t="shared" si="50"/>
        <v>1226848</v>
      </c>
      <c r="S159" s="2">
        <f t="shared" si="51"/>
        <v>1079193</v>
      </c>
      <c r="T159" s="2">
        <f t="shared" si="52"/>
        <v>1154937</v>
      </c>
      <c r="U159" s="2" t="e">
        <f t="shared" si="54"/>
        <v>#N/A</v>
      </c>
      <c r="V159" s="2" t="e">
        <f t="shared" si="55"/>
        <v>#N/A</v>
      </c>
      <c r="W159" s="2" t="e">
        <f t="shared" si="56"/>
        <v>#N/A</v>
      </c>
      <c r="X159" s="2" t="e">
        <f t="shared" si="57"/>
        <v>#N/A</v>
      </c>
      <c r="Y159" s="2" t="e">
        <f t="shared" si="58"/>
        <v>#N/A</v>
      </c>
      <c r="Z159" s="0">
        <f t="shared" ca="1" si="60"/>
        <v>1182779.8</v>
      </c>
      <c r="AA159" s="0">
        <f t="shared" ca="1" si="59"/>
        <v>1044816.1</v>
      </c>
      <c r="AB159" cm="1" s="0">
        <f t="array" ref="AB159">MAX(IF(ISNUMBER(J159:Y159),J159:Y159))</f>
        <v>1400428</v>
      </c>
      <c r="AC159" cm="1" s="0">
        <f t="array" ref="AC159">MIN(IF(ISNUMBER(J159:Y159),J159:Y159))</f>
        <v>687600</v>
      </c>
      <c r="AD159" s="0">
        <f t="shared" si="53"/>
        <v>712828</v>
      </c>
    </row>
    <row r="160" spans="1:30" x14ac:dyDescent="0.2">
      <c r="A160" t="s" s="0">
        <v>3837</v>
      </c>
      <c r="B160" s="3">
        <v>757431</v>
      </c>
      <c r="C160" s="3">
        <v>31452</v>
      </c>
      <c r="D160" s="3">
        <v>31909</v>
      </c>
      <c r="E160" s="3">
        <v>37275</v>
      </c>
      <c r="F160" s="3">
        <v>31826</v>
      </c>
      <c r="G160" s="3">
        <v>34307</v>
      </c>
      <c r="I160" t="str" s="0">
        <f t="shared" si="41"/>
        <v>06/06</v>
      </c>
      <c r="J160" s="2">
        <f t="shared" si="42"/>
        <v>687600</v>
      </c>
      <c r="K160" s="2">
        <f t="shared" si="43"/>
        <v>756843</v>
      </c>
      <c r="L160" s="2">
        <f t="shared" si="44"/>
        <v>1045952</v>
      </c>
      <c r="M160" s="2">
        <f t="shared" si="45"/>
        <v>1019602</v>
      </c>
      <c r="N160" s="2">
        <f t="shared" si="46"/>
        <v>945244</v>
      </c>
      <c r="O160" s="2">
        <f t="shared" si="47"/>
        <v>1295285</v>
      </c>
      <c r="P160" s="2">
        <f t="shared" si="48"/>
        <v>1340545</v>
      </c>
      <c r="Q160" s="2">
        <f t="shared" si="49"/>
        <v>905311</v>
      </c>
      <c r="R160" s="2">
        <f t="shared" si="50"/>
        <v>1173246</v>
      </c>
      <c r="S160" s="2">
        <f t="shared" si="51"/>
        <v>1092668</v>
      </c>
      <c r="T160" s="2">
        <f t="shared" si="52"/>
        <v>1154937</v>
      </c>
      <c r="U160" s="2" t="e">
        <f t="shared" si="54"/>
        <v>#N/A</v>
      </c>
      <c r="V160" s="2" t="e">
        <f t="shared" si="55"/>
        <v>#N/A</v>
      </c>
      <c r="W160" s="2" t="e">
        <f t="shared" si="56"/>
        <v>#N/A</v>
      </c>
      <c r="X160" s="2" t="e">
        <f t="shared" si="57"/>
        <v>#N/A</v>
      </c>
      <c r="Y160" s="2" t="e">
        <f t="shared" si="58"/>
        <v>#N/A</v>
      </c>
      <c r="Z160" s="0">
        <f t="shared" ca="1" si="60"/>
        <v>1161411</v>
      </c>
      <c r="AA160" s="0">
        <f t="shared" ca="1" si="59"/>
        <v>1026229.6</v>
      </c>
      <c r="AB160" cm="1" s="0">
        <f t="array" ref="AB160">MAX(IF(ISNUMBER(J160:Y160),J160:Y160))</f>
        <v>1340545</v>
      </c>
      <c r="AC160" cm="1" s="0">
        <f t="array" ref="AC160">MIN(IF(ISNUMBER(J160:Y160),J160:Y160))</f>
        <v>687600</v>
      </c>
      <c r="AD160" s="0">
        <f t="shared" si="53"/>
        <v>652945</v>
      </c>
    </row>
    <row r="161" spans="1:30" x14ac:dyDescent="0.2">
      <c r="A161" t="s" s="0">
        <v>3836</v>
      </c>
      <c r="B161" s="3">
        <v>757431</v>
      </c>
      <c r="C161" s="3">
        <v>31452</v>
      </c>
      <c r="D161" s="3">
        <v>31909</v>
      </c>
      <c r="E161" s="3">
        <v>37275</v>
      </c>
      <c r="F161" s="3">
        <v>31826</v>
      </c>
      <c r="G161" s="3">
        <v>34307</v>
      </c>
      <c r="I161" t="str" s="0">
        <f t="shared" si="41"/>
        <v>06/07</v>
      </c>
      <c r="J161" s="2">
        <f t="shared" si="42"/>
        <v>730006</v>
      </c>
      <c r="K161" s="2">
        <f t="shared" si="43"/>
        <v>773224</v>
      </c>
      <c r="L161" s="2">
        <f t="shared" si="44"/>
        <v>1016292</v>
      </c>
      <c r="M161" s="2">
        <f t="shared" si="45"/>
        <v>1025409</v>
      </c>
      <c r="N161" s="2">
        <f t="shared" si="46"/>
        <v>945244</v>
      </c>
      <c r="O161" s="2">
        <f t="shared" si="47"/>
        <v>1274086</v>
      </c>
      <c r="P161" s="2">
        <f t="shared" si="48"/>
        <v>1340352</v>
      </c>
      <c r="Q161" s="2">
        <f t="shared" si="49"/>
        <v>913516</v>
      </c>
      <c r="R161" s="2">
        <f t="shared" si="50"/>
        <v>1190646</v>
      </c>
      <c r="S161" s="2">
        <f t="shared" si="51"/>
        <v>1092668</v>
      </c>
      <c r="T161" s="2">
        <f t="shared" si="52"/>
        <v>1154937</v>
      </c>
      <c r="U161" s="2" t="e">
        <f t="shared" si="54"/>
        <v>#N/A</v>
      </c>
      <c r="V161" s="2" t="e">
        <f t="shared" si="55"/>
        <v>#N/A</v>
      </c>
      <c r="W161" s="2" t="e">
        <f t="shared" si="56"/>
        <v>#N/A</v>
      </c>
      <c r="X161" s="2" t="e">
        <f t="shared" si="57"/>
        <v>#N/A</v>
      </c>
      <c r="Y161" s="2" t="e">
        <f t="shared" si="58"/>
        <v>#N/A</v>
      </c>
      <c r="Z161" s="0">
        <f t="shared" ca="1" si="60"/>
        <v>1162253.6000000001</v>
      </c>
      <c r="AA161" s="0">
        <f t="shared" ca="1" si="59"/>
        <v>1030144.3</v>
      </c>
      <c r="AB161" cm="1" s="0">
        <f t="array" ref="AB161">MAX(IF(ISNUMBER(J161:Y161),J161:Y161))</f>
        <v>1340352</v>
      </c>
      <c r="AC161" cm="1" s="0">
        <f t="array" ref="AC161">MIN(IF(ISNUMBER(J161:Y161),J161:Y161))</f>
        <v>730006</v>
      </c>
      <c r="AD161" s="0">
        <f t="shared" si="53"/>
        <v>610346</v>
      </c>
    </row>
    <row r="162" spans="1:30" x14ac:dyDescent="0.2">
      <c r="A162" t="s" s="0">
        <v>3835</v>
      </c>
      <c r="B162" s="2">
        <v>816856</v>
      </c>
      <c r="C162" s="2">
        <v>17672</v>
      </c>
      <c r="D162" s="2">
        <v>35782</v>
      </c>
      <c r="E162" s="2">
        <v>37511</v>
      </c>
      <c r="F162" s="2">
        <v>48395</v>
      </c>
      <c r="G162" s="2">
        <v>35545</v>
      </c>
      <c r="I162" t="str" s="0">
        <f t="shared" si="41"/>
        <v>06/08</v>
      </c>
      <c r="J162" s="2">
        <f t="shared" si="42"/>
        <v>754732</v>
      </c>
      <c r="K162" s="2">
        <f t="shared" si="43"/>
        <v>727991</v>
      </c>
      <c r="L162" s="2">
        <f t="shared" si="44"/>
        <v>1123200</v>
      </c>
      <c r="M162" s="2">
        <f t="shared" si="45"/>
        <v>1025409</v>
      </c>
      <c r="N162" s="2">
        <f t="shared" si="46"/>
        <v>945244</v>
      </c>
      <c r="O162" s="2">
        <f t="shared" si="47"/>
        <v>1292366</v>
      </c>
      <c r="P162" s="2">
        <f t="shared" si="48"/>
        <v>1346947</v>
      </c>
      <c r="Q162" s="2">
        <f t="shared" si="49"/>
        <v>860109</v>
      </c>
      <c r="R162" s="2">
        <f t="shared" si="50"/>
        <v>1160701</v>
      </c>
      <c r="S162" s="2">
        <f t="shared" si="51"/>
        <v>1092668</v>
      </c>
      <c r="T162" s="2">
        <f t="shared" si="52"/>
        <v>1091444</v>
      </c>
      <c r="U162" s="2" t="e">
        <f t="shared" si="54"/>
        <v>#N/A</v>
      </c>
      <c r="V162" s="2" t="e">
        <f t="shared" si="55"/>
        <v>#N/A</v>
      </c>
      <c r="W162" s="2" t="e">
        <f t="shared" si="56"/>
        <v>#N/A</v>
      </c>
      <c r="X162" s="2" t="e">
        <f t="shared" si="57"/>
        <v>#N/A</v>
      </c>
      <c r="Y162" s="2" t="e">
        <f t="shared" si="58"/>
        <v>#N/A</v>
      </c>
      <c r="Z162" s="0">
        <f t="shared" ca="1" si="60"/>
        <v>1150558.2</v>
      </c>
      <c r="AA162" s="0">
        <f t="shared" ca="1" si="59"/>
        <v>1032936.7</v>
      </c>
      <c r="AB162" cm="1" s="0">
        <f t="array" ref="AB162">MAX(IF(ISNUMBER(J162:Y162),J162:Y162))</f>
        <v>1346947</v>
      </c>
      <c r="AC162" cm="1" s="0">
        <f t="array" ref="AC162">MIN(IF(ISNUMBER(J162:Y162),J162:Y162))</f>
        <v>727991</v>
      </c>
      <c r="AD162" s="0">
        <f t="shared" si="53"/>
        <v>618956</v>
      </c>
    </row>
    <row r="163" spans="1:30" x14ac:dyDescent="0.2">
      <c r="A163" t="s" s="0">
        <v>3834</v>
      </c>
      <c r="B163" s="2">
        <v>887778</v>
      </c>
      <c r="C163" s="2">
        <v>28593</v>
      </c>
      <c r="D163" s="2">
        <v>35733</v>
      </c>
      <c r="E163" s="2">
        <v>37365</v>
      </c>
      <c r="F163" s="2">
        <v>56897</v>
      </c>
      <c r="G163" s="2">
        <v>37026</v>
      </c>
      <c r="I163" t="str" s="0">
        <f t="shared" si="41"/>
        <v>06/09</v>
      </c>
      <c r="J163" s="2">
        <f t="shared" si="42"/>
        <v>692609</v>
      </c>
      <c r="K163" s="2">
        <f t="shared" si="43"/>
        <v>791306</v>
      </c>
      <c r="L163" s="2">
        <f t="shared" si="44"/>
        <v>1123200</v>
      </c>
      <c r="M163" s="2">
        <f t="shared" si="45"/>
        <v>1025409</v>
      </c>
      <c r="N163" s="2">
        <f t="shared" si="46"/>
        <v>985579</v>
      </c>
      <c r="O163" s="2">
        <f t="shared" si="47"/>
        <v>1239790</v>
      </c>
      <c r="P163" s="2">
        <f t="shared" si="48"/>
        <v>1354866</v>
      </c>
      <c r="Q163" s="2">
        <f t="shared" si="49"/>
        <v>931393</v>
      </c>
      <c r="R163" s="2">
        <f t="shared" si="50"/>
        <v>1160701</v>
      </c>
      <c r="S163" s="2">
        <f t="shared" si="51"/>
        <v>1134357</v>
      </c>
      <c r="T163" s="2">
        <f t="shared" si="52"/>
        <v>1099111</v>
      </c>
      <c r="U163" s="2" t="e">
        <f t="shared" si="54"/>
        <v>#N/A</v>
      </c>
      <c r="V163" s="2" t="e">
        <f t="shared" si="55"/>
        <v>#N/A</v>
      </c>
      <c r="W163" s="2" t="e">
        <f t="shared" si="56"/>
        <v>#N/A</v>
      </c>
      <c r="X163" s="2" t="e">
        <f t="shared" si="57"/>
        <v>#N/A</v>
      </c>
      <c r="Y163" s="2" t="e">
        <f t="shared" si="58"/>
        <v>#N/A</v>
      </c>
      <c r="Z163" s="0">
        <f t="shared" ca="1" si="60"/>
        <v>1164221.3999999999</v>
      </c>
      <c r="AA163" s="0">
        <f t="shared" ca="1" si="59"/>
        <v>1043921</v>
      </c>
      <c r="AB163" cm="1" s="0">
        <f t="array" ref="AB163">MAX(IF(ISNUMBER(J163:Y163),J163:Y163))</f>
        <v>1354866</v>
      </c>
      <c r="AC163" cm="1" s="0">
        <f t="array" ref="AC163">MIN(IF(ISNUMBER(J163:Y163),J163:Y163))</f>
        <v>692609</v>
      </c>
      <c r="AD163" s="0">
        <f t="shared" si="53"/>
        <v>662257</v>
      </c>
    </row>
    <row r="164" spans="1:30" x14ac:dyDescent="0.2">
      <c r="A164" t="s" s="0">
        <v>3833</v>
      </c>
      <c r="B164" s="2">
        <v>852465</v>
      </c>
      <c r="C164" s="2">
        <v>35502</v>
      </c>
      <c r="D164" s="2">
        <v>35684</v>
      </c>
      <c r="E164" s="2">
        <v>37419</v>
      </c>
      <c r="F164" s="2">
        <v>43764</v>
      </c>
      <c r="G164" s="2">
        <v>36497</v>
      </c>
      <c r="I164" t="str" s="0">
        <f t="shared" si="41"/>
        <v>06/10</v>
      </c>
      <c r="J164" s="2">
        <f t="shared" si="42"/>
        <v>706066</v>
      </c>
      <c r="K164" s="2">
        <f t="shared" si="43"/>
        <v>791306</v>
      </c>
      <c r="L164" s="2">
        <f t="shared" si="44"/>
        <v>1123200</v>
      </c>
      <c r="M164" s="2">
        <f t="shared" si="45"/>
        <v>1174533</v>
      </c>
      <c r="N164" s="2">
        <f t="shared" si="46"/>
        <v>926900</v>
      </c>
      <c r="O164" s="2">
        <f t="shared" si="47"/>
        <v>1194071</v>
      </c>
      <c r="P164" s="2">
        <f t="shared" si="48"/>
        <v>1382447</v>
      </c>
      <c r="Q164" s="2">
        <f t="shared" si="49"/>
        <v>931393</v>
      </c>
      <c r="R164" s="2">
        <f t="shared" si="50"/>
        <v>1160701</v>
      </c>
      <c r="S164" s="2">
        <f t="shared" si="51"/>
        <v>1139375</v>
      </c>
      <c r="T164" s="2">
        <f t="shared" si="52"/>
        <v>1122385</v>
      </c>
      <c r="U164" s="2" t="e">
        <f t="shared" si="54"/>
        <v>#N/A</v>
      </c>
      <c r="V164" s="2" t="e">
        <f t="shared" si="55"/>
        <v>#N/A</v>
      </c>
      <c r="W164" s="2" t="e">
        <f t="shared" si="56"/>
        <v>#N/A</v>
      </c>
      <c r="X164" s="2" t="e">
        <f t="shared" si="57"/>
        <v>#N/A</v>
      </c>
      <c r="Y164" s="2" t="e">
        <f t="shared" si="58"/>
        <v>#N/A</v>
      </c>
      <c r="Z164" s="0">
        <f t="shared" ca="1" si="60"/>
        <v>1161597.3999999999</v>
      </c>
      <c r="AA164" s="0">
        <f t="shared" ca="1" si="59"/>
        <v>1052999.2</v>
      </c>
      <c r="AB164" cm="1" s="0">
        <f t="array" ref="AB164">MAX(IF(ISNUMBER(J164:Y164),J164:Y164))</f>
        <v>1382447</v>
      </c>
      <c r="AC164" cm="1" s="0">
        <f t="array" ref="AC164">MIN(IF(ISNUMBER(J164:Y164),J164:Y164))</f>
        <v>706066</v>
      </c>
      <c r="AD164" s="0">
        <f t="shared" si="53"/>
        <v>676381</v>
      </c>
    </row>
    <row r="165" spans="1:30" x14ac:dyDescent="0.2">
      <c r="A165" t="s" s="0">
        <v>3832</v>
      </c>
      <c r="B165" s="2">
        <v>1053372</v>
      </c>
      <c r="C165" s="2">
        <v>31233</v>
      </c>
      <c r="D165" s="2">
        <v>34014</v>
      </c>
      <c r="E165" s="2">
        <v>37104</v>
      </c>
      <c r="F165" s="2">
        <v>71034</v>
      </c>
      <c r="G165" s="2">
        <v>43780</v>
      </c>
      <c r="I165" t="str" s="0">
        <f t="shared" si="41"/>
        <v>06/11</v>
      </c>
      <c r="J165" s="2">
        <f t="shared" si="42"/>
        <v>662635</v>
      </c>
      <c r="K165" s="2">
        <f t="shared" si="43"/>
        <v>791306</v>
      </c>
      <c r="L165" s="2">
        <f t="shared" si="44"/>
        <v>1105939</v>
      </c>
      <c r="M165" s="2">
        <f t="shared" si="45"/>
        <v>1184337</v>
      </c>
      <c r="N165" s="2">
        <f t="shared" si="46"/>
        <v>856769</v>
      </c>
      <c r="O165" s="2">
        <f t="shared" si="47"/>
        <v>1276824</v>
      </c>
      <c r="P165" s="2">
        <f t="shared" si="48"/>
        <v>1382447</v>
      </c>
      <c r="Q165" s="2">
        <f t="shared" si="49"/>
        <v>931393</v>
      </c>
      <c r="R165" s="2">
        <f t="shared" si="50"/>
        <v>1175229</v>
      </c>
      <c r="S165" s="2">
        <f t="shared" si="51"/>
        <v>1145124</v>
      </c>
      <c r="T165" s="2">
        <f t="shared" si="52"/>
        <v>1097524</v>
      </c>
      <c r="U165" s="2" t="e">
        <f t="shared" si="54"/>
        <v>#N/A</v>
      </c>
      <c r="V165" s="2" t="e">
        <f t="shared" si="55"/>
        <v>#N/A</v>
      </c>
      <c r="W165" s="2" t="e">
        <f t="shared" si="56"/>
        <v>#N/A</v>
      </c>
      <c r="X165" s="2" t="e">
        <f t="shared" si="57"/>
        <v>#N/A</v>
      </c>
      <c r="Y165" s="2" t="e">
        <f t="shared" si="58"/>
        <v>#N/A</v>
      </c>
      <c r="Z165" s="0">
        <f t="shared" ca="1" si="60"/>
        <v>1182203.3999999999</v>
      </c>
      <c r="AA165" s="0">
        <f t="shared" ca="1" si="59"/>
        <v>1051200.3</v>
      </c>
      <c r="AB165" cm="1" s="0">
        <f t="array" ref="AB165">MAX(IF(ISNUMBER(J165:Y165),J165:Y165))</f>
        <v>1382447</v>
      </c>
      <c r="AC165" cm="1" s="0">
        <f t="array" ref="AC165">MIN(IF(ISNUMBER(J165:Y165),J165:Y165))</f>
        <v>662635</v>
      </c>
      <c r="AD165" s="0">
        <f t="shared" si="53"/>
        <v>719812</v>
      </c>
    </row>
    <row r="166" spans="1:30" x14ac:dyDescent="0.2">
      <c r="A166" t="s" s="0">
        <v>3831</v>
      </c>
      <c r="B166" s="2">
        <v>1029069</v>
      </c>
      <c r="C166" s="2">
        <v>34446</v>
      </c>
      <c r="D166" s="2">
        <v>34733</v>
      </c>
      <c r="E166" s="2">
        <v>36662</v>
      </c>
      <c r="F166" s="2">
        <v>72469</v>
      </c>
      <c r="G166" s="2">
        <v>44402</v>
      </c>
      <c r="I166" t="str" s="0">
        <f t="shared" si="41"/>
        <v>06/12</v>
      </c>
      <c r="J166" s="2">
        <f t="shared" si="42"/>
        <v>662635</v>
      </c>
      <c r="K166" s="2">
        <f t="shared" si="43"/>
        <v>806928</v>
      </c>
      <c r="L166" s="2">
        <f t="shared" si="44"/>
        <v>1184438</v>
      </c>
      <c r="M166" s="2">
        <f t="shared" si="45"/>
        <v>1125435</v>
      </c>
      <c r="N166" s="2">
        <f t="shared" si="46"/>
        <v>830998</v>
      </c>
      <c r="O166" s="2">
        <f t="shared" si="47"/>
        <v>1276824</v>
      </c>
      <c r="P166" s="2">
        <f t="shared" si="48"/>
        <v>1382447</v>
      </c>
      <c r="Q166" s="2">
        <f t="shared" si="49"/>
        <v>942336</v>
      </c>
      <c r="R166" s="2">
        <f t="shared" si="50"/>
        <v>1131071</v>
      </c>
      <c r="S166" s="2">
        <f t="shared" si="51"/>
        <v>1156542</v>
      </c>
      <c r="T166" s="2">
        <f t="shared" si="52"/>
        <v>1134829</v>
      </c>
      <c r="U166" s="2" t="e">
        <f t="shared" si="54"/>
        <v>#N/A</v>
      </c>
      <c r="V166" s="2" t="e">
        <f t="shared" si="55"/>
        <v>#N/A</v>
      </c>
      <c r="W166" s="2" t="e">
        <f t="shared" si="56"/>
        <v>#N/A</v>
      </c>
      <c r="X166" s="2" t="e">
        <f t="shared" si="57"/>
        <v>#N/A</v>
      </c>
      <c r="Y166" s="2" t="e">
        <f t="shared" si="58"/>
        <v>#N/A</v>
      </c>
      <c r="Z166" s="0">
        <f t="shared" ca="1" si="60"/>
        <v>1177844</v>
      </c>
      <c r="AA166" s="0">
        <f t="shared" ca="1" si="59"/>
        <v>1049965.3999999999</v>
      </c>
      <c r="AB166" cm="1" s="0">
        <f t="array" ref="AB166">MAX(IF(ISNUMBER(J166:Y166),J166:Y166))</f>
        <v>1382447</v>
      </c>
      <c r="AC166" cm="1" s="0">
        <f t="array" ref="AC166">MIN(IF(ISNUMBER(J166:Y166),J166:Y166))</f>
        <v>662635</v>
      </c>
      <c r="AD166" s="0">
        <f t="shared" si="53"/>
        <v>719812</v>
      </c>
    </row>
    <row r="167" spans="1:30" x14ac:dyDescent="0.2">
      <c r="A167" t="s" s="0">
        <v>3830</v>
      </c>
      <c r="B167" s="3">
        <v>1029069</v>
      </c>
      <c r="C167" s="3">
        <v>34446</v>
      </c>
      <c r="D167" s="3">
        <v>34733</v>
      </c>
      <c r="E167" s="3">
        <v>36662</v>
      </c>
      <c r="F167" s="3">
        <v>72469</v>
      </c>
      <c r="G167" s="3">
        <v>44402</v>
      </c>
      <c r="I167" t="str" s="0">
        <f t="shared" si="41"/>
        <v>06/13</v>
      </c>
      <c r="J167" s="2">
        <f t="shared" si="42"/>
        <v>662635</v>
      </c>
      <c r="K167" s="2">
        <f t="shared" si="43"/>
        <v>791740</v>
      </c>
      <c r="L167" s="2">
        <f t="shared" si="44"/>
        <v>1191573</v>
      </c>
      <c r="M167" s="2">
        <f t="shared" si="45"/>
        <v>1225823</v>
      </c>
      <c r="N167" s="2">
        <f t="shared" si="46"/>
        <v>1052238</v>
      </c>
      <c r="O167" s="2">
        <f t="shared" si="47"/>
        <v>1276824</v>
      </c>
      <c r="P167" s="2">
        <f t="shared" si="48"/>
        <v>1256957</v>
      </c>
      <c r="Q167" s="2">
        <f t="shared" si="49"/>
        <v>906348</v>
      </c>
      <c r="R167" s="2">
        <f t="shared" si="50"/>
        <v>1102210</v>
      </c>
      <c r="S167" s="2">
        <f t="shared" si="51"/>
        <v>1118215</v>
      </c>
      <c r="T167" s="2">
        <f t="shared" si="52"/>
        <v>1134829</v>
      </c>
      <c r="U167" s="2" t="e">
        <f t="shared" si="54"/>
        <v>#N/A</v>
      </c>
      <c r="V167" s="2" t="e">
        <f t="shared" si="55"/>
        <v>#N/A</v>
      </c>
      <c r="W167" s="2" t="e">
        <f t="shared" si="56"/>
        <v>#N/A</v>
      </c>
      <c r="X167" s="2" t="e">
        <f t="shared" si="57"/>
        <v>#N/A</v>
      </c>
      <c r="Y167" s="2" t="e">
        <f t="shared" si="58"/>
        <v>#N/A</v>
      </c>
      <c r="Z167" s="0">
        <f t="shared" ca="1" si="60"/>
        <v>1132110.8</v>
      </c>
      <c r="AA167" s="0">
        <f t="shared" ca="1" si="59"/>
        <v>1058456.3</v>
      </c>
      <c r="AB167" cm="1" s="0">
        <f t="array" ref="AB167">MAX(IF(ISNUMBER(J167:Y167),J167:Y167))</f>
        <v>1276824</v>
      </c>
      <c r="AC167" cm="1" s="0">
        <f t="array" ref="AC167">MIN(IF(ISNUMBER(J167:Y167),J167:Y167))</f>
        <v>662635</v>
      </c>
      <c r="AD167" s="0">
        <f t="shared" si="53"/>
        <v>614189</v>
      </c>
    </row>
    <row r="168" spans="1:30" x14ac:dyDescent="0.2">
      <c r="A168" t="s" s="0">
        <v>3829</v>
      </c>
      <c r="B168" s="3">
        <v>1029069</v>
      </c>
      <c r="C168" s="3">
        <v>34446</v>
      </c>
      <c r="D168" s="3">
        <v>34733</v>
      </c>
      <c r="E168" s="3">
        <v>36662</v>
      </c>
      <c r="F168" s="3">
        <v>72469</v>
      </c>
      <c r="G168" s="3">
        <v>44402</v>
      </c>
      <c r="I168" t="str" s="0">
        <f t="shared" si="41"/>
        <v>06/14</v>
      </c>
      <c r="J168" s="2">
        <f t="shared" si="42"/>
        <v>741498</v>
      </c>
      <c r="K168" s="2">
        <f t="shared" si="43"/>
        <v>847993</v>
      </c>
      <c r="L168" s="2">
        <f t="shared" si="44"/>
        <v>1176619</v>
      </c>
      <c r="M168" s="2">
        <f t="shared" si="45"/>
        <v>1158145</v>
      </c>
      <c r="N168" s="2">
        <f t="shared" si="46"/>
        <v>1052238</v>
      </c>
      <c r="O168" s="2">
        <f t="shared" si="47"/>
        <v>1241995</v>
      </c>
      <c r="P168" s="2">
        <f t="shared" si="48"/>
        <v>1206439</v>
      </c>
      <c r="Q168" s="2">
        <f t="shared" si="49"/>
        <v>850942</v>
      </c>
      <c r="R168" s="2">
        <f t="shared" si="50"/>
        <v>1093965</v>
      </c>
      <c r="S168" s="2">
        <f t="shared" si="51"/>
        <v>1118215</v>
      </c>
      <c r="T168" s="2">
        <f t="shared" si="52"/>
        <v>1134829</v>
      </c>
      <c r="U168" s="2" t="e">
        <f t="shared" si="54"/>
        <v>#N/A</v>
      </c>
      <c r="V168" s="2" t="e">
        <f t="shared" si="55"/>
        <v>#N/A</v>
      </c>
      <c r="W168" s="2" t="e">
        <f t="shared" si="56"/>
        <v>#N/A</v>
      </c>
      <c r="X168" s="2" t="e">
        <f t="shared" si="57"/>
        <v>#N/A</v>
      </c>
      <c r="Y168" s="2" t="e">
        <f t="shared" si="58"/>
        <v>#N/A</v>
      </c>
      <c r="Z168" s="0">
        <f t="shared" ca="1" si="60"/>
        <v>1102311.2</v>
      </c>
      <c r="AA168" s="0">
        <f t="shared" ca="1" si="59"/>
        <v>1048804.8999999999</v>
      </c>
      <c r="AB168" cm="1" s="0">
        <f t="array" ref="AB168">MAX(IF(ISNUMBER(J168:Y168),J168:Y168))</f>
        <v>1241995</v>
      </c>
      <c r="AC168" cm="1" s="0">
        <f t="array" ref="AC168">MIN(IF(ISNUMBER(J168:Y168),J168:Y168))</f>
        <v>741498</v>
      </c>
      <c r="AD168" s="0">
        <f t="shared" si="53"/>
        <v>500497</v>
      </c>
    </row>
    <row r="169" spans="1:30" x14ac:dyDescent="0.2">
      <c r="A169" t="s" s="0">
        <v>3828</v>
      </c>
      <c r="B169" s="2">
        <v>1135443</v>
      </c>
      <c r="C169" s="2">
        <v>19857</v>
      </c>
      <c r="D169" s="2">
        <v>32188</v>
      </c>
      <c r="E169" s="2">
        <v>36251</v>
      </c>
      <c r="F169" s="2">
        <v>76630</v>
      </c>
      <c r="G169" s="2">
        <v>48149</v>
      </c>
      <c r="I169" t="str" s="0">
        <f t="shared" si="41"/>
        <v>06/15</v>
      </c>
      <c r="J169" s="2">
        <f t="shared" si="42"/>
        <v>736996</v>
      </c>
      <c r="K169" s="2">
        <f t="shared" si="43"/>
        <v>910581</v>
      </c>
      <c r="L169" s="2">
        <f t="shared" si="44"/>
        <v>1143074</v>
      </c>
      <c r="M169" s="2">
        <f t="shared" si="45"/>
        <v>1158145</v>
      </c>
      <c r="N169" s="2">
        <f t="shared" si="46"/>
        <v>1052238</v>
      </c>
      <c r="O169" s="2">
        <f t="shared" si="47"/>
        <v>1354129</v>
      </c>
      <c r="P169" s="2">
        <f t="shared" si="48"/>
        <v>1279961</v>
      </c>
      <c r="Q169" s="2">
        <f t="shared" si="49"/>
        <v>804612</v>
      </c>
      <c r="R169" s="2">
        <f t="shared" si="50"/>
        <v>1162008</v>
      </c>
      <c r="S169" s="2">
        <f t="shared" si="51"/>
        <v>1118215</v>
      </c>
      <c r="T169" s="2">
        <f t="shared" si="52"/>
        <v>1174498</v>
      </c>
      <c r="U169" s="2" t="e">
        <f t="shared" si="54"/>
        <v>#N/A</v>
      </c>
      <c r="V169" s="2" t="e">
        <f t="shared" si="55"/>
        <v>#N/A</v>
      </c>
      <c r="W169" s="2" t="e">
        <f t="shared" si="56"/>
        <v>#N/A</v>
      </c>
      <c r="X169" s="2" t="e">
        <f t="shared" si="57"/>
        <v>#N/A</v>
      </c>
      <c r="Y169" s="2" t="e">
        <f t="shared" si="58"/>
        <v>#N/A</v>
      </c>
      <c r="Z169" s="0">
        <f t="shared" ca="1" si="60"/>
        <v>1143785</v>
      </c>
      <c r="AA169" s="0">
        <f t="shared" ca="1" si="59"/>
        <v>1071995.8999999999</v>
      </c>
      <c r="AB169" cm="1" s="0">
        <f t="array" ref="AB169">MAX(IF(ISNUMBER(J169:Y169),J169:Y169))</f>
        <v>1354129</v>
      </c>
      <c r="AC169" cm="1" s="0">
        <f t="array" ref="AC169">MIN(IF(ISNUMBER(J169:Y169),J169:Y169))</f>
        <v>736996</v>
      </c>
      <c r="AD169" s="0">
        <f t="shared" si="53"/>
        <v>617133</v>
      </c>
    </row>
    <row r="170" spans="1:30" x14ac:dyDescent="0.2">
      <c r="A170" t="s" s="0">
        <v>3827</v>
      </c>
      <c r="B170" s="2">
        <v>1101735</v>
      </c>
      <c r="C170" s="2">
        <v>33575</v>
      </c>
      <c r="D170" s="2">
        <v>32900</v>
      </c>
      <c r="E170" s="2">
        <v>36341</v>
      </c>
      <c r="F170" s="2">
        <v>62395</v>
      </c>
      <c r="G170" s="2">
        <v>47075</v>
      </c>
      <c r="I170" t="str" s="0">
        <f t="shared" si="41"/>
        <v>06/16</v>
      </c>
      <c r="J170" s="2">
        <f t="shared" si="42"/>
        <v>707090</v>
      </c>
      <c r="K170" s="2">
        <f t="shared" si="43"/>
        <v>928623</v>
      </c>
      <c r="L170" s="2">
        <f t="shared" si="44"/>
        <v>1143074</v>
      </c>
      <c r="M170" s="2">
        <f t="shared" si="45"/>
        <v>1158145</v>
      </c>
      <c r="N170" s="2">
        <f t="shared" si="46"/>
        <v>908459</v>
      </c>
      <c r="O170" s="2">
        <f t="shared" si="47"/>
        <v>1329885</v>
      </c>
      <c r="P170" s="2">
        <f t="shared" si="48"/>
        <v>1257552</v>
      </c>
      <c r="Q170" s="2">
        <f t="shared" si="49"/>
        <v>920951</v>
      </c>
      <c r="R170" s="2">
        <f t="shared" si="50"/>
        <v>1162008</v>
      </c>
      <c r="S170" s="2">
        <f t="shared" si="51"/>
        <v>1134892</v>
      </c>
      <c r="T170" s="2">
        <f t="shared" si="52"/>
        <v>1186868</v>
      </c>
      <c r="U170" s="2" t="e">
        <f t="shared" si="54"/>
        <v>#N/A</v>
      </c>
      <c r="V170" s="2" t="e">
        <f t="shared" si="55"/>
        <v>#N/A</v>
      </c>
      <c r="W170" s="2" t="e">
        <f t="shared" si="56"/>
        <v>#N/A</v>
      </c>
      <c r="X170" s="2" t="e">
        <f t="shared" si="57"/>
        <v>#N/A</v>
      </c>
      <c r="Y170" s="2" t="e">
        <f t="shared" si="58"/>
        <v>#N/A</v>
      </c>
      <c r="Z170" s="0">
        <f t="shared" ca="1" si="60"/>
        <v>1161057.6000000001</v>
      </c>
      <c r="AA170" s="0">
        <f t="shared" ca="1" si="59"/>
        <v>1065067.8999999999</v>
      </c>
      <c r="AB170" cm="1" s="0">
        <f t="array" ref="AB170">MAX(IF(ISNUMBER(J170:Y170),J170:Y170))</f>
        <v>1329885</v>
      </c>
      <c r="AC170" cm="1" s="0">
        <f t="array" ref="AC170">MIN(IF(ISNUMBER(J170:Y170),J170:Y170))</f>
        <v>707090</v>
      </c>
      <c r="AD170" s="0">
        <f t="shared" si="53"/>
        <v>622795</v>
      </c>
    </row>
    <row r="171" spans="1:30" x14ac:dyDescent="0.2">
      <c r="A171" t="s" s="0">
        <v>3826</v>
      </c>
      <c r="B171" s="2">
        <v>1071832</v>
      </c>
      <c r="C171" s="2">
        <v>36927</v>
      </c>
      <c r="D171" s="2">
        <v>36385</v>
      </c>
      <c r="E171" s="2">
        <v>37323</v>
      </c>
      <c r="F171" s="2">
        <v>66653</v>
      </c>
      <c r="G171" s="2">
        <v>47108</v>
      </c>
      <c r="I171" t="str" s="0">
        <f t="shared" si="41"/>
        <v>06/17</v>
      </c>
      <c r="J171" s="2">
        <f t="shared" si="42"/>
        <v>769335</v>
      </c>
      <c r="K171" s="2">
        <f t="shared" si="43"/>
        <v>928623</v>
      </c>
      <c r="L171" s="2">
        <f t="shared" si="44"/>
        <v>1143074</v>
      </c>
      <c r="M171" s="2">
        <f t="shared" si="45"/>
        <v>1108813</v>
      </c>
      <c r="N171" s="2">
        <f t="shared" si="46"/>
        <v>985382</v>
      </c>
      <c r="O171" s="2">
        <f t="shared" si="47"/>
        <v>1314348</v>
      </c>
      <c r="P171" s="2">
        <f t="shared" si="48"/>
        <v>1299696</v>
      </c>
      <c r="Q171" s="2">
        <f t="shared" si="49"/>
        <v>920951</v>
      </c>
      <c r="R171" s="2">
        <f t="shared" si="50"/>
        <v>1162008</v>
      </c>
      <c r="S171" s="2">
        <f t="shared" si="51"/>
        <v>1141798</v>
      </c>
      <c r="T171" s="2">
        <f t="shared" si="52"/>
        <v>1107890</v>
      </c>
      <c r="U171" s="2" t="e">
        <f t="shared" si="54"/>
        <v>#N/A</v>
      </c>
      <c r="V171" s="2" t="e">
        <f t="shared" si="55"/>
        <v>#N/A</v>
      </c>
      <c r="W171" s="2" t="e">
        <f t="shared" si="56"/>
        <v>#N/A</v>
      </c>
      <c r="X171" s="2" t="e">
        <f t="shared" si="57"/>
        <v>#N/A</v>
      </c>
      <c r="Y171" s="2" t="e">
        <f t="shared" si="58"/>
        <v>#N/A</v>
      </c>
      <c r="Z171" s="0">
        <f t="shared" ca="1" si="60"/>
        <v>1167760.2</v>
      </c>
      <c r="AA171" s="0">
        <f t="shared" ca="1" si="59"/>
        <v>1077402.8</v>
      </c>
      <c r="AB171" cm="1" s="0">
        <f t="array" ref="AB171">MAX(IF(ISNUMBER(J171:Y171),J171:Y171))</f>
        <v>1314348</v>
      </c>
      <c r="AC171" cm="1" s="0">
        <f t="array" ref="AC171">MIN(IF(ISNUMBER(J171:Y171),J171:Y171))</f>
        <v>769335</v>
      </c>
      <c r="AD171" s="0">
        <f t="shared" si="53"/>
        <v>545013</v>
      </c>
    </row>
    <row r="172" spans="1:30" x14ac:dyDescent="0.2">
      <c r="A172" t="s" s="0">
        <v>3825</v>
      </c>
      <c r="B172" s="2">
        <v>1071564</v>
      </c>
      <c r="C172" s="2">
        <v>42034</v>
      </c>
      <c r="D172" s="2">
        <v>39029</v>
      </c>
      <c r="E172" s="2">
        <v>35963</v>
      </c>
      <c r="F172" s="2">
        <v>40588</v>
      </c>
      <c r="G172" s="2">
        <v>47631</v>
      </c>
      <c r="I172" t="str" s="0">
        <f t="shared" si="41"/>
        <v>06/18</v>
      </c>
      <c r="J172" s="2">
        <f t="shared" si="42"/>
        <v>807413</v>
      </c>
      <c r="K172" s="2">
        <f t="shared" si="43"/>
        <v>928623</v>
      </c>
      <c r="L172" s="2">
        <f t="shared" si="44"/>
        <v>1138743</v>
      </c>
      <c r="M172" s="2">
        <f t="shared" si="45"/>
        <v>1160595</v>
      </c>
      <c r="N172" s="2">
        <f t="shared" si="46"/>
        <v>933560</v>
      </c>
      <c r="O172" s="2">
        <f t="shared" si="47"/>
        <v>1345080</v>
      </c>
      <c r="P172" s="2">
        <f t="shared" si="48"/>
        <v>1299696</v>
      </c>
      <c r="Q172" s="2">
        <f t="shared" si="49"/>
        <v>920951</v>
      </c>
      <c r="R172" s="2">
        <f t="shared" si="50"/>
        <v>1121060</v>
      </c>
      <c r="S172" s="2">
        <f t="shared" si="51"/>
        <v>1192959</v>
      </c>
      <c r="T172" s="2">
        <f t="shared" si="52"/>
        <v>1086758</v>
      </c>
      <c r="U172" s="2" t="e">
        <f t="shared" si="54"/>
        <v>#N/A</v>
      </c>
      <c r="V172" s="2" t="e">
        <f t="shared" si="55"/>
        <v>#N/A</v>
      </c>
      <c r="W172" s="2" t="e">
        <f t="shared" si="56"/>
        <v>#N/A</v>
      </c>
      <c r="X172" s="2" t="e">
        <f t="shared" si="57"/>
        <v>#N/A</v>
      </c>
      <c r="Y172" s="2" t="e">
        <f t="shared" si="58"/>
        <v>#N/A</v>
      </c>
      <c r="Z172" s="0">
        <f t="shared" ca="1" si="60"/>
        <v>1175949.2</v>
      </c>
      <c r="AA172" s="0">
        <f t="shared" ca="1" si="59"/>
        <v>1084868</v>
      </c>
      <c r="AB172" cm="1" s="0">
        <f t="array" ref="AB172">MAX(IF(ISNUMBER(J172:Y172),J172:Y172))</f>
        <v>1345080</v>
      </c>
      <c r="AC172" cm="1" s="0">
        <f t="array" ref="AC172">MIN(IF(ISNUMBER(J172:Y172),J172:Y172))</f>
        <v>807413</v>
      </c>
      <c r="AD172" s="0">
        <f t="shared" si="53"/>
        <v>537667</v>
      </c>
    </row>
    <row r="173" spans="1:30" x14ac:dyDescent="0.2">
      <c r="A173" t="s" s="0">
        <v>3824</v>
      </c>
      <c r="B173" s="2">
        <v>1107196</v>
      </c>
      <c r="C173" s="2">
        <v>39831</v>
      </c>
      <c r="D173" s="2">
        <v>40939</v>
      </c>
      <c r="E173" s="2">
        <v>36588</v>
      </c>
      <c r="F173" s="2">
        <v>51289</v>
      </c>
      <c r="G173" s="2">
        <v>50676</v>
      </c>
      <c r="I173" t="str" s="0">
        <f t="shared" si="41"/>
        <v>06/19</v>
      </c>
      <c r="J173" s="2">
        <f t="shared" si="42"/>
        <v>807413</v>
      </c>
      <c r="K173" s="2">
        <f t="shared" si="43"/>
        <v>958741</v>
      </c>
      <c r="L173" s="2">
        <f t="shared" si="44"/>
        <v>1074724</v>
      </c>
      <c r="M173" s="2">
        <f t="shared" si="45"/>
        <v>1144055</v>
      </c>
      <c r="N173" s="2">
        <f t="shared" si="46"/>
        <v>959932</v>
      </c>
      <c r="O173" s="2">
        <f t="shared" si="47"/>
        <v>1345080</v>
      </c>
      <c r="P173" s="2">
        <f t="shared" si="48"/>
        <v>1299696</v>
      </c>
      <c r="Q173" s="2">
        <f t="shared" si="49"/>
        <v>971949</v>
      </c>
      <c r="R173" s="2">
        <f t="shared" si="50"/>
        <v>1190864</v>
      </c>
      <c r="S173" s="2">
        <f t="shared" si="51"/>
        <v>1232155</v>
      </c>
      <c r="T173" s="2">
        <f t="shared" si="52"/>
        <v>1048189</v>
      </c>
      <c r="U173" s="2" t="e">
        <f t="shared" si="54"/>
        <v>#N/A</v>
      </c>
      <c r="V173" s="2" t="e">
        <f t="shared" si="55"/>
        <v>#N/A</v>
      </c>
      <c r="W173" s="2" t="e">
        <f t="shared" si="56"/>
        <v>#N/A</v>
      </c>
      <c r="X173" s="2" t="e">
        <f t="shared" si="57"/>
        <v>#N/A</v>
      </c>
      <c r="Y173" s="2" t="e">
        <f t="shared" si="58"/>
        <v>#N/A</v>
      </c>
      <c r="Z173" s="0">
        <f t="shared" ca="1" si="60"/>
        <v>1207948.8</v>
      </c>
      <c r="AA173" s="0">
        <f t="shared" ca="1" si="59"/>
        <v>1098460.8999999999</v>
      </c>
      <c r="AB173" cm="1" s="0">
        <f t="array" ref="AB173">MAX(IF(ISNUMBER(J173:Y173),J173:Y173))</f>
        <v>1345080</v>
      </c>
      <c r="AC173" cm="1" s="0">
        <f t="array" ref="AC173">MIN(IF(ISNUMBER(J173:Y173),J173:Y173))</f>
        <v>807413</v>
      </c>
      <c r="AD173" s="0">
        <f t="shared" si="53"/>
        <v>537667</v>
      </c>
    </row>
    <row r="174" spans="1:30" x14ac:dyDescent="0.2">
      <c r="A174" t="s" s="0">
        <v>3823</v>
      </c>
      <c r="B174" s="3">
        <v>1107196</v>
      </c>
      <c r="C174" s="3">
        <v>39831</v>
      </c>
      <c r="D174" s="3">
        <v>40939</v>
      </c>
      <c r="E174" s="3">
        <v>36588</v>
      </c>
      <c r="F174" s="3">
        <v>51289</v>
      </c>
      <c r="G174" s="3">
        <v>50676</v>
      </c>
      <c r="I174" t="str" s="0">
        <f t="shared" si="41"/>
        <v>06/20</v>
      </c>
      <c r="J174" s="2">
        <f t="shared" si="42"/>
        <v>807413</v>
      </c>
      <c r="K174" s="2">
        <f t="shared" si="43"/>
        <v>934514</v>
      </c>
      <c r="L174" s="2">
        <f t="shared" si="44"/>
        <v>1040402</v>
      </c>
      <c r="M174" s="2">
        <f t="shared" si="45"/>
        <v>1149755</v>
      </c>
      <c r="N174" s="2">
        <f t="shared" si="46"/>
        <v>963561</v>
      </c>
      <c r="O174" s="2">
        <f t="shared" si="47"/>
        <v>1345080</v>
      </c>
      <c r="P174" s="2">
        <f t="shared" si="48"/>
        <v>1313510</v>
      </c>
      <c r="Q174" s="2">
        <f t="shared" si="49"/>
        <v>953218</v>
      </c>
      <c r="R174" s="2">
        <f t="shared" si="50"/>
        <v>1192420</v>
      </c>
      <c r="S174" s="2">
        <f t="shared" si="51"/>
        <v>1159083</v>
      </c>
      <c r="T174" s="2">
        <f t="shared" si="52"/>
        <v>1048189</v>
      </c>
      <c r="U174" s="2" t="e">
        <f t="shared" si="54"/>
        <v>#N/A</v>
      </c>
      <c r="V174" s="2" t="e">
        <f t="shared" si="55"/>
        <v>#N/A</v>
      </c>
      <c r="W174" s="2" t="e">
        <f t="shared" si="56"/>
        <v>#N/A</v>
      </c>
      <c r="X174" s="2" t="e">
        <f t="shared" si="57"/>
        <v>#N/A</v>
      </c>
      <c r="Y174" s="2" t="e">
        <f t="shared" si="58"/>
        <v>#N/A</v>
      </c>
      <c r="Z174" s="0">
        <f t="shared" ca="1" si="60"/>
        <v>1192662.2</v>
      </c>
      <c r="AA174" s="0">
        <f t="shared" ca="1" si="59"/>
        <v>1085895.6000000001</v>
      </c>
      <c r="AB174" cm="1" s="0">
        <f t="array" ref="AB174">MAX(IF(ISNUMBER(J174:Y174),J174:Y174))</f>
        <v>1345080</v>
      </c>
      <c r="AC174" cm="1" s="0">
        <f t="array" ref="AC174">MIN(IF(ISNUMBER(J174:Y174),J174:Y174))</f>
        <v>807413</v>
      </c>
      <c r="AD174" s="0">
        <f t="shared" si="53"/>
        <v>537667</v>
      </c>
    </row>
    <row r="175" spans="1:30" x14ac:dyDescent="0.2">
      <c r="A175" t="s" s="0">
        <v>3822</v>
      </c>
      <c r="B175" s="3">
        <v>1107196</v>
      </c>
      <c r="C175" s="3">
        <v>39831</v>
      </c>
      <c r="D175" s="3">
        <v>40939</v>
      </c>
      <c r="E175" s="3">
        <v>36588</v>
      </c>
      <c r="F175" s="3">
        <v>51289</v>
      </c>
      <c r="G175" s="3">
        <v>50676</v>
      </c>
      <c r="I175" t="str" s="0">
        <f t="shared" si="41"/>
        <v>06/21</v>
      </c>
      <c r="J175" s="2">
        <f t="shared" si="42"/>
        <v>791802</v>
      </c>
      <c r="K175" s="2">
        <f t="shared" si="43"/>
        <v>1120585</v>
      </c>
      <c r="L175" s="2">
        <f t="shared" si="44"/>
        <v>1057132</v>
      </c>
      <c r="M175" s="2">
        <f t="shared" si="45"/>
        <v>1218876</v>
      </c>
      <c r="N175" s="2">
        <f t="shared" si="46"/>
        <v>963561</v>
      </c>
      <c r="O175" s="2">
        <f t="shared" si="47"/>
        <v>1280896</v>
      </c>
      <c r="P175" s="2">
        <f t="shared" si="48"/>
        <v>1281617</v>
      </c>
      <c r="Q175" s="2">
        <f t="shared" si="49"/>
        <v>912317</v>
      </c>
      <c r="R175" s="2">
        <f t="shared" si="50"/>
        <v>1187440</v>
      </c>
      <c r="S175" s="2">
        <f t="shared" si="51"/>
        <v>1159083</v>
      </c>
      <c r="T175" s="2">
        <f t="shared" si="52"/>
        <v>1048189</v>
      </c>
      <c r="U175" s="2" t="e">
        <f t="shared" si="54"/>
        <v>#N/A</v>
      </c>
      <c r="V175" s="2" t="e">
        <f t="shared" si="55"/>
        <v>#N/A</v>
      </c>
      <c r="W175" s="2" t="e">
        <f t="shared" si="56"/>
        <v>#N/A</v>
      </c>
      <c r="X175" s="2" t="e">
        <f t="shared" si="57"/>
        <v>#N/A</v>
      </c>
      <c r="Y175" s="2" t="e">
        <f t="shared" si="58"/>
        <v>#N/A</v>
      </c>
      <c r="Z175" s="0">
        <f t="shared" ca="1" si="60"/>
        <v>1164270.6000000001</v>
      </c>
      <c r="AA175" s="0">
        <f t="shared" ca="1" si="59"/>
        <v>1097330.8999999999</v>
      </c>
      <c r="AB175" cm="1" s="0">
        <f t="array" ref="AB175">MAX(IF(ISNUMBER(J175:Y175),J175:Y175))</f>
        <v>1281617</v>
      </c>
      <c r="AC175" cm="1" s="0">
        <f t="array" ref="AC175">MIN(IF(ISNUMBER(J175:Y175),J175:Y175))</f>
        <v>791802</v>
      </c>
      <c r="AD175" s="0">
        <f t="shared" si="53"/>
        <v>489815</v>
      </c>
    </row>
    <row r="176" spans="1:30" x14ac:dyDescent="0.2">
      <c r="A176" t="s" s="0">
        <v>3821</v>
      </c>
      <c r="B176" s="2">
        <v>1153449</v>
      </c>
      <c r="C176" s="2">
        <v>21985</v>
      </c>
      <c r="D176" s="2">
        <v>45130</v>
      </c>
      <c r="E176" s="2">
        <v>37267</v>
      </c>
      <c r="F176" s="2">
        <v>46891</v>
      </c>
      <c r="G176" s="2">
        <v>52251</v>
      </c>
      <c r="I176" t="str" s="0">
        <f t="shared" si="41"/>
        <v>06/22</v>
      </c>
      <c r="J176" s="2">
        <f t="shared" si="42"/>
        <v>854263</v>
      </c>
      <c r="K176" s="2">
        <f t="shared" si="43"/>
        <v>1059209</v>
      </c>
      <c r="L176" s="2">
        <f t="shared" si="44"/>
        <v>1070291</v>
      </c>
      <c r="M176" s="2">
        <f t="shared" si="45"/>
        <v>1218876</v>
      </c>
      <c r="N176" s="2">
        <f t="shared" si="46"/>
        <v>963561</v>
      </c>
      <c r="O176" s="2">
        <f t="shared" si="47"/>
        <v>1268525</v>
      </c>
      <c r="P176" s="2">
        <f t="shared" si="48"/>
        <v>1218578</v>
      </c>
      <c r="Q176" s="2">
        <f t="shared" si="49"/>
        <v>888725</v>
      </c>
      <c r="R176" s="2">
        <f t="shared" si="50"/>
        <v>1194599</v>
      </c>
      <c r="S176" s="2">
        <f t="shared" si="51"/>
        <v>1159083</v>
      </c>
      <c r="T176" s="2">
        <f t="shared" si="52"/>
        <v>1048097</v>
      </c>
      <c r="U176" s="2" t="e">
        <f t="shared" si="54"/>
        <v>#N/A</v>
      </c>
      <c r="V176" s="2" t="e">
        <f t="shared" si="55"/>
        <v>#N/A</v>
      </c>
      <c r="W176" s="2" t="e">
        <f t="shared" si="56"/>
        <v>#N/A</v>
      </c>
      <c r="X176" s="2" t="e">
        <f t="shared" si="57"/>
        <v>#N/A</v>
      </c>
      <c r="Y176" s="2" t="e">
        <f t="shared" si="58"/>
        <v>#N/A</v>
      </c>
      <c r="Z176" s="0">
        <f t="shared" ca="1" si="60"/>
        <v>1145902</v>
      </c>
      <c r="AA176" s="0">
        <f t="shared" ca="1" si="59"/>
        <v>1089571</v>
      </c>
      <c r="AB176" cm="1" s="0">
        <f t="array" ref="AB176">MAX(IF(ISNUMBER(J176:Y176),J176:Y176))</f>
        <v>1268525</v>
      </c>
      <c r="AC176" cm="1" s="0">
        <f t="array" ref="AC176">MIN(IF(ISNUMBER(J176:Y176),J176:Y176))</f>
        <v>854263</v>
      </c>
      <c r="AD176" s="0">
        <f t="shared" si="53"/>
        <v>414262</v>
      </c>
    </row>
    <row r="177" spans="1:30" x14ac:dyDescent="0.2">
      <c r="A177" t="s" s="0">
        <v>3820</v>
      </c>
      <c r="B177" s="2">
        <v>1077457</v>
      </c>
      <c r="C177" s="2">
        <v>36363</v>
      </c>
      <c r="D177" s="2">
        <v>45529</v>
      </c>
      <c r="E177" s="2">
        <v>37279</v>
      </c>
      <c r="F177" s="2">
        <v>41249</v>
      </c>
      <c r="G177" s="2">
        <v>48147</v>
      </c>
      <c r="I177" t="str" s="0">
        <f t="shared" si="41"/>
        <v>06/23</v>
      </c>
      <c r="J177" s="2">
        <f t="shared" si="42"/>
        <v>807650</v>
      </c>
      <c r="K177" s="2">
        <f t="shared" si="43"/>
        <v>1164163</v>
      </c>
      <c r="L177" s="2">
        <f t="shared" si="44"/>
        <v>1070291</v>
      </c>
      <c r="M177" s="2">
        <f t="shared" si="45"/>
        <v>1218876</v>
      </c>
      <c r="N177" s="2">
        <f t="shared" si="46"/>
        <v>896297</v>
      </c>
      <c r="O177" s="2">
        <f t="shared" si="47"/>
        <v>1255613</v>
      </c>
      <c r="P177" s="2">
        <f t="shared" si="48"/>
        <v>1206227</v>
      </c>
      <c r="Q177" s="2">
        <f t="shared" si="49"/>
        <v>969943</v>
      </c>
      <c r="R177" s="2">
        <f t="shared" si="50"/>
        <v>1194599</v>
      </c>
      <c r="S177" s="2">
        <f t="shared" si="51"/>
        <v>1122620</v>
      </c>
      <c r="T177" s="2">
        <f t="shared" si="52"/>
        <v>1109867</v>
      </c>
      <c r="U177" s="2" t="e">
        <f t="shared" si="54"/>
        <v>#N/A</v>
      </c>
      <c r="V177" s="2" t="e">
        <f t="shared" si="55"/>
        <v>#N/A</v>
      </c>
      <c r="W177" s="2" t="e">
        <f t="shared" si="56"/>
        <v>#N/A</v>
      </c>
      <c r="X177" s="2" t="e">
        <f t="shared" si="57"/>
        <v>#N/A</v>
      </c>
      <c r="Y177" s="2" t="e">
        <f t="shared" si="58"/>
        <v>#N/A</v>
      </c>
      <c r="Z177" s="0">
        <f t="shared" ca="1" si="60"/>
        <v>1149800.3999999999</v>
      </c>
      <c r="AA177" s="0">
        <f t="shared" ca="1" si="59"/>
        <v>1090627.8999999999</v>
      </c>
      <c r="AB177" cm="1" s="0">
        <f t="array" ref="AB177">MAX(IF(ISNUMBER(J177:Y177),J177:Y177))</f>
        <v>1255613</v>
      </c>
      <c r="AC177" cm="1" s="0">
        <f t="array" ref="AC177">MIN(IF(ISNUMBER(J177:Y177),J177:Y177))</f>
        <v>807650</v>
      </c>
      <c r="AD177" s="0">
        <f t="shared" si="53"/>
        <v>447963</v>
      </c>
    </row>
    <row r="178" spans="1:30" x14ac:dyDescent="0.2">
      <c r="A178" t="s" s="0">
        <v>3819</v>
      </c>
      <c r="B178" s="2">
        <v>1060664</v>
      </c>
      <c r="C178" s="2">
        <v>45955</v>
      </c>
      <c r="D178" s="2">
        <v>43642</v>
      </c>
      <c r="E178" s="2">
        <v>37202</v>
      </c>
      <c r="F178" s="2">
        <v>41235</v>
      </c>
      <c r="G178" s="2">
        <v>49215</v>
      </c>
      <c r="I178" t="str" s="0">
        <f t="shared" si="41"/>
        <v>06/24</v>
      </c>
      <c r="J178" s="2">
        <f t="shared" si="42"/>
        <v>853205</v>
      </c>
      <c r="K178" s="2">
        <f t="shared" si="43"/>
        <v>1164163</v>
      </c>
      <c r="L178" s="2">
        <f t="shared" si="44"/>
        <v>1070291</v>
      </c>
      <c r="M178" s="2">
        <f t="shared" si="45"/>
        <v>1241235</v>
      </c>
      <c r="N178" s="2">
        <f t="shared" si="46"/>
        <v>981693</v>
      </c>
      <c r="O178" s="2">
        <f t="shared" si="47"/>
        <v>1303026</v>
      </c>
      <c r="P178" s="2">
        <f t="shared" si="48"/>
        <v>1246658</v>
      </c>
      <c r="Q178" s="2">
        <f t="shared" si="49"/>
        <v>969943</v>
      </c>
      <c r="R178" s="2">
        <f t="shared" si="50"/>
        <v>1194599</v>
      </c>
      <c r="S178" s="2">
        <f t="shared" si="51"/>
        <v>1085129</v>
      </c>
      <c r="T178" s="2">
        <f t="shared" si="52"/>
        <v>1160635</v>
      </c>
      <c r="U178" s="2" t="e">
        <f t="shared" si="54"/>
        <v>#N/A</v>
      </c>
      <c r="V178" s="2" t="e">
        <f t="shared" si="55"/>
        <v>#N/A</v>
      </c>
      <c r="W178" s="2" t="e">
        <f t="shared" si="56"/>
        <v>#N/A</v>
      </c>
      <c r="X178" s="2" t="e">
        <f t="shared" si="57"/>
        <v>#N/A</v>
      </c>
      <c r="Y178" s="2" t="e">
        <f t="shared" si="58"/>
        <v>#N/A</v>
      </c>
      <c r="Z178" s="0">
        <f t="shared" ca="1" si="60"/>
        <v>1159871</v>
      </c>
      <c r="AA178" s="0">
        <f t="shared" ca="1" si="59"/>
        <v>1110994.2</v>
      </c>
      <c r="AB178" cm="1" s="0">
        <f t="array" ref="AB178">MAX(IF(ISNUMBER(J178:Y178),J178:Y178))</f>
        <v>1303026</v>
      </c>
      <c r="AC178" cm="1" s="0">
        <f t="array" ref="AC178">MIN(IF(ISNUMBER(J178:Y178),J178:Y178))</f>
        <v>853205</v>
      </c>
      <c r="AD178" s="0">
        <f t="shared" si="53"/>
        <v>449821</v>
      </c>
    </row>
    <row r="179" spans="1:30" x14ac:dyDescent="0.2">
      <c r="A179" t="s" s="0">
        <v>3818</v>
      </c>
      <c r="B179" s="2">
        <v>1073702</v>
      </c>
      <c r="C179" s="2">
        <v>32872</v>
      </c>
      <c r="D179" s="2">
        <v>42532</v>
      </c>
      <c r="E179" s="2">
        <v>36682</v>
      </c>
      <c r="F179" s="2">
        <v>42026</v>
      </c>
      <c r="G179" s="2">
        <v>48871</v>
      </c>
      <c r="I179" t="str" s="0">
        <f t="shared" si="41"/>
        <v>06/25</v>
      </c>
      <c r="J179" s="2">
        <f t="shared" si="42"/>
        <v>807514</v>
      </c>
      <c r="K179" s="2">
        <f t="shared" si="43"/>
        <v>1164163</v>
      </c>
      <c r="L179" s="2">
        <f t="shared" si="44"/>
        <v>1081699</v>
      </c>
      <c r="M179" s="2">
        <f t="shared" si="45"/>
        <v>1190039</v>
      </c>
      <c r="N179" s="2">
        <f t="shared" si="46"/>
        <v>952920</v>
      </c>
      <c r="O179" s="2">
        <f t="shared" si="47"/>
        <v>1197749</v>
      </c>
      <c r="P179" s="2">
        <f t="shared" si="48"/>
        <v>1246658</v>
      </c>
      <c r="Q179" s="2">
        <f t="shared" si="49"/>
        <v>969943</v>
      </c>
      <c r="R179" s="2">
        <f t="shared" si="50"/>
        <v>1092015</v>
      </c>
      <c r="S179" s="2">
        <f t="shared" si="51"/>
        <v>1140462</v>
      </c>
      <c r="T179" s="2">
        <f t="shared" si="52"/>
        <v>1105978</v>
      </c>
      <c r="U179" s="2" t="e">
        <f t="shared" si="54"/>
        <v>#N/A</v>
      </c>
      <c r="V179" s="2" t="e">
        <f t="shared" si="55"/>
        <v>#N/A</v>
      </c>
      <c r="W179" s="2" t="e">
        <f t="shared" si="56"/>
        <v>#N/A</v>
      </c>
      <c r="X179" s="2" t="e">
        <f t="shared" si="57"/>
        <v>#N/A</v>
      </c>
      <c r="Y179" s="2" t="e">
        <f t="shared" si="58"/>
        <v>#N/A</v>
      </c>
      <c r="Z179" s="0">
        <f t="shared" ca="1" si="60"/>
        <v>1129365.3999999999</v>
      </c>
      <c r="AA179" s="0">
        <f t="shared" ca="1" si="59"/>
        <v>1084316.2</v>
      </c>
      <c r="AB179" cm="1" s="0">
        <f t="array" ref="AB179">MAX(IF(ISNUMBER(J179:Y179),J179:Y179))</f>
        <v>1246658</v>
      </c>
      <c r="AC179" cm="1" s="0">
        <f t="array" ref="AC179">MIN(IF(ISNUMBER(J179:Y179),J179:Y179))</f>
        <v>807514</v>
      </c>
      <c r="AD179" s="0">
        <f t="shared" si="53"/>
        <v>439144</v>
      </c>
    </row>
    <row r="180" spans="1:30" x14ac:dyDescent="0.2">
      <c r="A180" t="s" s="0">
        <v>3817</v>
      </c>
      <c r="B180" s="2">
        <v>1117796</v>
      </c>
      <c r="C180" s="2">
        <v>10891</v>
      </c>
      <c r="D180" s="2">
        <v>36251</v>
      </c>
      <c r="E180" s="2">
        <v>35958</v>
      </c>
      <c r="F180" s="2">
        <v>37765</v>
      </c>
      <c r="G180" s="2">
        <v>48337</v>
      </c>
      <c r="I180" t="str" s="0">
        <f t="shared" si="41"/>
        <v>06/26</v>
      </c>
      <c r="J180" s="2">
        <f t="shared" si="42"/>
        <v>807514</v>
      </c>
      <c r="K180" s="2">
        <f t="shared" si="43"/>
        <v>1107825</v>
      </c>
      <c r="L180" s="2">
        <f t="shared" si="44"/>
        <v>1085136</v>
      </c>
      <c r="M180" s="2">
        <f t="shared" si="45"/>
        <v>1227838</v>
      </c>
      <c r="N180" s="2">
        <f t="shared" si="46"/>
        <v>1052439</v>
      </c>
      <c r="O180" s="2">
        <f t="shared" si="47"/>
        <v>1197749</v>
      </c>
      <c r="P180" s="2">
        <f t="shared" si="48"/>
        <v>1246658</v>
      </c>
      <c r="Q180" s="2">
        <f t="shared" si="49"/>
        <v>930875</v>
      </c>
      <c r="R180" s="2">
        <f t="shared" si="50"/>
        <v>1071948</v>
      </c>
      <c r="S180" s="2">
        <f t="shared" si="51"/>
        <v>1088258</v>
      </c>
      <c r="T180" s="2">
        <f t="shared" si="52"/>
        <v>1052186</v>
      </c>
      <c r="U180" s="2" t="e">
        <f t="shared" si="54"/>
        <v>#N/A</v>
      </c>
      <c r="V180" s="2" t="e">
        <f t="shared" si="55"/>
        <v>#N/A</v>
      </c>
      <c r="W180" s="2" t="e">
        <f t="shared" si="56"/>
        <v>#N/A</v>
      </c>
      <c r="X180" s="2" t="e">
        <f t="shared" si="57"/>
        <v>#N/A</v>
      </c>
      <c r="Y180" s="2" t="e">
        <f t="shared" si="58"/>
        <v>#N/A</v>
      </c>
      <c r="Z180" s="0">
        <f t="shared" ca="1" si="60"/>
        <v>1107097.6000000001</v>
      </c>
      <c r="AA180" s="0">
        <f t="shared" ca="1" si="59"/>
        <v>1081624</v>
      </c>
      <c r="AB180" cm="1" s="0">
        <f t="array" ref="AB180">MAX(IF(ISNUMBER(J180:Y180),J180:Y180))</f>
        <v>1246658</v>
      </c>
      <c r="AC180" cm="1" s="0">
        <f t="array" ref="AC180">MIN(IF(ISNUMBER(J180:Y180),J180:Y180))</f>
        <v>807514</v>
      </c>
      <c r="AD180" s="0">
        <f t="shared" si="53"/>
        <v>439144</v>
      </c>
    </row>
    <row r="181" spans="1:30" x14ac:dyDescent="0.2">
      <c r="A181" t="s" s="0">
        <v>3816</v>
      </c>
      <c r="B181" s="3">
        <v>1117796</v>
      </c>
      <c r="C181" s="3">
        <v>10891</v>
      </c>
      <c r="D181" s="3">
        <v>36251</v>
      </c>
      <c r="E181" s="3">
        <v>35958</v>
      </c>
      <c r="F181" s="3">
        <v>37765</v>
      </c>
      <c r="G181" s="3">
        <v>48337</v>
      </c>
      <c r="I181" t="str" s="0">
        <f t="shared" si="41"/>
        <v>06/27</v>
      </c>
      <c r="J181" s="2">
        <f t="shared" si="42"/>
        <v>807514</v>
      </c>
      <c r="K181" s="2">
        <f t="shared" si="43"/>
        <v>1219802</v>
      </c>
      <c r="L181" s="2">
        <f t="shared" si="44"/>
        <v>1024106</v>
      </c>
      <c r="M181" s="2">
        <f t="shared" si="45"/>
        <v>1179474</v>
      </c>
      <c r="N181" s="2">
        <f t="shared" si="46"/>
        <v>984938</v>
      </c>
      <c r="O181" s="2">
        <f t="shared" si="47"/>
        <v>1197749</v>
      </c>
      <c r="P181" s="2">
        <f t="shared" si="48"/>
        <v>1191625</v>
      </c>
      <c r="Q181" s="2">
        <f t="shared" si="49"/>
        <v>899359</v>
      </c>
      <c r="R181" s="2">
        <f t="shared" si="50"/>
        <v>1081447</v>
      </c>
      <c r="S181" s="2">
        <f t="shared" si="51"/>
        <v>1183280</v>
      </c>
      <c r="T181" s="2">
        <f t="shared" si="52"/>
        <v>1052186</v>
      </c>
      <c r="U181" s="2" t="e">
        <f t="shared" si="54"/>
        <v>#N/A</v>
      </c>
      <c r="V181" s="2" t="e">
        <f t="shared" si="55"/>
        <v>#N/A</v>
      </c>
      <c r="W181" s="2" t="e">
        <f t="shared" si="56"/>
        <v>#N/A</v>
      </c>
      <c r="X181" s="2" t="e">
        <f t="shared" si="57"/>
        <v>#N/A</v>
      </c>
      <c r="Y181" s="2" t="e">
        <f t="shared" si="58"/>
        <v>#N/A</v>
      </c>
      <c r="Z181" s="0">
        <f t="shared" ca="1" si="60"/>
        <v>1110692</v>
      </c>
      <c r="AA181" s="0">
        <f t="shared" ca="1" si="59"/>
        <v>1076929.3999999999</v>
      </c>
      <c r="AB181" cm="1" s="0">
        <f t="array" ref="AB181">MAX(IF(ISNUMBER(J181:Y181),J181:Y181))</f>
        <v>1219802</v>
      </c>
      <c r="AC181" cm="1" s="0">
        <f t="array" ref="AC181">MIN(IF(ISNUMBER(J181:Y181),J181:Y181))</f>
        <v>807514</v>
      </c>
      <c r="AD181" s="0">
        <f t="shared" si="53"/>
        <v>412288</v>
      </c>
    </row>
    <row r="182" spans="1:30" x14ac:dyDescent="0.2">
      <c r="A182" t="s" s="0">
        <v>3815</v>
      </c>
      <c r="B182" s="3">
        <v>1117796</v>
      </c>
      <c r="C182" s="3">
        <v>10891</v>
      </c>
      <c r="D182" s="3">
        <v>36251</v>
      </c>
      <c r="E182" s="3">
        <v>35958</v>
      </c>
      <c r="F182" s="3">
        <v>37765</v>
      </c>
      <c r="G182" s="3">
        <v>48337</v>
      </c>
      <c r="I182" t="str" s="0">
        <f t="shared" si="41"/>
        <v>06/28</v>
      </c>
      <c r="J182" s="2">
        <f t="shared" si="42"/>
        <v>808457</v>
      </c>
      <c r="K182" s="2">
        <f t="shared" si="43"/>
        <v>1156648</v>
      </c>
      <c r="L182" s="2">
        <f t="shared" si="44"/>
        <v>963161</v>
      </c>
      <c r="M182" s="2">
        <f t="shared" si="45"/>
        <v>1171857</v>
      </c>
      <c r="N182" s="2">
        <f t="shared" si="46"/>
        <v>984938</v>
      </c>
      <c r="O182" s="2">
        <f t="shared" si="47"/>
        <v>1089583</v>
      </c>
      <c r="P182" s="2">
        <f t="shared" si="48"/>
        <v>1159115</v>
      </c>
      <c r="Q182" s="2">
        <f t="shared" si="49"/>
        <v>903556</v>
      </c>
      <c r="R182" s="2">
        <f t="shared" si="50"/>
        <v>1084511</v>
      </c>
      <c r="S182" s="2">
        <f t="shared" si="51"/>
        <v>1183280</v>
      </c>
      <c r="T182" s="2">
        <f t="shared" si="52"/>
        <v>1052186</v>
      </c>
      <c r="U182" s="2" t="e">
        <f t="shared" si="54"/>
        <v>#N/A</v>
      </c>
      <c r="V182" s="2" t="e">
        <f t="shared" si="55"/>
        <v>#N/A</v>
      </c>
      <c r="W182" s="2" t="e">
        <f t="shared" si="56"/>
        <v>#N/A</v>
      </c>
      <c r="X182" s="2" t="e">
        <f t="shared" si="57"/>
        <v>#N/A</v>
      </c>
      <c r="Y182" s="2" t="e">
        <f t="shared" si="58"/>
        <v>#N/A</v>
      </c>
      <c r="Z182" s="0">
        <f t="shared" ca="1" si="60"/>
        <v>1084009</v>
      </c>
      <c r="AA182" s="0">
        <f t="shared" ca="1" si="59"/>
        <v>1050510.6000000001</v>
      </c>
      <c r="AB182" cm="1" s="0">
        <f t="array" ref="AB182">MAX(IF(ISNUMBER(J182:Y182),J182:Y182))</f>
        <v>1183280</v>
      </c>
      <c r="AC182" cm="1" s="0">
        <f t="array" ref="AC182">MIN(IF(ISNUMBER(J182:Y182),J182:Y182))</f>
        <v>808457</v>
      </c>
      <c r="AD182" s="0">
        <f t="shared" si="53"/>
        <v>374823</v>
      </c>
    </row>
    <row r="183" spans="1:30" x14ac:dyDescent="0.2">
      <c r="A183" t="s" s="0">
        <v>3814</v>
      </c>
      <c r="B183" s="2">
        <v>1058405</v>
      </c>
      <c r="C183" s="2">
        <v>19670</v>
      </c>
      <c r="D183" s="2">
        <v>32190</v>
      </c>
      <c r="E183" s="2">
        <v>36322</v>
      </c>
      <c r="F183" s="2">
        <v>18612</v>
      </c>
      <c r="G183" s="2">
        <v>47632</v>
      </c>
      <c r="I183" t="str" s="0">
        <f t="shared" si="41"/>
        <v>06/29</v>
      </c>
      <c r="J183" s="2">
        <f t="shared" si="42"/>
        <v>801338</v>
      </c>
      <c r="K183" s="2">
        <f t="shared" si="43"/>
        <v>1186622</v>
      </c>
      <c r="L183" s="2">
        <f t="shared" si="44"/>
        <v>1004781</v>
      </c>
      <c r="M183" s="2">
        <f t="shared" si="45"/>
        <v>1171857</v>
      </c>
      <c r="N183" s="2">
        <f t="shared" si="46"/>
        <v>984938</v>
      </c>
      <c r="O183" s="2">
        <f t="shared" si="47"/>
        <v>1054334</v>
      </c>
      <c r="P183" s="2">
        <f t="shared" si="48"/>
        <v>1113817</v>
      </c>
      <c r="Q183" s="2">
        <f t="shared" si="49"/>
        <v>955345</v>
      </c>
      <c r="R183" s="2">
        <f t="shared" si="50"/>
        <v>1118538</v>
      </c>
      <c r="S183" s="2">
        <f t="shared" si="51"/>
        <v>1183280</v>
      </c>
      <c r="T183" s="2">
        <f t="shared" si="52"/>
        <v>1014412</v>
      </c>
      <c r="U183" s="2" t="e">
        <f t="shared" si="54"/>
        <v>#N/A</v>
      </c>
      <c r="V183" s="2" t="e">
        <f t="shared" si="55"/>
        <v>#N/A</v>
      </c>
      <c r="W183" s="2" t="e">
        <f t="shared" si="56"/>
        <v>#N/A</v>
      </c>
      <c r="X183" s="2" t="e">
        <f t="shared" si="57"/>
        <v>#N/A</v>
      </c>
      <c r="Y183" s="2" t="e">
        <f t="shared" si="58"/>
        <v>#N/A</v>
      </c>
      <c r="Z183" s="0">
        <f t="shared" ca="1" si="60"/>
        <v>1085062.8</v>
      </c>
      <c r="AA183" s="0">
        <f t="shared" ca="1" si="59"/>
        <v>1057485</v>
      </c>
      <c r="AB183" cm="1" s="0">
        <f t="array" ref="AB183">MAX(IF(ISNUMBER(J183:Y183),J183:Y183))</f>
        <v>1186622</v>
      </c>
      <c r="AC183" cm="1" s="0">
        <f t="array" ref="AC183">MIN(IF(ISNUMBER(J183:Y183),J183:Y183))</f>
        <v>801338</v>
      </c>
      <c r="AD183" s="0">
        <f t="shared" si="53"/>
        <v>385284</v>
      </c>
    </row>
    <row r="184" spans="1:30" x14ac:dyDescent="0.2">
      <c r="A184" t="s" s="0">
        <v>3813</v>
      </c>
      <c r="B184" s="2">
        <v>1070106</v>
      </c>
      <c r="C184" s="2">
        <v>32485</v>
      </c>
      <c r="D184" s="2">
        <v>31636</v>
      </c>
      <c r="E184" s="2">
        <v>36449</v>
      </c>
      <c r="F184" s="2">
        <v>29864</v>
      </c>
      <c r="G184" s="2">
        <v>47601</v>
      </c>
      <c r="I184" t="str" s="0">
        <f t="shared" si="41"/>
        <v>06/30</v>
      </c>
      <c r="J184" s="2">
        <f t="shared" si="42"/>
        <v>809738</v>
      </c>
      <c r="K184" s="2">
        <f t="shared" si="43"/>
        <v>1140121</v>
      </c>
      <c r="L184" s="2">
        <f t="shared" si="44"/>
        <v>1004781</v>
      </c>
      <c r="M184" s="2">
        <f t="shared" si="45"/>
        <v>1171857</v>
      </c>
      <c r="N184" s="2">
        <f t="shared" si="46"/>
        <v>921476</v>
      </c>
      <c r="O184" s="2">
        <f t="shared" si="47"/>
        <v>1066393</v>
      </c>
      <c r="P184" s="2">
        <f t="shared" si="48"/>
        <v>1136174</v>
      </c>
      <c r="Q184" s="2">
        <f t="shared" si="49"/>
        <v>969021</v>
      </c>
      <c r="R184" s="2">
        <f t="shared" si="50"/>
        <v>1118538</v>
      </c>
      <c r="S184" s="2">
        <f t="shared" si="51"/>
        <v>1096731</v>
      </c>
      <c r="T184" s="2">
        <f t="shared" si="52"/>
        <v>1117844</v>
      </c>
      <c r="U184" s="2" t="e">
        <f t="shared" si="54"/>
        <v>#N/A</v>
      </c>
      <c r="V184" s="2" t="e">
        <f t="shared" si="55"/>
        <v>#N/A</v>
      </c>
      <c r="W184" s="2" t="e">
        <f t="shared" si="56"/>
        <v>#N/A</v>
      </c>
      <c r="X184" s="2" t="e">
        <f t="shared" si="57"/>
        <v>#N/A</v>
      </c>
      <c r="Y184" s="2" t="e">
        <f t="shared" si="58"/>
        <v>#N/A</v>
      </c>
      <c r="Z184" s="0">
        <f t="shared" ca="1" si="60"/>
        <v>1077371.3999999999</v>
      </c>
      <c r="AA184" s="0">
        <f t="shared" ca="1" si="59"/>
        <v>1043483</v>
      </c>
      <c r="AB184" cm="1" s="0">
        <f t="array" ref="AB184">MAX(IF(ISNUMBER(J184:Y184),J184:Y184))</f>
        <v>1171857</v>
      </c>
      <c r="AC184" cm="1" s="0">
        <f t="array" ref="AC184">MIN(IF(ISNUMBER(J184:Y184),J184:Y184))</f>
        <v>809738</v>
      </c>
      <c r="AD184" s="0">
        <f t="shared" si="53"/>
        <v>362119</v>
      </c>
    </row>
    <row r="185" spans="1:30" x14ac:dyDescent="0.2">
      <c r="A185" t="s" s="0">
        <v>3812</v>
      </c>
      <c r="B185" s="2">
        <v>1113621</v>
      </c>
      <c r="C185" s="2">
        <v>40409</v>
      </c>
      <c r="D185" s="2">
        <v>35011</v>
      </c>
      <c r="E185" s="2">
        <v>37681</v>
      </c>
      <c r="F185" s="2">
        <v>41855</v>
      </c>
      <c r="G185" s="2">
        <v>48377</v>
      </c>
      <c r="I185" t="str" s="0">
        <f t="shared" si="41"/>
        <v>07/01</v>
      </c>
      <c r="J185" s="2">
        <f t="shared" si="42"/>
        <v>785172</v>
      </c>
      <c r="K185" s="2">
        <f t="shared" si="43"/>
        <v>1140121</v>
      </c>
      <c r="L185" s="2">
        <f t="shared" si="44"/>
        <v>1004781</v>
      </c>
      <c r="M185" s="2">
        <f t="shared" si="45"/>
        <v>1159720</v>
      </c>
      <c r="N185" s="2">
        <f t="shared" si="46"/>
        <v>944810</v>
      </c>
      <c r="O185" s="2">
        <f t="shared" si="47"/>
        <v>1111396</v>
      </c>
      <c r="P185" s="2">
        <f t="shared" si="48"/>
        <v>1166189</v>
      </c>
      <c r="Q185" s="2">
        <f t="shared" si="49"/>
        <v>969021</v>
      </c>
      <c r="R185" s="2">
        <f t="shared" si="50"/>
        <v>1118538</v>
      </c>
      <c r="S185" s="2">
        <f t="shared" si="51"/>
        <v>1143270</v>
      </c>
      <c r="T185" s="2">
        <f t="shared" si="52"/>
        <v>1103955</v>
      </c>
      <c r="U185" s="2" t="e">
        <f t="shared" si="54"/>
        <v>#N/A</v>
      </c>
      <c r="V185" s="2" t="e">
        <f t="shared" si="55"/>
        <v>#N/A</v>
      </c>
      <c r="W185" s="2" t="e">
        <f t="shared" si="56"/>
        <v>#N/A</v>
      </c>
      <c r="X185" s="2" t="e">
        <f t="shared" si="57"/>
        <v>#N/A</v>
      </c>
      <c r="Y185" s="2" t="e">
        <f t="shared" si="58"/>
        <v>#N/A</v>
      </c>
      <c r="Z185" s="0">
        <f t="shared" ca="1" si="60"/>
        <v>1101682.8</v>
      </c>
      <c r="AA185" s="0">
        <f t="shared" ca="1" si="59"/>
        <v>1054301.8</v>
      </c>
      <c r="AB185" cm="1" s="0">
        <f t="array" ref="AB185">MAX(IF(ISNUMBER(J185:Y185),J185:Y185))</f>
        <v>1166189</v>
      </c>
      <c r="AC185" cm="1" s="0">
        <f t="array" ref="AC185">MIN(IF(ISNUMBER(J185:Y185),J185:Y185))</f>
        <v>785172</v>
      </c>
      <c r="AD185" s="0">
        <f t="shared" si="53"/>
        <v>381017</v>
      </c>
    </row>
    <row r="186" spans="1:30" x14ac:dyDescent="0.2">
      <c r="A186" t="s" s="0">
        <v>3811</v>
      </c>
      <c r="B186" s="2">
        <v>1117205</v>
      </c>
      <c r="C186" s="2">
        <v>36043</v>
      </c>
      <c r="D186" s="2">
        <v>34166</v>
      </c>
      <c r="E186" s="2">
        <v>37435</v>
      </c>
      <c r="F186" s="2">
        <v>39777</v>
      </c>
      <c r="G186" s="2">
        <v>48356</v>
      </c>
      <c r="I186" t="str" s="0">
        <f t="shared" si="41"/>
        <v>07/02</v>
      </c>
      <c r="J186" s="2">
        <f t="shared" si="42"/>
        <v>801053</v>
      </c>
      <c r="K186" s="2">
        <f t="shared" si="43"/>
        <v>1140121</v>
      </c>
      <c r="L186" s="2">
        <f t="shared" si="44"/>
        <v>931645</v>
      </c>
      <c r="M186" s="2">
        <f t="shared" si="45"/>
        <v>1166087</v>
      </c>
      <c r="N186" s="2">
        <f t="shared" si="46"/>
        <v>936326</v>
      </c>
      <c r="O186" s="2">
        <f t="shared" si="47"/>
        <v>1127201</v>
      </c>
      <c r="P186" s="2">
        <f t="shared" si="48"/>
        <v>1166189</v>
      </c>
      <c r="Q186" s="2">
        <f t="shared" si="49"/>
        <v>969021</v>
      </c>
      <c r="R186" s="2">
        <f t="shared" si="50"/>
        <v>1069726</v>
      </c>
      <c r="S186" s="2">
        <f t="shared" si="51"/>
        <v>1125231</v>
      </c>
      <c r="T186" s="2">
        <f t="shared" si="52"/>
        <v>1084799</v>
      </c>
      <c r="U186" s="2" t="e">
        <f t="shared" si="54"/>
        <v>#N/A</v>
      </c>
      <c r="V186" s="2" t="e">
        <f t="shared" si="55"/>
        <v>#N/A</v>
      </c>
      <c r="W186" s="2" t="e">
        <f t="shared" si="56"/>
        <v>#N/A</v>
      </c>
      <c r="X186" s="2" t="e">
        <f t="shared" si="57"/>
        <v>#N/A</v>
      </c>
      <c r="Y186" s="2" t="e">
        <f t="shared" si="58"/>
        <v>#N/A</v>
      </c>
      <c r="Z186" s="0">
        <f t="shared" ca="1" si="60"/>
        <v>1091473.6000000001</v>
      </c>
      <c r="AA186" s="0">
        <f t="shared" ca="1" si="59"/>
        <v>1043260</v>
      </c>
      <c r="AB186" cm="1" s="0">
        <f t="array" ref="AB186">MAX(IF(ISNUMBER(J186:Y186),J186:Y186))</f>
        <v>1166189</v>
      </c>
      <c r="AC186" cm="1" s="0">
        <f t="array" ref="AC186">MIN(IF(ISNUMBER(J186:Y186),J186:Y186))</f>
        <v>801053</v>
      </c>
      <c r="AD186" s="0">
        <f t="shared" si="53"/>
        <v>365136</v>
      </c>
    </row>
    <row r="187" spans="1:30" x14ac:dyDescent="0.2">
      <c r="A187" t="s" s="0">
        <v>3810</v>
      </c>
      <c r="B187" s="2">
        <v>1124102</v>
      </c>
      <c r="C187" s="2">
        <v>23051</v>
      </c>
      <c r="D187" s="2">
        <v>35903</v>
      </c>
      <c r="E187" s="2">
        <v>36957</v>
      </c>
      <c r="F187" s="2">
        <v>36200</v>
      </c>
      <c r="G187" s="2">
        <v>49431</v>
      </c>
      <c r="I187" t="str" s="0">
        <f t="shared" si="41"/>
        <v>07/03</v>
      </c>
      <c r="J187" s="2">
        <f t="shared" si="42"/>
        <v>801053</v>
      </c>
      <c r="K187" s="2">
        <f t="shared" si="43"/>
        <v>1040473</v>
      </c>
      <c r="L187" s="2">
        <f t="shared" si="44"/>
        <v>1013815</v>
      </c>
      <c r="M187" s="2">
        <f t="shared" si="45"/>
        <v>1063407</v>
      </c>
      <c r="N187" s="2">
        <f t="shared" si="46"/>
        <v>918427</v>
      </c>
      <c r="O187" s="2">
        <f t="shared" si="47"/>
        <v>1127201</v>
      </c>
      <c r="P187" s="2">
        <f t="shared" si="48"/>
        <v>1166189</v>
      </c>
      <c r="Q187" s="2">
        <f t="shared" si="49"/>
        <v>866956</v>
      </c>
      <c r="R187" s="2">
        <f t="shared" si="50"/>
        <v>1142546</v>
      </c>
      <c r="S187" s="2">
        <f t="shared" si="51"/>
        <v>1059888</v>
      </c>
      <c r="T187" s="2">
        <f t="shared" si="52"/>
        <v>1091671</v>
      </c>
      <c r="U187" s="2" t="e">
        <f t="shared" si="54"/>
        <v>#N/A</v>
      </c>
      <c r="V187" s="2" t="e">
        <f t="shared" si="55"/>
        <v>#N/A</v>
      </c>
      <c r="W187" s="2" t="e">
        <f t="shared" si="56"/>
        <v>#N/A</v>
      </c>
      <c r="X187" s="2" t="e">
        <f t="shared" si="57"/>
        <v>#N/A</v>
      </c>
      <c r="Y187" s="2" t="e">
        <f t="shared" si="58"/>
        <v>#N/A</v>
      </c>
      <c r="Z187" s="0">
        <f t="shared" ca="1" si="60"/>
        <v>1072556</v>
      </c>
      <c r="AA187" s="0">
        <f t="shared" ca="1" si="59"/>
        <v>1019995.5</v>
      </c>
      <c r="AB187" cm="1" s="0">
        <f t="array" ref="AB187">MAX(IF(ISNUMBER(J187:Y187),J187:Y187))</f>
        <v>1166189</v>
      </c>
      <c r="AC187" cm="1" s="0">
        <f t="array" ref="AC187">MIN(IF(ISNUMBER(J187:Y187),J187:Y187))</f>
        <v>801053</v>
      </c>
      <c r="AD187" s="0">
        <f t="shared" si="53"/>
        <v>365136</v>
      </c>
    </row>
    <row r="188" spans="1:30" x14ac:dyDescent="0.2">
      <c r="A188" t="s" s="0">
        <v>3809</v>
      </c>
      <c r="B188" s="3">
        <v>1124102</v>
      </c>
      <c r="C188" s="3">
        <v>23051</v>
      </c>
      <c r="D188" s="3">
        <v>35903</v>
      </c>
      <c r="E188" s="3">
        <v>36957</v>
      </c>
      <c r="F188" s="3">
        <v>36200</v>
      </c>
      <c r="G188" s="3">
        <v>49431</v>
      </c>
      <c r="I188" t="str" s="0">
        <f t="shared" si="41"/>
        <v>07/04</v>
      </c>
      <c r="J188" s="2">
        <f t="shared" si="42"/>
        <v>801053</v>
      </c>
      <c r="K188" s="2">
        <f t="shared" si="43"/>
        <v>1076953</v>
      </c>
      <c r="L188" s="2">
        <f t="shared" si="44"/>
        <v>1029665</v>
      </c>
      <c r="M188" s="2">
        <f t="shared" si="45"/>
        <v>1024676</v>
      </c>
      <c r="N188" s="2">
        <f t="shared" si="46"/>
        <v>1005050</v>
      </c>
      <c r="O188" s="2">
        <f t="shared" si="47"/>
        <v>1127201</v>
      </c>
      <c r="P188" s="2">
        <f t="shared" si="48"/>
        <v>1214773</v>
      </c>
      <c r="Q188" s="2">
        <f t="shared" si="49"/>
        <v>941698</v>
      </c>
      <c r="R188" s="2">
        <f t="shared" si="50"/>
        <v>1091841</v>
      </c>
      <c r="S188" s="2">
        <f t="shared" si="51"/>
        <v>1055749</v>
      </c>
      <c r="T188" s="2">
        <f t="shared" si="52"/>
        <v>1091671</v>
      </c>
      <c r="U188" s="2" t="e">
        <f t="shared" si="54"/>
        <v>#N/A</v>
      </c>
      <c r="V188" s="2" t="e">
        <f t="shared" si="55"/>
        <v>#N/A</v>
      </c>
      <c r="W188" s="2" t="e">
        <f t="shared" si="56"/>
        <v>#N/A</v>
      </c>
      <c r="X188" s="2" t="e">
        <f t="shared" si="57"/>
        <v>#N/A</v>
      </c>
      <c r="Y188" s="2" t="e">
        <f t="shared" si="58"/>
        <v>#N/A</v>
      </c>
      <c r="Z188" s="0">
        <f t="shared" ca="1" si="60"/>
        <v>1086252.3999999999</v>
      </c>
      <c r="AA188" s="0">
        <f t="shared" ca="1" si="59"/>
        <v>1036865.9</v>
      </c>
      <c r="AB188" cm="1" s="0">
        <f t="array" ref="AB188">MAX(IF(ISNUMBER(J188:Y188),J188:Y188))</f>
        <v>1214773</v>
      </c>
      <c r="AC188" cm="1" s="0">
        <f t="array" ref="AC188">MIN(IF(ISNUMBER(J188:Y188),J188:Y188))</f>
        <v>801053</v>
      </c>
      <c r="AD188" s="0">
        <f t="shared" si="53"/>
        <v>413720</v>
      </c>
    </row>
    <row r="189" spans="1:30" x14ac:dyDescent="0.2">
      <c r="A189" t="s" s="0">
        <v>3808</v>
      </c>
      <c r="B189" s="3">
        <v>1124102</v>
      </c>
      <c r="C189" s="3">
        <v>23051</v>
      </c>
      <c r="D189" s="3">
        <v>35903</v>
      </c>
      <c r="E189" s="3">
        <v>36957</v>
      </c>
      <c r="F189" s="3">
        <v>36200</v>
      </c>
      <c r="G189" s="3">
        <v>49431</v>
      </c>
      <c r="I189" t="str" s="0">
        <f t="shared" si="41"/>
        <v>07/05</v>
      </c>
      <c r="J189" s="2">
        <f t="shared" si="42"/>
        <v>803429</v>
      </c>
      <c r="K189" s="2">
        <f t="shared" si="43"/>
        <v>1087694</v>
      </c>
      <c r="L189" s="2">
        <f t="shared" si="44"/>
        <v>1050569</v>
      </c>
      <c r="M189" s="2">
        <f t="shared" si="45"/>
        <v>1070427</v>
      </c>
      <c r="N189" s="2">
        <f t="shared" si="46"/>
        <v>1005050</v>
      </c>
      <c r="O189" s="2">
        <f t="shared" si="47"/>
        <v>1129003</v>
      </c>
      <c r="P189" s="2">
        <f t="shared" si="48"/>
        <v>1209416</v>
      </c>
      <c r="Q189" s="2">
        <f t="shared" si="49"/>
        <v>970281</v>
      </c>
      <c r="R189" s="2">
        <f t="shared" si="50"/>
        <v>1041172</v>
      </c>
      <c r="S189" s="2">
        <f t="shared" si="51"/>
        <v>1055749</v>
      </c>
      <c r="T189" s="2">
        <f t="shared" si="52"/>
        <v>1091671</v>
      </c>
      <c r="U189" s="2" t="e">
        <f t="shared" si="54"/>
        <v>#N/A</v>
      </c>
      <c r="V189" s="2" t="e">
        <f t="shared" si="55"/>
        <v>#N/A</v>
      </c>
      <c r="W189" s="2" t="e">
        <f t="shared" si="56"/>
        <v>#N/A</v>
      </c>
      <c r="X189" s="2" t="e">
        <f t="shared" si="57"/>
        <v>#N/A</v>
      </c>
      <c r="Y189" s="2" t="e">
        <f t="shared" si="58"/>
        <v>#N/A</v>
      </c>
      <c r="Z189" s="0">
        <f t="shared" ca="1" si="60"/>
        <v>1081124.2</v>
      </c>
      <c r="AA189" s="0">
        <f t="shared" ca="1" si="59"/>
        <v>1042279</v>
      </c>
      <c r="AB189" cm="1" s="0">
        <f t="array" ref="AB189">MAX(IF(ISNUMBER(J189:Y189),J189:Y189))</f>
        <v>1209416</v>
      </c>
      <c r="AC189" cm="1" s="0">
        <f t="array" ref="AC189">MIN(IF(ISNUMBER(J189:Y189),J189:Y189))</f>
        <v>803429</v>
      </c>
      <c r="AD189" s="0">
        <f t="shared" si="53"/>
        <v>405987</v>
      </c>
    </row>
    <row r="190" spans="1:30" x14ac:dyDescent="0.2">
      <c r="A190" t="s" s="0">
        <v>3807</v>
      </c>
      <c r="B190" s="2">
        <v>1171530</v>
      </c>
      <c r="C190" s="2">
        <v>19547</v>
      </c>
      <c r="D190" s="2">
        <v>35208</v>
      </c>
      <c r="E190" s="2">
        <v>36179</v>
      </c>
      <c r="F190" s="2">
        <v>50765</v>
      </c>
      <c r="G190" s="2">
        <v>48225</v>
      </c>
      <c r="I190" t="str" s="0">
        <f t="shared" si="41"/>
        <v>07/06</v>
      </c>
      <c r="J190" s="2">
        <f t="shared" si="42"/>
        <v>824728</v>
      </c>
      <c r="K190" s="2">
        <f t="shared" si="43"/>
        <v>1087709</v>
      </c>
      <c r="L190" s="2">
        <f t="shared" si="44"/>
        <v>1018007</v>
      </c>
      <c r="M190" s="2">
        <f t="shared" si="45"/>
        <v>1070427</v>
      </c>
      <c r="N190" s="2">
        <f t="shared" si="46"/>
        <v>1005050</v>
      </c>
      <c r="O190" s="2">
        <f t="shared" si="47"/>
        <v>1094999</v>
      </c>
      <c r="P190" s="2">
        <f t="shared" si="48"/>
        <v>1139361</v>
      </c>
      <c r="Q190" s="2">
        <f t="shared" si="49"/>
        <v>953111</v>
      </c>
      <c r="R190" s="2">
        <f t="shared" si="50"/>
        <v>1144022</v>
      </c>
      <c r="S190" s="2">
        <f t="shared" si="51"/>
        <v>1055749</v>
      </c>
      <c r="T190" s="2">
        <f t="shared" si="52"/>
        <v>1119676</v>
      </c>
      <c r="U190" s="2" t="e">
        <f t="shared" si="54"/>
        <v>#N/A</v>
      </c>
      <c r="V190" s="2" t="e">
        <f t="shared" si="55"/>
        <v>#N/A</v>
      </c>
      <c r="W190" s="2" t="e">
        <f t="shared" si="56"/>
        <v>#N/A</v>
      </c>
      <c r="X190" s="2" t="e">
        <f t="shared" si="57"/>
        <v>#N/A</v>
      </c>
      <c r="Y190" s="2" t="e">
        <f t="shared" si="58"/>
        <v>#N/A</v>
      </c>
      <c r="Z190" s="0">
        <f t="shared" ca="1" si="60"/>
        <v>1077448.3999999999</v>
      </c>
      <c r="AA190" s="0">
        <f t="shared" ca="1" si="59"/>
        <v>1039316.3</v>
      </c>
      <c r="AB190" cm="1" s="0">
        <f t="array" ref="AB190">MAX(IF(ISNUMBER(J190:Y190),J190:Y190))</f>
        <v>1144022</v>
      </c>
      <c r="AC190" cm="1" s="0">
        <f t="array" ref="AC190">MIN(IF(ISNUMBER(J190:Y190),J190:Y190))</f>
        <v>824728</v>
      </c>
      <c r="AD190" s="0">
        <f t="shared" si="53"/>
        <v>319294</v>
      </c>
    </row>
    <row r="191" spans="1:30" x14ac:dyDescent="0.2">
      <c r="A191" t="s" s="0">
        <v>3806</v>
      </c>
      <c r="B191" s="2">
        <v>1176830</v>
      </c>
      <c r="C191" s="2">
        <v>29694</v>
      </c>
      <c r="D191" s="2">
        <v>34809</v>
      </c>
      <c r="E191" s="2">
        <v>36218</v>
      </c>
      <c r="F191" s="2">
        <v>50174</v>
      </c>
      <c r="G191" s="2">
        <v>45920</v>
      </c>
      <c r="I191" t="str" s="0">
        <f t="shared" si="41"/>
        <v>07/07</v>
      </c>
      <c r="J191" s="2">
        <f t="shared" si="42"/>
        <v>822803</v>
      </c>
      <c r="K191" s="2">
        <f t="shared" si="43"/>
        <v>1061933</v>
      </c>
      <c r="L191" s="2">
        <f t="shared" si="44"/>
        <v>1018007</v>
      </c>
      <c r="M191" s="2">
        <f t="shared" si="45"/>
        <v>1070427</v>
      </c>
      <c r="N191" s="2">
        <f t="shared" si="46"/>
        <v>967929</v>
      </c>
      <c r="O191" s="2">
        <f t="shared" si="47"/>
        <v>1070693</v>
      </c>
      <c r="P191" s="2">
        <f t="shared" si="48"/>
        <v>1129297</v>
      </c>
      <c r="Q191" s="2">
        <f t="shared" si="49"/>
        <v>909955</v>
      </c>
      <c r="R191" s="2">
        <f t="shared" si="50"/>
        <v>1144022</v>
      </c>
      <c r="S191" s="2">
        <f t="shared" si="51"/>
        <v>999721</v>
      </c>
      <c r="T191" s="2">
        <f t="shared" si="52"/>
        <v>1155047</v>
      </c>
      <c r="U191" s="2" t="e">
        <f t="shared" si="54"/>
        <v>#N/A</v>
      </c>
      <c r="V191" s="2" t="e">
        <f t="shared" si="55"/>
        <v>#N/A</v>
      </c>
      <c r="W191" s="2" t="e">
        <f t="shared" si="56"/>
        <v>#N/A</v>
      </c>
      <c r="X191" s="2" t="e">
        <f t="shared" si="57"/>
        <v>#N/A</v>
      </c>
      <c r="Y191" s="2" t="e">
        <f t="shared" si="58"/>
        <v>#N/A</v>
      </c>
      <c r="Z191" s="0">
        <f t="shared" ca="1" si="60"/>
        <v>1050737.6000000001</v>
      </c>
      <c r="AA191" s="0">
        <f t="shared" ca="1" si="59"/>
        <v>1019478.7</v>
      </c>
      <c r="AB191" cm="1" s="0">
        <f t="array" ref="AB191">MAX(IF(ISNUMBER(J191:Y191),J191:Y191))</f>
        <v>1155047</v>
      </c>
      <c r="AC191" cm="1" s="0">
        <f t="array" ref="AC191">MIN(IF(ISNUMBER(J191:Y191),J191:Y191))</f>
        <v>822803</v>
      </c>
      <c r="AD191" s="0">
        <f t="shared" si="53"/>
        <v>332244</v>
      </c>
    </row>
    <row r="192" spans="1:30" x14ac:dyDescent="0.2">
      <c r="A192" t="s" s="0">
        <v>3805</v>
      </c>
      <c r="B192" s="2">
        <v>1170539</v>
      </c>
      <c r="C192" s="2">
        <v>35282</v>
      </c>
      <c r="D192" s="2">
        <v>29803</v>
      </c>
      <c r="E192" s="2">
        <v>36210</v>
      </c>
      <c r="F192" s="2">
        <v>38052</v>
      </c>
      <c r="G192" s="2">
        <v>46949</v>
      </c>
      <c r="I192" t="str" s="0">
        <f t="shared" si="41"/>
        <v>07/08</v>
      </c>
      <c r="J192" s="2">
        <f t="shared" si="42"/>
        <v>763798</v>
      </c>
      <c r="K192" s="2">
        <f t="shared" si="43"/>
        <v>1061933</v>
      </c>
      <c r="L192" s="2">
        <f t="shared" si="44"/>
        <v>1018007</v>
      </c>
      <c r="M192" s="2">
        <f t="shared" si="45"/>
        <v>1032170</v>
      </c>
      <c r="N192" s="2">
        <f t="shared" si="46"/>
        <v>935107</v>
      </c>
      <c r="O192" s="2">
        <f t="shared" si="47"/>
        <v>1026457</v>
      </c>
      <c r="P192" s="2">
        <f t="shared" si="48"/>
        <v>1178053</v>
      </c>
      <c r="Q192" s="2">
        <f t="shared" si="49"/>
        <v>909955</v>
      </c>
      <c r="R192" s="2">
        <f t="shared" si="50"/>
        <v>1144022</v>
      </c>
      <c r="S192" s="2">
        <f t="shared" si="51"/>
        <v>1034389</v>
      </c>
      <c r="T192" s="2">
        <f t="shared" si="52"/>
        <v>1181341</v>
      </c>
      <c r="U192" s="2" t="e">
        <f t="shared" si="54"/>
        <v>#N/A</v>
      </c>
      <c r="V192" s="2" t="e">
        <f t="shared" si="55"/>
        <v>#N/A</v>
      </c>
      <c r="W192" s="2" t="e">
        <f t="shared" si="56"/>
        <v>#N/A</v>
      </c>
      <c r="X192" s="2" t="e">
        <f t="shared" si="57"/>
        <v>#N/A</v>
      </c>
      <c r="Y192" s="2" t="e">
        <f t="shared" si="58"/>
        <v>#N/A</v>
      </c>
      <c r="Z192" s="0">
        <f t="shared" ca="1" si="60"/>
        <v>1058575.2</v>
      </c>
      <c r="AA192" s="0">
        <f t="shared" ca="1" si="59"/>
        <v>1010389.1</v>
      </c>
      <c r="AB192" cm="1" s="0">
        <f t="array" ref="AB192">MAX(IF(ISNUMBER(J192:Y192),J192:Y192))</f>
        <v>1181341</v>
      </c>
      <c r="AC192" cm="1" s="0">
        <f t="array" ref="AC192">MIN(IF(ISNUMBER(J192:Y192),J192:Y192))</f>
        <v>763798</v>
      </c>
      <c r="AD192" s="0">
        <f t="shared" si="53"/>
        <v>417543</v>
      </c>
    </row>
    <row r="193" spans="1:30" x14ac:dyDescent="0.2">
      <c r="A193" t="s" s="0">
        <v>3804</v>
      </c>
      <c r="B193" s="2">
        <v>1273167</v>
      </c>
      <c r="C193" s="2">
        <v>37505</v>
      </c>
      <c r="D193" s="2">
        <v>30012</v>
      </c>
      <c r="E193" s="2">
        <v>36434</v>
      </c>
      <c r="F193" s="2">
        <v>52292</v>
      </c>
      <c r="G193" s="2">
        <v>43671</v>
      </c>
      <c r="I193" t="str" s="0">
        <f t="shared" si="41"/>
        <v>07/09</v>
      </c>
      <c r="J193" s="2">
        <f t="shared" si="42"/>
        <v>713941</v>
      </c>
      <c r="K193" s="2">
        <f t="shared" si="43"/>
        <v>1061933</v>
      </c>
      <c r="L193" s="2">
        <f t="shared" si="44"/>
        <v>1044995</v>
      </c>
      <c r="M193" s="2">
        <f t="shared" si="45"/>
        <v>1025575</v>
      </c>
      <c r="N193" s="2">
        <f t="shared" si="46"/>
        <v>949340</v>
      </c>
      <c r="O193" s="2">
        <f t="shared" si="47"/>
        <v>1044995</v>
      </c>
      <c r="P193" s="2">
        <f t="shared" si="48"/>
        <v>1178053</v>
      </c>
      <c r="Q193" s="2">
        <f t="shared" si="49"/>
        <v>909955</v>
      </c>
      <c r="R193" s="2">
        <f t="shared" si="50"/>
        <v>1172690</v>
      </c>
      <c r="S193" s="2">
        <f t="shared" si="51"/>
        <v>1068000</v>
      </c>
      <c r="T193" s="2">
        <f t="shared" si="52"/>
        <v>1201779</v>
      </c>
      <c r="U193" s="2" t="e">
        <f t="shared" si="54"/>
        <v>#N/A</v>
      </c>
      <c r="V193" s="2" t="e">
        <f t="shared" si="55"/>
        <v>#N/A</v>
      </c>
      <c r="W193" s="2" t="e">
        <f t="shared" si="56"/>
        <v>#N/A</v>
      </c>
      <c r="X193" s="2" t="e">
        <f t="shared" si="57"/>
        <v>#N/A</v>
      </c>
      <c r="Y193" s="2" t="e">
        <f t="shared" si="58"/>
        <v>#N/A</v>
      </c>
      <c r="Z193" s="0">
        <f t="shared" ca="1" si="60"/>
        <v>1074738.6000000001</v>
      </c>
      <c r="AA193" s="0">
        <f t="shared" ca="1" si="59"/>
        <v>1016947.7</v>
      </c>
      <c r="AB193" cm="1" s="0">
        <f t="array" ref="AB193">MAX(IF(ISNUMBER(J193:Y193),J193:Y193))</f>
        <v>1201779</v>
      </c>
      <c r="AC193" cm="1" s="0">
        <f t="array" ref="AC193">MIN(IF(ISNUMBER(J193:Y193),J193:Y193))</f>
        <v>713941</v>
      </c>
      <c r="AD193" s="0">
        <f t="shared" si="53"/>
        <v>487838</v>
      </c>
    </row>
    <row r="194" spans="1:30" x14ac:dyDescent="0.2">
      <c r="A194" t="s" s="0">
        <v>3803</v>
      </c>
      <c r="B194" s="2">
        <v>1228132</v>
      </c>
      <c r="C194" s="2">
        <v>37910</v>
      </c>
      <c r="D194" s="2">
        <v>33421</v>
      </c>
      <c r="E194" s="2">
        <v>36628</v>
      </c>
      <c r="F194" s="2">
        <v>48014</v>
      </c>
      <c r="G194" s="2">
        <v>43317</v>
      </c>
      <c r="I194" t="str" s="0">
        <f t="shared" si="41"/>
        <v>07/10</v>
      </c>
      <c r="J194" s="2">
        <f t="shared" si="42"/>
        <v>713941</v>
      </c>
      <c r="K194" s="2">
        <f t="shared" si="43"/>
        <v>1001524</v>
      </c>
      <c r="L194" s="2">
        <f t="shared" si="44"/>
        <v>1132229</v>
      </c>
      <c r="M194" s="2">
        <f t="shared" si="45"/>
        <v>1014724</v>
      </c>
      <c r="N194" s="2">
        <f t="shared" si="46"/>
        <v>977756</v>
      </c>
      <c r="O194" s="2">
        <f t="shared" si="47"/>
        <v>1044995</v>
      </c>
      <c r="P194" s="2">
        <f t="shared" si="48"/>
        <v>1178053</v>
      </c>
      <c r="Q194" s="2">
        <f t="shared" si="49"/>
        <v>959182</v>
      </c>
      <c r="R194" s="2">
        <f t="shared" si="50"/>
        <v>1127870</v>
      </c>
      <c r="S194" s="2">
        <f t="shared" si="51"/>
        <v>1012681</v>
      </c>
      <c r="T194" s="2">
        <f t="shared" si="52"/>
        <v>1147032</v>
      </c>
      <c r="U194" s="2" t="e">
        <f t="shared" si="54"/>
        <v>#N/A</v>
      </c>
      <c r="V194" s="2" t="e">
        <f t="shared" si="55"/>
        <v>#N/A</v>
      </c>
      <c r="W194" s="2" t="e">
        <f t="shared" si="56"/>
        <v>#N/A</v>
      </c>
      <c r="X194" s="2" t="e">
        <f t="shared" si="57"/>
        <v>#N/A</v>
      </c>
      <c r="Y194" s="2" t="e">
        <f t="shared" si="58"/>
        <v>#N/A</v>
      </c>
      <c r="Z194" s="0">
        <f t="shared" ca="1" si="60"/>
        <v>1064556.2</v>
      </c>
      <c r="AA194" s="0">
        <f t="shared" ca="1" si="59"/>
        <v>1016295.5</v>
      </c>
      <c r="AB194" cm="1" s="0">
        <f t="array" ref="AB194">MAX(IF(ISNUMBER(J194:Y194),J194:Y194))</f>
        <v>1178053</v>
      </c>
      <c r="AC194" cm="1" s="0">
        <f t="array" ref="AC194">MIN(IF(ISNUMBER(J194:Y194),J194:Y194))</f>
        <v>713941</v>
      </c>
      <c r="AD194" s="0">
        <f t="shared" si="53"/>
        <v>464112</v>
      </c>
    </row>
    <row r="195" spans="1:30" x14ac:dyDescent="0.2">
      <c r="A195" t="s" s="0">
        <v>3802</v>
      </c>
      <c r="B195" s="3">
        <v>1228132</v>
      </c>
      <c r="C195" s="3">
        <v>37910</v>
      </c>
      <c r="D195" s="3">
        <v>33421</v>
      </c>
      <c r="E195" s="3">
        <v>36628</v>
      </c>
      <c r="F195" s="3">
        <v>48014</v>
      </c>
      <c r="G195" s="3">
        <v>43317</v>
      </c>
      <c r="I195" t="str" s="0">
        <f t="shared" si="41"/>
        <v>07/11</v>
      </c>
      <c r="J195" s="2">
        <f t="shared" si="42"/>
        <v>713941</v>
      </c>
      <c r="K195" s="2">
        <f t="shared" si="43"/>
        <v>1041347</v>
      </c>
      <c r="L195" s="2">
        <f t="shared" si="44"/>
        <v>1140270</v>
      </c>
      <c r="M195" s="2">
        <f t="shared" si="45"/>
        <v>962785</v>
      </c>
      <c r="N195" s="2">
        <f t="shared" si="46"/>
        <v>910394</v>
      </c>
      <c r="O195" s="2">
        <f t="shared" si="47"/>
        <v>1044995</v>
      </c>
      <c r="P195" s="2">
        <f t="shared" si="48"/>
        <v>1192952</v>
      </c>
      <c r="Q195" s="2">
        <f t="shared" si="49"/>
        <v>917791</v>
      </c>
      <c r="R195" s="2">
        <f t="shared" si="50"/>
        <v>1108888</v>
      </c>
      <c r="S195" s="2">
        <f t="shared" si="51"/>
        <v>1012597</v>
      </c>
      <c r="T195" s="2">
        <f t="shared" si="52"/>
        <v>1147032</v>
      </c>
      <c r="U195" s="2" t="e">
        <f t="shared" si="54"/>
        <v>#N/A</v>
      </c>
      <c r="V195" s="2" t="e">
        <f t="shared" si="55"/>
        <v>#N/A</v>
      </c>
      <c r="W195" s="2" t="e">
        <f t="shared" si="56"/>
        <v>#N/A</v>
      </c>
      <c r="X195" s="2" t="e">
        <f t="shared" si="57"/>
        <v>#N/A</v>
      </c>
      <c r="Y195" s="2" t="e">
        <f t="shared" si="58"/>
        <v>#N/A</v>
      </c>
      <c r="Z195" s="0">
        <f t="shared" ca="1" si="60"/>
        <v>1055444.6000000001</v>
      </c>
      <c r="AA195" s="0">
        <f t="shared" ca="1" si="59"/>
        <v>1004596</v>
      </c>
      <c r="AB195" cm="1" s="0">
        <f t="array" ref="AB195">MAX(IF(ISNUMBER(J195:Y195),J195:Y195))</f>
        <v>1192952</v>
      </c>
      <c r="AC195" cm="1" s="0">
        <f t="array" ref="AC195">MIN(IF(ISNUMBER(J195:Y195),J195:Y195))</f>
        <v>713941</v>
      </c>
      <c r="AD195" s="0">
        <f t="shared" si="53"/>
        <v>479011</v>
      </c>
    </row>
    <row r="196" spans="1:30" x14ac:dyDescent="0.2">
      <c r="A196" t="s" s="0">
        <v>3801</v>
      </c>
      <c r="B196" s="3">
        <v>1228132</v>
      </c>
      <c r="C196" s="3">
        <v>37910</v>
      </c>
      <c r="D196" s="3">
        <v>33421</v>
      </c>
      <c r="E196" s="3">
        <v>36628</v>
      </c>
      <c r="F196" s="3">
        <v>48014</v>
      </c>
      <c r="G196" s="3">
        <v>43317</v>
      </c>
      <c r="I196" t="str" s="0">
        <f t="shared" ref="I196:I259" si="61">LEFT(A379, 5)</f>
        <v>07/12</v>
      </c>
      <c r="J196" s="2">
        <f t="shared" ref="J196:J259" si="62">B379</f>
        <v>735586</v>
      </c>
      <c r="K196" s="2">
        <f t="shared" ref="K196:K259" si="63">B744</f>
        <v>1058632</v>
      </c>
      <c r="L196" s="2">
        <f t="shared" ref="L196:L259" si="64">B1109</f>
        <v>1115642</v>
      </c>
      <c r="M196" s="2">
        <f t="shared" ref="M196:M259" si="65">B1474</f>
        <v>1026595</v>
      </c>
      <c r="N196" s="2">
        <f t="shared" ref="N196:N259" si="66">B1839</f>
        <v>910394</v>
      </c>
      <c r="O196" s="2">
        <f t="shared" ref="O196:O259" si="67">B2204</f>
        <v>1044687</v>
      </c>
      <c r="P196" s="2">
        <f t="shared" ref="P196:P259" si="68">B2569</f>
        <v>1140294</v>
      </c>
      <c r="Q196" s="2">
        <f t="shared" ref="Q196:Q259" si="69">B2934</f>
        <v>1000617</v>
      </c>
      <c r="R196" s="2">
        <f t="shared" ref="R196:R259" si="70">B3299</f>
        <v>1119358</v>
      </c>
      <c r="S196" s="2">
        <f t="shared" ref="S196:S259" si="71">B3664</f>
        <v>1012597</v>
      </c>
      <c r="T196" s="2">
        <f t="shared" si="52"/>
        <v>1147032</v>
      </c>
      <c r="U196" s="2" t="e">
        <f t="shared" si="54"/>
        <v>#N/A</v>
      </c>
      <c r="V196" s="2" t="e">
        <f t="shared" si="55"/>
        <v>#N/A</v>
      </c>
      <c r="W196" s="2" t="e">
        <f t="shared" si="56"/>
        <v>#N/A</v>
      </c>
      <c r="X196" s="2" t="e">
        <f t="shared" si="57"/>
        <v>#N/A</v>
      </c>
      <c r="Y196" s="2" t="e">
        <f t="shared" si="58"/>
        <v>#N/A</v>
      </c>
      <c r="Z196" s="0">
        <f t="shared" ca="1" si="60"/>
        <v>1063510.6000000001</v>
      </c>
      <c r="AA196" s="0">
        <f t="shared" ca="1" si="59"/>
        <v>1016440.2</v>
      </c>
      <c r="AB196" cm="1" s="0">
        <f t="array" ref="AB196">MAX(IF(ISNUMBER(J196:Y196),J196:Y196))</f>
        <v>1147032</v>
      </c>
      <c r="AC196" cm="1" s="0">
        <f t="array" ref="AC196">MIN(IF(ISNUMBER(J196:Y196),J196:Y196))</f>
        <v>735586</v>
      </c>
      <c r="AD196" s="0">
        <f t="shared" ref="AD196:AD259" si="72">AB196-AC196</f>
        <v>411446</v>
      </c>
    </row>
    <row r="197" spans="1:30" x14ac:dyDescent="0.2">
      <c r="A197" t="s" s="0">
        <v>3800</v>
      </c>
      <c r="B197" s="2">
        <v>1199996</v>
      </c>
      <c r="C197" s="2">
        <v>21036</v>
      </c>
      <c r="D197" s="2">
        <v>35979</v>
      </c>
      <c r="E197" s="2">
        <v>37127</v>
      </c>
      <c r="F197" s="2">
        <v>39777</v>
      </c>
      <c r="G197" s="2">
        <v>39011</v>
      </c>
      <c r="I197" t="str" s="0">
        <f t="shared" si="61"/>
        <v>07/13</v>
      </c>
      <c r="J197" s="2">
        <f t="shared" si="62"/>
        <v>763061</v>
      </c>
      <c r="K197" s="2">
        <f t="shared" si="63"/>
        <v>1037853</v>
      </c>
      <c r="L197" s="2">
        <f t="shared" si="64"/>
        <v>1125930</v>
      </c>
      <c r="M197" s="2">
        <f t="shared" si="65"/>
        <v>1026595</v>
      </c>
      <c r="N197" s="2">
        <f t="shared" si="66"/>
        <v>910394</v>
      </c>
      <c r="O197" s="2">
        <f t="shared" si="67"/>
        <v>1058904</v>
      </c>
      <c r="P197" s="2">
        <f t="shared" si="68"/>
        <v>1108644</v>
      </c>
      <c r="Q197" s="2">
        <f t="shared" si="69"/>
        <v>978423</v>
      </c>
      <c r="R197" s="2">
        <f t="shared" si="70"/>
        <v>1096332</v>
      </c>
      <c r="S197" s="2">
        <f t="shared" si="71"/>
        <v>1012597</v>
      </c>
      <c r="T197" s="2">
        <f t="shared" ref="T197:T206" si="73">IF(B4030=0, NA(), B4030)</f>
        <v>1215624</v>
      </c>
      <c r="U197" s="2" t="e">
        <f t="shared" ref="U197:U260" si="74">IF(B4389=0, NA(), B4389)</f>
        <v>#N/A</v>
      </c>
      <c r="V197" s="2" t="e">
        <f t="shared" ref="V197:V260" si="75">IF(B4754=0, NA(), B4754)</f>
        <v>#N/A</v>
      </c>
      <c r="W197" s="2" t="e">
        <f t="shared" ref="W197:W260" si="76">IF(B5119=0, NA(), B5119)</f>
        <v>#N/A</v>
      </c>
      <c r="X197" s="2" t="e">
        <f t="shared" ref="X197:X260" si="77">IF(B5484=0, NA(), B5484)</f>
        <v>#N/A</v>
      </c>
      <c r="Y197" s="2" t="e">
        <f t="shared" ref="Y197:Y260" si="78">IF(B5849=0, NA(), B5849)</f>
        <v>#N/A</v>
      </c>
      <c r="Z197" s="0">
        <f t="shared" ca="1" si="60"/>
        <v>1050980</v>
      </c>
      <c r="AA197" s="0">
        <f t="shared" ca="1" si="59"/>
        <v>1011873.3</v>
      </c>
      <c r="AB197" cm="1" s="0">
        <f t="array" ref="AB197">MAX(IF(ISNUMBER(J197:Y197),J197:Y197))</f>
        <v>1215624</v>
      </c>
      <c r="AC197" cm="1" s="0">
        <f t="array" ref="AC197">MIN(IF(ISNUMBER(J197:Y197),J197:Y197))</f>
        <v>763061</v>
      </c>
      <c r="AD197" s="0">
        <f t="shared" si="72"/>
        <v>452563</v>
      </c>
    </row>
    <row r="198" spans="1:30" x14ac:dyDescent="0.2">
      <c r="A198" t="s" s="0">
        <v>3799</v>
      </c>
      <c r="B198" s="2">
        <v>1178670</v>
      </c>
      <c r="C198" s="2">
        <v>34280</v>
      </c>
      <c r="D198" s="2">
        <v>37633</v>
      </c>
      <c r="E198" s="2">
        <v>37402</v>
      </c>
      <c r="F198" s="2">
        <v>37627</v>
      </c>
      <c r="G198" s="2">
        <v>39728</v>
      </c>
      <c r="I198" t="str" s="0">
        <f t="shared" si="61"/>
        <v>07/14</v>
      </c>
      <c r="J198" s="2">
        <f t="shared" si="62"/>
        <v>730122</v>
      </c>
      <c r="K198" s="2">
        <f t="shared" si="63"/>
        <v>983872</v>
      </c>
      <c r="L198" s="2">
        <f t="shared" si="64"/>
        <v>1125930</v>
      </c>
      <c r="M198" s="2">
        <f t="shared" si="65"/>
        <v>1026595</v>
      </c>
      <c r="N198" s="2">
        <f t="shared" si="66"/>
        <v>985078</v>
      </c>
      <c r="O198" s="2">
        <f t="shared" si="67"/>
        <v>1012403</v>
      </c>
      <c r="P198" s="2">
        <f t="shared" si="68"/>
        <v>1049663</v>
      </c>
      <c r="Q198" s="2">
        <f t="shared" si="69"/>
        <v>972992</v>
      </c>
      <c r="R198" s="2">
        <f t="shared" si="70"/>
        <v>1096332</v>
      </c>
      <c r="S198" s="2">
        <f t="shared" si="71"/>
        <v>1254396</v>
      </c>
      <c r="T198" s="2">
        <f t="shared" si="73"/>
        <v>1222675</v>
      </c>
      <c r="U198" s="2" t="e">
        <f t="shared" si="74"/>
        <v>#N/A</v>
      </c>
      <c r="V198" s="2" t="e">
        <f t="shared" si="75"/>
        <v>#N/A</v>
      </c>
      <c r="W198" s="2" t="e">
        <f t="shared" si="76"/>
        <v>#N/A</v>
      </c>
      <c r="X198" s="2" t="e">
        <f t="shared" si="77"/>
        <v>#N/A</v>
      </c>
      <c r="Y198" s="2" t="e">
        <f t="shared" si="78"/>
        <v>#N/A</v>
      </c>
      <c r="Z198" s="0">
        <f t="shared" ca="1" si="60"/>
        <v>1077157.2</v>
      </c>
      <c r="AA198" s="0">
        <f t="shared" ref="AA198:AA261" ca="1" si="79">AVERAGE(OFFSET(J198,0,YEAR(TODAY())-2015-10,1,10))</f>
        <v>1023738.3</v>
      </c>
      <c r="AB198" cm="1" s="0">
        <f t="array" ref="AB198">MAX(IF(ISNUMBER(J198:Y198),J198:Y198))</f>
        <v>1254396</v>
      </c>
      <c r="AC198" cm="1" s="0">
        <f t="array" ref="AC198">MIN(IF(ISNUMBER(J198:Y198),J198:Y198))</f>
        <v>730122</v>
      </c>
      <c r="AD198" s="0">
        <f t="shared" si="72"/>
        <v>524274</v>
      </c>
    </row>
    <row r="199" spans="1:30" x14ac:dyDescent="0.2">
      <c r="A199" t="s" s="0">
        <v>3798</v>
      </c>
      <c r="B199" s="2">
        <v>1142881</v>
      </c>
      <c r="C199" s="2">
        <v>35789</v>
      </c>
      <c r="D199" s="2">
        <v>37706</v>
      </c>
      <c r="E199" s="2">
        <v>36540</v>
      </c>
      <c r="F199" s="2">
        <v>33486</v>
      </c>
      <c r="G199" s="2">
        <v>38657</v>
      </c>
      <c r="I199" t="str" s="0">
        <f t="shared" si="61"/>
        <v>07/15</v>
      </c>
      <c r="J199" s="2">
        <f t="shared" si="62"/>
        <v>792273</v>
      </c>
      <c r="K199" s="2">
        <f t="shared" si="63"/>
        <v>983872</v>
      </c>
      <c r="L199" s="2">
        <f t="shared" si="64"/>
        <v>1125930</v>
      </c>
      <c r="M199" s="2">
        <f t="shared" si="65"/>
        <v>986158</v>
      </c>
      <c r="N199" s="2">
        <f t="shared" si="66"/>
        <v>972108</v>
      </c>
      <c r="O199" s="2">
        <f t="shared" si="67"/>
        <v>1002690</v>
      </c>
      <c r="P199" s="2">
        <f t="shared" si="68"/>
        <v>1058562</v>
      </c>
      <c r="Q199" s="2">
        <f t="shared" si="69"/>
        <v>972992</v>
      </c>
      <c r="R199" s="2">
        <f t="shared" si="70"/>
        <v>1096332</v>
      </c>
      <c r="S199" s="2">
        <f t="shared" si="71"/>
        <v>1233962</v>
      </c>
      <c r="T199" s="2">
        <f t="shared" si="73"/>
        <v>1250416</v>
      </c>
      <c r="U199" s="2" t="e">
        <f t="shared" si="74"/>
        <v>#N/A</v>
      </c>
      <c r="V199" s="2" t="e">
        <f t="shared" si="75"/>
        <v>#N/A</v>
      </c>
      <c r="W199" s="2" t="e">
        <f t="shared" si="76"/>
        <v>#N/A</v>
      </c>
      <c r="X199" s="2" t="e">
        <f t="shared" si="77"/>
        <v>#N/A</v>
      </c>
      <c r="Y199" s="2" t="e">
        <f t="shared" si="78"/>
        <v>#N/A</v>
      </c>
      <c r="Z199" s="0">
        <f t="shared" ca="1" si="60"/>
        <v>1072907.6000000001</v>
      </c>
      <c r="AA199" s="0">
        <f t="shared" ca="1" si="79"/>
        <v>1022487.9</v>
      </c>
      <c r="AB199" cm="1" s="0">
        <f t="array" ref="AB199">MAX(IF(ISNUMBER(J199:Y199),J199:Y199))</f>
        <v>1250416</v>
      </c>
      <c r="AC199" cm="1" s="0">
        <f t="array" ref="AC199">MIN(IF(ISNUMBER(J199:Y199),J199:Y199))</f>
        <v>792273</v>
      </c>
      <c r="AD199" s="0">
        <f t="shared" si="72"/>
        <v>458143</v>
      </c>
    </row>
    <row r="200" spans="1:30" x14ac:dyDescent="0.2">
      <c r="A200" t="s" s="0">
        <v>3797</v>
      </c>
      <c r="B200" s="2">
        <v>1089732</v>
      </c>
      <c r="C200" s="2">
        <v>40475</v>
      </c>
      <c r="D200" s="2">
        <v>40087</v>
      </c>
      <c r="E200" s="2">
        <v>36699</v>
      </c>
      <c r="F200" s="2">
        <v>13465</v>
      </c>
      <c r="G200" s="2">
        <v>36890</v>
      </c>
      <c r="I200" t="str" s="0">
        <f t="shared" si="61"/>
        <v>07/16</v>
      </c>
      <c r="J200" s="2">
        <f t="shared" si="62"/>
        <v>789918</v>
      </c>
      <c r="K200" s="2">
        <f t="shared" si="63"/>
        <v>983872</v>
      </c>
      <c r="L200" s="2">
        <f t="shared" si="64"/>
        <v>1119909</v>
      </c>
      <c r="M200" s="2">
        <f t="shared" si="65"/>
        <v>1072326</v>
      </c>
      <c r="N200" s="2">
        <f t="shared" si="66"/>
        <v>985666</v>
      </c>
      <c r="O200" s="2">
        <f t="shared" si="67"/>
        <v>1013369</v>
      </c>
      <c r="P200" s="2">
        <f t="shared" si="68"/>
        <v>1058562</v>
      </c>
      <c r="Q200" s="2">
        <f t="shared" si="69"/>
        <v>972992</v>
      </c>
      <c r="R200" s="2">
        <f t="shared" si="70"/>
        <v>1232125</v>
      </c>
      <c r="S200" s="2">
        <f t="shared" si="71"/>
        <v>1201009</v>
      </c>
      <c r="T200" s="2">
        <f t="shared" si="73"/>
        <v>1226334</v>
      </c>
      <c r="U200" s="2" t="e">
        <f t="shared" si="74"/>
        <v>#N/A</v>
      </c>
      <c r="V200" s="2" t="e">
        <f t="shared" si="75"/>
        <v>#N/A</v>
      </c>
      <c r="W200" s="2" t="e">
        <f t="shared" si="76"/>
        <v>#N/A</v>
      </c>
      <c r="X200" s="2" t="e">
        <f t="shared" si="77"/>
        <v>#N/A</v>
      </c>
      <c r="Y200" s="2" t="e">
        <f t="shared" si="78"/>
        <v>#N/A</v>
      </c>
      <c r="Z200" s="0">
        <f t="shared" ref="Z200:Z263" ca="1" si="80">AVERAGE(OFFSET(J200,0,YEAR(TODAY())-2015-5,1,5))</f>
        <v>1095611.3999999999</v>
      </c>
      <c r="AA200" s="0">
        <f t="shared" ca="1" si="79"/>
        <v>1042974.8</v>
      </c>
      <c r="AB200" cm="1" s="0">
        <f t="array" ref="AB200">MAX(IF(ISNUMBER(J200:Y200),J200:Y200))</f>
        <v>1232125</v>
      </c>
      <c r="AC200" cm="1" s="0">
        <f t="array" ref="AC200">MIN(IF(ISNUMBER(J200:Y200),J200:Y200))</f>
        <v>789918</v>
      </c>
      <c r="AD200" s="0">
        <f t="shared" si="72"/>
        <v>442207</v>
      </c>
    </row>
    <row r="201" spans="1:30" x14ac:dyDescent="0.2">
      <c r="A201" t="s" s="0">
        <v>3796</v>
      </c>
      <c r="B201" s="2">
        <v>1091816</v>
      </c>
      <c r="C201" s="2">
        <v>33878</v>
      </c>
      <c r="D201" s="2">
        <v>38224</v>
      </c>
      <c r="E201" s="2">
        <v>35950</v>
      </c>
      <c r="F201" s="2">
        <v>17751</v>
      </c>
      <c r="G201" s="2">
        <v>34932</v>
      </c>
      <c r="I201" t="str" s="0">
        <f t="shared" si="61"/>
        <v>07/17</v>
      </c>
      <c r="J201" s="2">
        <f t="shared" si="62"/>
        <v>789918</v>
      </c>
      <c r="K201" s="2">
        <f t="shared" si="63"/>
        <v>969555</v>
      </c>
      <c r="L201" s="2">
        <f t="shared" si="64"/>
        <v>1088068</v>
      </c>
      <c r="M201" s="2">
        <f t="shared" si="65"/>
        <v>938733</v>
      </c>
      <c r="N201" s="2">
        <f t="shared" si="66"/>
        <v>928710</v>
      </c>
      <c r="O201" s="2">
        <f t="shared" si="67"/>
        <v>1013369</v>
      </c>
      <c r="P201" s="2">
        <f t="shared" si="68"/>
        <v>1058562</v>
      </c>
      <c r="Q201" s="2">
        <f t="shared" si="69"/>
        <v>1026752</v>
      </c>
      <c r="R201" s="2">
        <f t="shared" si="70"/>
        <v>1170957</v>
      </c>
      <c r="S201" s="2">
        <f t="shared" si="71"/>
        <v>1184629</v>
      </c>
      <c r="T201" s="2">
        <f t="shared" si="73"/>
        <v>1258265</v>
      </c>
      <c r="U201" s="2" t="e">
        <f t="shared" si="74"/>
        <v>#N/A</v>
      </c>
      <c r="V201" s="2" t="e">
        <f t="shared" si="75"/>
        <v>#N/A</v>
      </c>
      <c r="W201" s="2" t="e">
        <f t="shared" si="76"/>
        <v>#N/A</v>
      </c>
      <c r="X201" s="2" t="e">
        <f t="shared" si="77"/>
        <v>#N/A</v>
      </c>
      <c r="Y201" s="2" t="e">
        <f t="shared" si="78"/>
        <v>#N/A</v>
      </c>
      <c r="Z201" s="0">
        <f t="shared" ca="1" si="80"/>
        <v>1090853.8</v>
      </c>
      <c r="AA201" s="0">
        <f t="shared" ca="1" si="79"/>
        <v>1016925.3</v>
      </c>
      <c r="AB201" cm="1" s="0">
        <f t="array" ref="AB201">MAX(IF(ISNUMBER(J201:Y201),J201:Y201))</f>
        <v>1258265</v>
      </c>
      <c r="AC201" cm="1" s="0">
        <f t="array" ref="AC201">MIN(IF(ISNUMBER(J201:Y201),J201:Y201))</f>
        <v>789918</v>
      </c>
      <c r="AD201" s="0">
        <f t="shared" si="72"/>
        <v>468347</v>
      </c>
    </row>
    <row r="202" spans="1:30" x14ac:dyDescent="0.2">
      <c r="A202" t="s" s="0">
        <v>3795</v>
      </c>
      <c r="B202" s="3">
        <v>1091816</v>
      </c>
      <c r="C202" s="3">
        <v>33878</v>
      </c>
      <c r="D202" s="3">
        <v>38224</v>
      </c>
      <c r="E202" s="3">
        <v>35950</v>
      </c>
      <c r="F202" s="3">
        <v>17751</v>
      </c>
      <c r="G202" s="3">
        <v>34932</v>
      </c>
      <c r="I202" t="str" s="0">
        <f t="shared" si="61"/>
        <v>07/18</v>
      </c>
      <c r="J202" s="2">
        <f t="shared" si="62"/>
        <v>789918</v>
      </c>
      <c r="K202" s="2">
        <f t="shared" si="63"/>
        <v>907378</v>
      </c>
      <c r="L202" s="2">
        <f t="shared" si="64"/>
        <v>1117584</v>
      </c>
      <c r="M202" s="2">
        <f t="shared" si="65"/>
        <v>917545</v>
      </c>
      <c r="N202" s="2">
        <f t="shared" si="66"/>
        <v>954985</v>
      </c>
      <c r="O202" s="2">
        <f t="shared" si="67"/>
        <v>1013369</v>
      </c>
      <c r="P202" s="2">
        <f t="shared" si="68"/>
        <v>1032209</v>
      </c>
      <c r="Q202" s="2">
        <f t="shared" si="69"/>
        <v>1042356</v>
      </c>
      <c r="R202" s="2">
        <f t="shared" si="70"/>
        <v>1095029</v>
      </c>
      <c r="S202" s="2">
        <f t="shared" si="71"/>
        <v>1211402</v>
      </c>
      <c r="T202" s="2">
        <f t="shared" si="73"/>
        <v>1258265</v>
      </c>
      <c r="U202" s="2" t="e">
        <f t="shared" si="74"/>
        <v>#N/A</v>
      </c>
      <c r="V202" s="2" t="e">
        <f t="shared" si="75"/>
        <v>#N/A</v>
      </c>
      <c r="W202" s="2" t="e">
        <f t="shared" si="76"/>
        <v>#N/A</v>
      </c>
      <c r="X202" s="2" t="e">
        <f t="shared" si="77"/>
        <v>#N/A</v>
      </c>
      <c r="Y202" s="2" t="e">
        <f t="shared" si="78"/>
        <v>#N/A</v>
      </c>
      <c r="Z202" s="0">
        <f t="shared" ca="1" si="80"/>
        <v>1078873</v>
      </c>
      <c r="AA202" s="0">
        <f t="shared" ca="1" si="79"/>
        <v>1008177.5</v>
      </c>
      <c r="AB202" cm="1" s="0">
        <f t="array" ref="AB202">MAX(IF(ISNUMBER(J202:Y202),J202:Y202))</f>
        <v>1258265</v>
      </c>
      <c r="AC202" cm="1" s="0">
        <f t="array" ref="AC202">MIN(IF(ISNUMBER(J202:Y202),J202:Y202))</f>
        <v>789918</v>
      </c>
      <c r="AD202" s="0">
        <f t="shared" si="72"/>
        <v>468347</v>
      </c>
    </row>
    <row r="203" spans="1:30" x14ac:dyDescent="0.2">
      <c r="A203" t="s" s="0">
        <v>3794</v>
      </c>
      <c r="B203" s="3">
        <v>1091816</v>
      </c>
      <c r="C203" s="3">
        <v>33878</v>
      </c>
      <c r="D203" s="3">
        <v>38224</v>
      </c>
      <c r="E203" s="3">
        <v>35950</v>
      </c>
      <c r="F203" s="3">
        <v>17751</v>
      </c>
      <c r="G203" s="3">
        <v>34932</v>
      </c>
      <c r="I203" t="str" s="0">
        <f t="shared" si="61"/>
        <v>07/19</v>
      </c>
      <c r="J203" s="2">
        <f t="shared" si="62"/>
        <v>780105</v>
      </c>
      <c r="K203" s="2">
        <f t="shared" si="63"/>
        <v>961485</v>
      </c>
      <c r="L203" s="2">
        <f t="shared" si="64"/>
        <v>1144120</v>
      </c>
      <c r="M203" s="2">
        <f t="shared" si="65"/>
        <v>1156259</v>
      </c>
      <c r="N203" s="2">
        <f t="shared" si="66"/>
        <v>954985</v>
      </c>
      <c r="O203" s="2">
        <f t="shared" si="67"/>
        <v>1013732</v>
      </c>
      <c r="P203" s="2">
        <f t="shared" si="68"/>
        <v>1062065</v>
      </c>
      <c r="Q203" s="2">
        <f t="shared" si="69"/>
        <v>1076159</v>
      </c>
      <c r="R203" s="2">
        <f t="shared" si="70"/>
        <v>1048748</v>
      </c>
      <c r="S203" s="2">
        <f t="shared" si="71"/>
        <v>1211402</v>
      </c>
      <c r="T203" s="2">
        <f t="shared" si="73"/>
        <v>1258265</v>
      </c>
      <c r="U203" s="2" t="e">
        <f t="shared" si="74"/>
        <v>#N/A</v>
      </c>
      <c r="V203" s="2" t="e">
        <f t="shared" si="75"/>
        <v>#N/A</v>
      </c>
      <c r="W203" s="2" t="e">
        <f t="shared" si="76"/>
        <v>#N/A</v>
      </c>
      <c r="X203" s="2" t="e">
        <f t="shared" si="77"/>
        <v>#N/A</v>
      </c>
      <c r="Y203" s="2" t="e">
        <f t="shared" si="78"/>
        <v>#N/A</v>
      </c>
      <c r="Z203" s="0">
        <f t="shared" ca="1" si="80"/>
        <v>1082421.2</v>
      </c>
      <c r="AA203" s="0">
        <f t="shared" ca="1" si="79"/>
        <v>1040906</v>
      </c>
      <c r="AB203" cm="1" s="0">
        <f t="array" ref="AB203">MAX(IF(ISNUMBER(J203:Y203),J203:Y203))</f>
        <v>1258265</v>
      </c>
      <c r="AC203" cm="1" s="0">
        <f t="array" ref="AC203">MIN(IF(ISNUMBER(J203:Y203),J203:Y203))</f>
        <v>780105</v>
      </c>
      <c r="AD203" s="0">
        <f t="shared" si="72"/>
        <v>478160</v>
      </c>
    </row>
    <row r="204" spans="1:30" x14ac:dyDescent="0.2">
      <c r="A204" t="s" s="0">
        <v>3793</v>
      </c>
      <c r="B204" s="2">
        <v>1026822</v>
      </c>
      <c r="C204" s="2">
        <v>20296</v>
      </c>
      <c r="D204" s="2">
        <v>36438</v>
      </c>
      <c r="E204" s="2">
        <v>34954</v>
      </c>
      <c r="F204" s="2">
        <v>10699</v>
      </c>
      <c r="G204" s="2">
        <v>29963</v>
      </c>
      <c r="I204" t="str" s="0">
        <f t="shared" si="61"/>
        <v>07/20</v>
      </c>
      <c r="J204" s="2">
        <f t="shared" si="62"/>
        <v>739386</v>
      </c>
      <c r="K204" s="2">
        <f t="shared" si="63"/>
        <v>914668</v>
      </c>
      <c r="L204" s="2">
        <f t="shared" si="64"/>
        <v>1139078</v>
      </c>
      <c r="M204" s="2">
        <f t="shared" si="65"/>
        <v>1156259</v>
      </c>
      <c r="N204" s="2">
        <f t="shared" si="66"/>
        <v>954985</v>
      </c>
      <c r="O204" s="2">
        <f t="shared" si="67"/>
        <v>1069649</v>
      </c>
      <c r="P204" s="2">
        <f t="shared" si="68"/>
        <v>1061443</v>
      </c>
      <c r="Q204" s="2">
        <f t="shared" si="69"/>
        <v>1010448</v>
      </c>
      <c r="R204" s="2">
        <f t="shared" si="70"/>
        <v>1091306</v>
      </c>
      <c r="S204" s="2">
        <f t="shared" si="71"/>
        <v>1211402</v>
      </c>
      <c r="T204" s="2">
        <f t="shared" si="73"/>
        <v>1240318</v>
      </c>
      <c r="U204" s="2" t="e">
        <f t="shared" si="74"/>
        <v>#N/A</v>
      </c>
      <c r="V204" s="2" t="e">
        <f t="shared" si="75"/>
        <v>#N/A</v>
      </c>
      <c r="W204" s="2" t="e">
        <f t="shared" si="76"/>
        <v>#N/A</v>
      </c>
      <c r="X204" s="2" t="e">
        <f t="shared" si="77"/>
        <v>#N/A</v>
      </c>
      <c r="Y204" s="2" t="e">
        <f t="shared" si="78"/>
        <v>#N/A</v>
      </c>
      <c r="Z204" s="0">
        <f t="shared" ca="1" si="80"/>
        <v>1088849.6000000001</v>
      </c>
      <c r="AA204" s="0">
        <f t="shared" ca="1" si="79"/>
        <v>1034862.4</v>
      </c>
      <c r="AB204" cm="1" s="0">
        <f t="array" ref="AB204">MAX(IF(ISNUMBER(J204:Y204),J204:Y204))</f>
        <v>1240318</v>
      </c>
      <c r="AC204" cm="1" s="0">
        <f t="array" ref="AC204">MIN(IF(ISNUMBER(J204:Y204),J204:Y204))</f>
        <v>739386</v>
      </c>
      <c r="AD204" s="0">
        <f t="shared" si="72"/>
        <v>500932</v>
      </c>
    </row>
    <row r="205" spans="1:30" x14ac:dyDescent="0.2">
      <c r="A205" t="s" s="0">
        <v>3792</v>
      </c>
      <c r="B205" s="2">
        <v>994055</v>
      </c>
      <c r="C205" s="2">
        <v>32767</v>
      </c>
      <c r="D205" s="2">
        <v>35223</v>
      </c>
      <c r="E205" s="2">
        <v>34825</v>
      </c>
      <c r="F205" s="2">
        <v>7849</v>
      </c>
      <c r="G205" s="2">
        <v>31379</v>
      </c>
      <c r="I205" t="str" s="0">
        <f t="shared" si="61"/>
        <v>07/21</v>
      </c>
      <c r="J205" s="2">
        <f t="shared" si="62"/>
        <v>724867</v>
      </c>
      <c r="K205" s="2">
        <f t="shared" si="63"/>
        <v>919987</v>
      </c>
      <c r="L205" s="2">
        <f t="shared" si="64"/>
        <v>1139078</v>
      </c>
      <c r="M205" s="2">
        <f t="shared" si="65"/>
        <v>1156259</v>
      </c>
      <c r="N205" s="2">
        <f t="shared" si="66"/>
        <v>912716</v>
      </c>
      <c r="O205" s="2">
        <f t="shared" si="67"/>
        <v>1058791</v>
      </c>
      <c r="P205" s="2">
        <f t="shared" si="68"/>
        <v>1079055</v>
      </c>
      <c r="Q205" s="2">
        <f t="shared" si="69"/>
        <v>1025181</v>
      </c>
      <c r="R205" s="2">
        <f t="shared" si="70"/>
        <v>1091306</v>
      </c>
      <c r="S205" s="2">
        <f t="shared" si="71"/>
        <v>1181557</v>
      </c>
      <c r="T205" s="2">
        <f t="shared" si="73"/>
        <v>1246427</v>
      </c>
      <c r="U205" s="2" t="e">
        <f t="shared" si="74"/>
        <v>#N/A</v>
      </c>
      <c r="V205" s="2" t="e">
        <f t="shared" si="75"/>
        <v>#N/A</v>
      </c>
      <c r="W205" s="2" t="e">
        <f t="shared" si="76"/>
        <v>#N/A</v>
      </c>
      <c r="X205" s="2" t="e">
        <f t="shared" si="77"/>
        <v>#N/A</v>
      </c>
      <c r="Y205" s="2" t="e">
        <f t="shared" si="78"/>
        <v>#N/A</v>
      </c>
      <c r="Z205" s="0">
        <f t="shared" ca="1" si="80"/>
        <v>1087178</v>
      </c>
      <c r="AA205" s="0">
        <f t="shared" ca="1" si="79"/>
        <v>1028879.7</v>
      </c>
      <c r="AB205" cm="1" s="0">
        <f t="array" ref="AB205">MAX(IF(ISNUMBER(J205:Y205),J205:Y205))</f>
        <v>1246427</v>
      </c>
      <c r="AC205" cm="1" s="0">
        <f t="array" ref="AC205">MIN(IF(ISNUMBER(J205:Y205),J205:Y205))</f>
        <v>724867</v>
      </c>
      <c r="AD205" s="0">
        <f t="shared" si="72"/>
        <v>521560</v>
      </c>
    </row>
    <row r="206" spans="1:30" x14ac:dyDescent="0.2">
      <c r="A206" t="s" s="0">
        <v>3791</v>
      </c>
      <c r="B206" s="2">
        <v>969595</v>
      </c>
      <c r="C206" s="2">
        <v>34460</v>
      </c>
      <c r="D206" s="2">
        <v>35033</v>
      </c>
      <c r="E206" s="2">
        <v>34388</v>
      </c>
      <c r="F206" s="2">
        <v>9278</v>
      </c>
      <c r="G206" s="2">
        <v>30668</v>
      </c>
      <c r="I206" t="str" s="0">
        <f t="shared" si="61"/>
        <v>07/22</v>
      </c>
      <c r="J206" s="2">
        <f t="shared" si="62"/>
        <v>686392</v>
      </c>
      <c r="K206" s="2">
        <f t="shared" si="63"/>
        <v>919987</v>
      </c>
      <c r="L206" s="2">
        <f t="shared" si="64"/>
        <v>1139078</v>
      </c>
      <c r="M206" s="2">
        <f t="shared" si="65"/>
        <v>1125550</v>
      </c>
      <c r="N206" s="2">
        <f t="shared" si="66"/>
        <v>885196</v>
      </c>
      <c r="O206" s="2">
        <f t="shared" si="67"/>
        <v>1152486</v>
      </c>
      <c r="P206" s="2">
        <f t="shared" si="68"/>
        <v>1139331</v>
      </c>
      <c r="Q206" s="2">
        <f t="shared" si="69"/>
        <v>1025181</v>
      </c>
      <c r="R206" s="2">
        <f t="shared" si="70"/>
        <v>1091306</v>
      </c>
      <c r="S206" s="2">
        <f t="shared" si="71"/>
        <v>1130496</v>
      </c>
      <c r="T206" s="2">
        <f t="shared" si="73"/>
        <v>1205643</v>
      </c>
      <c r="U206" s="2" t="e">
        <f t="shared" si="74"/>
        <v>#N/A</v>
      </c>
      <c r="V206" s="2" t="e">
        <f t="shared" si="75"/>
        <v>#N/A</v>
      </c>
      <c r="W206" s="2" t="e">
        <f t="shared" si="76"/>
        <v>#N/A</v>
      </c>
      <c r="X206" s="2" t="e">
        <f t="shared" si="77"/>
        <v>#N/A</v>
      </c>
      <c r="Y206" s="2" t="e">
        <f t="shared" si="78"/>
        <v>#N/A</v>
      </c>
      <c r="Z206" s="0">
        <f t="shared" ca="1" si="80"/>
        <v>1107760</v>
      </c>
      <c r="AA206" s="0">
        <f t="shared" ca="1" si="79"/>
        <v>1029500.3</v>
      </c>
      <c r="AB206" cm="1" s="0">
        <f t="array" ref="AB206">MAX(IF(ISNUMBER(J206:Y206),J206:Y206))</f>
        <v>1205643</v>
      </c>
      <c r="AC206" cm="1" s="0">
        <f t="array" ref="AC206">MIN(IF(ISNUMBER(J206:Y206),J206:Y206))</f>
        <v>686392</v>
      </c>
      <c r="AD206" s="0">
        <f t="shared" si="72"/>
        <v>519251</v>
      </c>
    </row>
    <row r="207" spans="1:30" x14ac:dyDescent="0.2">
      <c r="A207" t="s" s="0">
        <v>3790</v>
      </c>
      <c r="B207" s="2">
        <v>931238</v>
      </c>
      <c r="C207" s="2">
        <v>38309</v>
      </c>
      <c r="D207" s="2">
        <v>32766</v>
      </c>
      <c r="E207" s="2">
        <v>34258</v>
      </c>
      <c r="F207" s="2">
        <v>9273</v>
      </c>
      <c r="G207" s="2">
        <v>28702</v>
      </c>
      <c r="I207" t="str" s="0">
        <f t="shared" si="61"/>
        <v>07/23</v>
      </c>
      <c r="J207" s="2">
        <f t="shared" si="62"/>
        <v>735393</v>
      </c>
      <c r="K207" s="2">
        <f t="shared" si="63"/>
        <v>919987</v>
      </c>
      <c r="L207" s="2">
        <f t="shared" si="64"/>
        <v>1030983</v>
      </c>
      <c r="M207" s="2">
        <f t="shared" si="65"/>
        <v>1152176</v>
      </c>
      <c r="N207" s="2">
        <f t="shared" si="66"/>
        <v>858503</v>
      </c>
      <c r="O207" s="2">
        <f t="shared" si="67"/>
        <v>1221529</v>
      </c>
      <c r="P207" s="2">
        <f t="shared" si="68"/>
        <v>1139331</v>
      </c>
      <c r="Q207" s="2">
        <f t="shared" si="69"/>
        <v>1025181</v>
      </c>
      <c r="R207" s="2">
        <f t="shared" si="70"/>
        <v>1133789</v>
      </c>
      <c r="S207" s="2">
        <f t="shared" si="71"/>
        <v>1133512</v>
      </c>
      <c r="T207" s="2">
        <f t="shared" ref="T207:T209" si="81">IF(B4034=0, NA(), B4034)</f>
        <v>1258265</v>
      </c>
      <c r="U207" s="2" t="e">
        <f t="shared" si="74"/>
        <v>#N/A</v>
      </c>
      <c r="V207" s="2" t="e">
        <f t="shared" si="75"/>
        <v>#N/A</v>
      </c>
      <c r="W207" s="2" t="e">
        <f t="shared" si="76"/>
        <v>#N/A</v>
      </c>
      <c r="X207" s="2" t="e">
        <f t="shared" si="77"/>
        <v>#N/A</v>
      </c>
      <c r="Y207" s="2" t="e">
        <f t="shared" si="78"/>
        <v>#N/A</v>
      </c>
      <c r="Z207" s="0">
        <f t="shared" ca="1" si="80"/>
        <v>1130668.3999999999</v>
      </c>
      <c r="AA207" s="0">
        <f t="shared" ca="1" si="79"/>
        <v>1035038.4</v>
      </c>
      <c r="AB207" cm="1" s="0">
        <f t="array" ref="AB207">MAX(IF(ISNUMBER(J207:Y207),J207:Y207))</f>
        <v>1258265</v>
      </c>
      <c r="AC207" cm="1" s="0">
        <f t="array" ref="AC207">MIN(IF(ISNUMBER(J207:Y207),J207:Y207))</f>
        <v>735393</v>
      </c>
      <c r="AD207" s="0">
        <f t="shared" si="72"/>
        <v>522872</v>
      </c>
    </row>
    <row r="208" spans="1:30" x14ac:dyDescent="0.2">
      <c r="A208" t="s" s="0">
        <v>3789</v>
      </c>
      <c r="B208" s="2">
        <v>939114</v>
      </c>
      <c r="C208" s="2">
        <v>36843</v>
      </c>
      <c r="D208" s="2">
        <v>34612</v>
      </c>
      <c r="E208" s="2">
        <v>35540</v>
      </c>
      <c r="F208" s="2">
        <v>12125</v>
      </c>
      <c r="G208" s="2">
        <v>28522</v>
      </c>
      <c r="I208" t="str" s="0">
        <f t="shared" si="61"/>
        <v>07/24</v>
      </c>
      <c r="J208" s="2">
        <f t="shared" si="62"/>
        <v>735393</v>
      </c>
      <c r="K208" s="2">
        <f t="shared" si="63"/>
        <v>923374</v>
      </c>
      <c r="L208" s="2">
        <f t="shared" si="64"/>
        <v>1109681</v>
      </c>
      <c r="M208" s="2">
        <f t="shared" si="65"/>
        <v>1165943</v>
      </c>
      <c r="N208" s="2">
        <f t="shared" si="66"/>
        <v>819835</v>
      </c>
      <c r="O208" s="2">
        <f t="shared" si="67"/>
        <v>1221529</v>
      </c>
      <c r="P208" s="2">
        <f t="shared" si="68"/>
        <v>1139331</v>
      </c>
      <c r="Q208" s="2">
        <f t="shared" si="69"/>
        <v>977096</v>
      </c>
      <c r="R208" s="2">
        <f t="shared" si="70"/>
        <v>1084941</v>
      </c>
      <c r="S208" s="2">
        <f t="shared" si="71"/>
        <v>1222988</v>
      </c>
      <c r="T208" s="2">
        <f t="shared" si="81"/>
        <v>1258265</v>
      </c>
      <c r="U208" s="2" t="e">
        <f t="shared" si="74"/>
        <v>#N/A</v>
      </c>
      <c r="V208" s="2" t="e">
        <f t="shared" si="75"/>
        <v>#N/A</v>
      </c>
      <c r="W208" s="2" t="e">
        <f t="shared" si="76"/>
        <v>#N/A</v>
      </c>
      <c r="X208" s="2" t="e">
        <f t="shared" si="77"/>
        <v>#N/A</v>
      </c>
      <c r="Y208" s="2" t="e">
        <f t="shared" si="78"/>
        <v>#N/A</v>
      </c>
      <c r="Z208" s="0">
        <f t="shared" ca="1" si="80"/>
        <v>1129177</v>
      </c>
      <c r="AA208" s="0">
        <f t="shared" ca="1" si="79"/>
        <v>1040011.1</v>
      </c>
      <c r="AB208" cm="1" s="0">
        <f t="array" ref="AB208">MAX(IF(ISNUMBER(J208:Y208),J208:Y208))</f>
        <v>1258265</v>
      </c>
      <c r="AC208" cm="1" s="0">
        <f t="array" ref="AC208">MIN(IF(ISNUMBER(J208:Y208),J208:Y208))</f>
        <v>735393</v>
      </c>
      <c r="AD208" s="0">
        <f t="shared" si="72"/>
        <v>522872</v>
      </c>
    </row>
    <row r="209" spans="1:30" x14ac:dyDescent="0.2">
      <c r="A209" t="s" s="0">
        <v>3788</v>
      </c>
      <c r="B209" s="3">
        <v>939114</v>
      </c>
      <c r="C209" s="3">
        <v>36843</v>
      </c>
      <c r="D209" s="3">
        <v>34612</v>
      </c>
      <c r="E209" s="3">
        <v>35540</v>
      </c>
      <c r="F209" s="3">
        <v>12125</v>
      </c>
      <c r="G209" s="3">
        <v>28522</v>
      </c>
      <c r="I209" t="str" s="0">
        <f t="shared" si="61"/>
        <v>07/25</v>
      </c>
      <c r="J209" s="2">
        <f t="shared" si="62"/>
        <v>735393</v>
      </c>
      <c r="K209" s="2">
        <f t="shared" si="63"/>
        <v>978383</v>
      </c>
      <c r="L209" s="2">
        <f t="shared" si="64"/>
        <v>1072784</v>
      </c>
      <c r="M209" s="2">
        <f t="shared" si="65"/>
        <v>1117095</v>
      </c>
      <c r="N209" s="2">
        <f t="shared" si="66"/>
        <v>791040</v>
      </c>
      <c r="O209" s="2">
        <f t="shared" si="67"/>
        <v>1221529</v>
      </c>
      <c r="P209" s="2">
        <f t="shared" si="68"/>
        <v>1010459</v>
      </c>
      <c r="Q209" s="2">
        <f t="shared" si="69"/>
        <v>936619</v>
      </c>
      <c r="R209" s="2">
        <f t="shared" si="70"/>
        <v>1049302</v>
      </c>
      <c r="S209" s="2">
        <f t="shared" si="71"/>
        <v>1241145</v>
      </c>
      <c r="T209" s="2">
        <f t="shared" si="81"/>
        <v>1258265</v>
      </c>
      <c r="U209" s="2" t="e">
        <f t="shared" si="74"/>
        <v>#N/A</v>
      </c>
      <c r="V209" s="2" t="e">
        <f t="shared" si="75"/>
        <v>#N/A</v>
      </c>
      <c r="W209" s="2" t="e">
        <f t="shared" si="76"/>
        <v>#N/A</v>
      </c>
      <c r="X209" s="2" t="e">
        <f t="shared" si="77"/>
        <v>#N/A</v>
      </c>
      <c r="Y209" s="2" t="e">
        <f t="shared" si="78"/>
        <v>#N/A</v>
      </c>
      <c r="Z209" s="0">
        <f t="shared" ca="1" si="80"/>
        <v>1091810.8</v>
      </c>
      <c r="AA209" s="0">
        <f t="shared" ca="1" si="79"/>
        <v>1015374.9</v>
      </c>
      <c r="AB209" cm="1" s="0">
        <f t="array" ref="AB209">MAX(IF(ISNUMBER(J209:Y209),J209:Y209))</f>
        <v>1258265</v>
      </c>
      <c r="AC209" cm="1" s="0">
        <f t="array" ref="AC209">MIN(IF(ISNUMBER(J209:Y209),J209:Y209))</f>
        <v>735393</v>
      </c>
      <c r="AD209" s="0">
        <f t="shared" si="72"/>
        <v>522872</v>
      </c>
    </row>
    <row r="210" spans="1:30" x14ac:dyDescent="0.2">
      <c r="A210" t="s" s="0">
        <v>3787</v>
      </c>
      <c r="B210" s="3">
        <v>939114</v>
      </c>
      <c r="C210" s="3">
        <v>36843</v>
      </c>
      <c r="D210" s="3">
        <v>34612</v>
      </c>
      <c r="E210" s="3">
        <v>35540</v>
      </c>
      <c r="F210" s="3">
        <v>12125</v>
      </c>
      <c r="G210" s="3">
        <v>28522</v>
      </c>
      <c r="I210" t="str" s="0">
        <f t="shared" si="61"/>
        <v>07/26</v>
      </c>
      <c r="J210" s="2">
        <f t="shared" si="62"/>
        <v>673272</v>
      </c>
      <c r="K210" s="2">
        <f t="shared" si="63"/>
        <v>995450</v>
      </c>
      <c r="L210" s="2">
        <f t="shared" si="64"/>
        <v>1039801</v>
      </c>
      <c r="M210" s="2">
        <f t="shared" si="65"/>
        <v>1095725</v>
      </c>
      <c r="N210" s="2">
        <f t="shared" si="66"/>
        <v>791040</v>
      </c>
      <c r="O210" s="2">
        <f t="shared" si="67"/>
        <v>1170067</v>
      </c>
      <c r="P210" s="2">
        <f t="shared" si="68"/>
        <v>995514</v>
      </c>
      <c r="Q210" s="2">
        <f t="shared" si="69"/>
        <v>954879</v>
      </c>
      <c r="R210" s="2">
        <f t="shared" si="70"/>
        <v>1090797</v>
      </c>
      <c r="S210" s="2">
        <f t="shared" si="71"/>
        <v>1241145</v>
      </c>
      <c r="T210" s="2">
        <f t="shared" ref="T210:T220" si="82">IF(B4037=0, NA(), B4037)</f>
        <v>1240318</v>
      </c>
      <c r="U210" s="2" t="e">
        <f t="shared" si="74"/>
        <v>#N/A</v>
      </c>
      <c r="V210" s="2" t="e">
        <f t="shared" si="75"/>
        <v>#N/A</v>
      </c>
      <c r="W210" s="2" t="e">
        <f t="shared" si="76"/>
        <v>#N/A</v>
      </c>
      <c r="X210" s="2" t="e">
        <f t="shared" si="77"/>
        <v>#N/A</v>
      </c>
      <c r="Y210" s="2" t="e">
        <f t="shared" si="78"/>
        <v>#N/A</v>
      </c>
      <c r="Z210" s="0">
        <f t="shared" ca="1" si="80"/>
        <v>1090480.3999999999</v>
      </c>
      <c r="AA210" s="0">
        <f t="shared" ca="1" si="79"/>
        <v>1004769</v>
      </c>
      <c r="AB210" cm="1" s="0">
        <f t="array" ref="AB210">MAX(IF(ISNUMBER(J210:Y210),J210:Y210))</f>
        <v>1241145</v>
      </c>
      <c r="AC210" cm="1" s="0">
        <f t="array" ref="AC210">MIN(IF(ISNUMBER(J210:Y210),J210:Y210))</f>
        <v>673272</v>
      </c>
      <c r="AD210" s="0">
        <f t="shared" si="72"/>
        <v>567873</v>
      </c>
    </row>
    <row r="211" spans="1:30" x14ac:dyDescent="0.2">
      <c r="A211" t="s" s="0">
        <v>3786</v>
      </c>
      <c r="B211" s="2">
        <v>974537</v>
      </c>
      <c r="C211" s="2">
        <v>19925</v>
      </c>
      <c r="D211" s="2">
        <v>34564</v>
      </c>
      <c r="E211" s="2">
        <v>35547</v>
      </c>
      <c r="F211" s="2">
        <v>26422</v>
      </c>
      <c r="G211" s="2">
        <v>31916</v>
      </c>
      <c r="I211" t="str" s="0">
        <f t="shared" si="61"/>
        <v>07/27</v>
      </c>
      <c r="J211" s="2">
        <f t="shared" si="62"/>
        <v>726248</v>
      </c>
      <c r="K211" s="2">
        <f t="shared" si="63"/>
        <v>1006731</v>
      </c>
      <c r="L211" s="2">
        <f t="shared" si="64"/>
        <v>1060978</v>
      </c>
      <c r="M211" s="2">
        <f t="shared" si="65"/>
        <v>1095725</v>
      </c>
      <c r="N211" s="2">
        <f t="shared" si="66"/>
        <v>791040</v>
      </c>
      <c r="O211" s="2">
        <f t="shared" si="67"/>
        <v>1123999</v>
      </c>
      <c r="P211" s="2">
        <f t="shared" si="68"/>
        <v>992676</v>
      </c>
      <c r="Q211" s="2">
        <f t="shared" si="69"/>
        <v>978901</v>
      </c>
      <c r="R211" s="2">
        <f t="shared" si="70"/>
        <v>1054639</v>
      </c>
      <c r="S211" s="2">
        <f t="shared" si="71"/>
        <v>1241145</v>
      </c>
      <c r="T211" s="2">
        <f t="shared" si="82"/>
        <v>1246427</v>
      </c>
      <c r="U211" s="2" t="e">
        <f t="shared" si="74"/>
        <v>#N/A</v>
      </c>
      <c r="V211" s="2" t="e">
        <f t="shared" si="75"/>
        <v>#N/A</v>
      </c>
      <c r="W211" s="2" t="e">
        <f t="shared" si="76"/>
        <v>#N/A</v>
      </c>
      <c r="X211" s="2" t="e">
        <f t="shared" si="77"/>
        <v>#N/A</v>
      </c>
      <c r="Y211" s="2" t="e">
        <f t="shared" si="78"/>
        <v>#N/A</v>
      </c>
      <c r="Z211" s="0">
        <f t="shared" ca="1" si="80"/>
        <v>1078272</v>
      </c>
      <c r="AA211" s="0">
        <f t="shared" ca="1" si="79"/>
        <v>1007208.2</v>
      </c>
      <c r="AB211" cm="1" s="0">
        <f t="array" ref="AB211">MAX(IF(ISNUMBER(J211:Y211),J211:Y211))</f>
        <v>1246427</v>
      </c>
      <c r="AC211" cm="1" s="0">
        <f t="array" ref="AC211">MIN(IF(ISNUMBER(J211:Y211),J211:Y211))</f>
        <v>726248</v>
      </c>
      <c r="AD211" s="0">
        <f t="shared" si="72"/>
        <v>520179</v>
      </c>
    </row>
    <row r="212" spans="1:30" x14ac:dyDescent="0.2">
      <c r="A212" t="s" s="0">
        <v>3785</v>
      </c>
      <c r="B212" s="2">
        <v>966352</v>
      </c>
      <c r="C212" s="2">
        <v>28170</v>
      </c>
      <c r="D212" s="2">
        <v>33907</v>
      </c>
      <c r="E212" s="2">
        <v>35393</v>
      </c>
      <c r="F212" s="2">
        <v>29277</v>
      </c>
      <c r="G212" s="2">
        <v>31232</v>
      </c>
      <c r="I212" t="str" s="0">
        <f t="shared" si="61"/>
        <v>07/28</v>
      </c>
      <c r="J212" s="2">
        <f t="shared" si="62"/>
        <v>723993</v>
      </c>
      <c r="K212" s="2">
        <f t="shared" si="63"/>
        <v>1014684</v>
      </c>
      <c r="L212" s="2">
        <f t="shared" si="64"/>
        <v>1060978</v>
      </c>
      <c r="M212" s="2">
        <f t="shared" si="65"/>
        <v>1095725</v>
      </c>
      <c r="N212" s="2">
        <f t="shared" si="66"/>
        <v>917145</v>
      </c>
      <c r="O212" s="2">
        <f t="shared" si="67"/>
        <v>1097043</v>
      </c>
      <c r="P212" s="2">
        <f t="shared" si="68"/>
        <v>1103486</v>
      </c>
      <c r="Q212" s="2">
        <f t="shared" si="69"/>
        <v>933737</v>
      </c>
      <c r="R212" s="2">
        <f t="shared" si="70"/>
        <v>1054639</v>
      </c>
      <c r="S212" s="2">
        <f t="shared" si="71"/>
        <v>1210399</v>
      </c>
      <c r="T212" s="2">
        <f t="shared" si="82"/>
        <v>1205643</v>
      </c>
      <c r="U212" s="2" t="e">
        <f t="shared" si="74"/>
        <v>#N/A</v>
      </c>
      <c r="V212" s="2" t="e">
        <f t="shared" si="75"/>
        <v>#N/A</v>
      </c>
      <c r="W212" s="2" t="e">
        <f t="shared" si="76"/>
        <v>#N/A</v>
      </c>
      <c r="X212" s="2" t="e">
        <f t="shared" si="77"/>
        <v>#N/A</v>
      </c>
      <c r="Y212" s="2" t="e">
        <f t="shared" si="78"/>
        <v>#N/A</v>
      </c>
      <c r="Z212" s="0">
        <f t="shared" ca="1" si="80"/>
        <v>1079860.8</v>
      </c>
      <c r="AA212" s="0">
        <f t="shared" ca="1" si="79"/>
        <v>1021182.9</v>
      </c>
      <c r="AB212" cm="1" s="0">
        <f t="array" ref="AB212">MAX(IF(ISNUMBER(J212:Y212),J212:Y212))</f>
        <v>1210399</v>
      </c>
      <c r="AC212" cm="1" s="0">
        <f t="array" ref="AC212">MIN(IF(ISNUMBER(J212:Y212),J212:Y212))</f>
        <v>723993</v>
      </c>
      <c r="AD212" s="0">
        <f t="shared" si="72"/>
        <v>486406</v>
      </c>
    </row>
    <row r="213" spans="1:30" x14ac:dyDescent="0.2">
      <c r="A213" t="s" s="0">
        <v>3784</v>
      </c>
      <c r="B213" s="2">
        <v>991539</v>
      </c>
      <c r="C213" s="2">
        <v>39025</v>
      </c>
      <c r="D213" s="2">
        <v>35415</v>
      </c>
      <c r="E213" s="2">
        <v>34489</v>
      </c>
      <c r="F213" s="2">
        <v>37877</v>
      </c>
      <c r="G213" s="2">
        <v>29673</v>
      </c>
      <c r="I213" t="str" s="0">
        <f t="shared" si="61"/>
        <v>07/29</v>
      </c>
      <c r="J213" s="2">
        <f t="shared" si="62"/>
        <v>732321</v>
      </c>
      <c r="K213" s="2">
        <f t="shared" si="63"/>
        <v>1014684</v>
      </c>
      <c r="L213" s="2">
        <f t="shared" si="64"/>
        <v>1060978</v>
      </c>
      <c r="M213" s="2">
        <f t="shared" si="65"/>
        <v>1105834</v>
      </c>
      <c r="N213" s="2">
        <f t="shared" si="66"/>
        <v>922506</v>
      </c>
      <c r="O213" s="2">
        <f t="shared" si="67"/>
        <v>1036729</v>
      </c>
      <c r="P213" s="2">
        <f t="shared" si="68"/>
        <v>1098131</v>
      </c>
      <c r="Q213" s="2">
        <f t="shared" si="69"/>
        <v>933737</v>
      </c>
      <c r="R213" s="2">
        <f t="shared" si="70"/>
        <v>1054639</v>
      </c>
      <c r="S213" s="2">
        <f t="shared" si="71"/>
        <v>1157395</v>
      </c>
      <c r="T213" s="2">
        <f t="shared" si="82"/>
        <v>1279833</v>
      </c>
      <c r="U213" s="2" t="e">
        <f t="shared" si="74"/>
        <v>#N/A</v>
      </c>
      <c r="V213" s="2" t="e">
        <f t="shared" si="75"/>
        <v>#N/A</v>
      </c>
      <c r="W213" s="2" t="e">
        <f t="shared" si="76"/>
        <v>#N/A</v>
      </c>
      <c r="X213" s="2" t="e">
        <f t="shared" si="77"/>
        <v>#N/A</v>
      </c>
      <c r="Y213" s="2" t="e">
        <f t="shared" si="78"/>
        <v>#N/A</v>
      </c>
      <c r="Z213" s="0">
        <f t="shared" ca="1" si="80"/>
        <v>1056126.2</v>
      </c>
      <c r="AA213" s="0">
        <f t="shared" ca="1" si="79"/>
        <v>1011695.4</v>
      </c>
      <c r="AB213" cm="1" s="0">
        <f t="array" ref="AB213">MAX(IF(ISNUMBER(J213:Y213),J213:Y213))</f>
        <v>1279833</v>
      </c>
      <c r="AC213" cm="1" s="0">
        <f t="array" ref="AC213">MIN(IF(ISNUMBER(J213:Y213),J213:Y213))</f>
        <v>732321</v>
      </c>
      <c r="AD213" s="0">
        <f t="shared" si="72"/>
        <v>547512</v>
      </c>
    </row>
    <row r="214" spans="1:30" x14ac:dyDescent="0.2">
      <c r="A214" t="s" s="0">
        <v>3783</v>
      </c>
      <c r="B214" s="2">
        <v>955272</v>
      </c>
      <c r="C214" s="2">
        <v>36253</v>
      </c>
      <c r="D214" s="2">
        <v>35121</v>
      </c>
      <c r="E214" s="2">
        <v>34497</v>
      </c>
      <c r="F214" s="2">
        <v>37882</v>
      </c>
      <c r="G214" s="2">
        <v>28228</v>
      </c>
      <c r="I214" t="str" s="0">
        <f t="shared" si="61"/>
        <v>07/30</v>
      </c>
      <c r="J214" s="2">
        <f t="shared" si="62"/>
        <v>718583</v>
      </c>
      <c r="K214" s="2">
        <f t="shared" si="63"/>
        <v>1014684</v>
      </c>
      <c r="L214" s="2">
        <f t="shared" si="64"/>
        <v>989604</v>
      </c>
      <c r="M214" s="2">
        <f t="shared" si="65"/>
        <v>1153008</v>
      </c>
      <c r="N214" s="2">
        <f t="shared" si="66"/>
        <v>921481</v>
      </c>
      <c r="O214" s="2">
        <f t="shared" si="67"/>
        <v>1087824</v>
      </c>
      <c r="P214" s="2">
        <f t="shared" si="68"/>
        <v>1098131</v>
      </c>
      <c r="Q214" s="2">
        <f t="shared" si="69"/>
        <v>933737</v>
      </c>
      <c r="R214" s="2">
        <f t="shared" si="70"/>
        <v>1055840</v>
      </c>
      <c r="S214" s="2">
        <f t="shared" si="71"/>
        <v>1106301</v>
      </c>
      <c r="T214" s="2">
        <f t="shared" si="82"/>
        <v>1226354</v>
      </c>
      <c r="U214" s="2" t="e">
        <f t="shared" si="74"/>
        <v>#N/A</v>
      </c>
      <c r="V214" s="2" t="e">
        <f t="shared" si="75"/>
        <v>#N/A</v>
      </c>
      <c r="W214" s="2" t="e">
        <f t="shared" si="76"/>
        <v>#N/A</v>
      </c>
      <c r="X214" s="2" t="e">
        <f t="shared" si="77"/>
        <v>#N/A</v>
      </c>
      <c r="Y214" s="2" t="e">
        <f t="shared" si="78"/>
        <v>#N/A</v>
      </c>
      <c r="Z214" s="0">
        <f t="shared" ca="1" si="80"/>
        <v>1056366.6000000001</v>
      </c>
      <c r="AA214" s="0">
        <f t="shared" ca="1" si="79"/>
        <v>1007919.3</v>
      </c>
      <c r="AB214" cm="1" s="0">
        <f t="array" ref="AB214">MAX(IF(ISNUMBER(J214:Y214),J214:Y214))</f>
        <v>1226354</v>
      </c>
      <c r="AC214" cm="1" s="0">
        <f t="array" ref="AC214">MIN(IF(ISNUMBER(J214:Y214),J214:Y214))</f>
        <v>718583</v>
      </c>
      <c r="AD214" s="0">
        <f t="shared" si="72"/>
        <v>507771</v>
      </c>
    </row>
    <row r="215" spans="1:30" x14ac:dyDescent="0.2">
      <c r="A215" t="s" s="0">
        <v>3782</v>
      </c>
      <c r="B215" s="2">
        <v>923058</v>
      </c>
      <c r="C215" s="2">
        <v>34228</v>
      </c>
      <c r="D215" s="2">
        <v>33325</v>
      </c>
      <c r="E215" s="2">
        <v>34896</v>
      </c>
      <c r="F215" s="2">
        <v>30744</v>
      </c>
      <c r="G215" s="2">
        <v>27158</v>
      </c>
      <c r="I215" t="str" s="0">
        <f t="shared" si="61"/>
        <v>07/31</v>
      </c>
      <c r="J215" s="2">
        <f t="shared" si="62"/>
        <v>718583</v>
      </c>
      <c r="K215" s="2">
        <f t="shared" si="63"/>
        <v>972830</v>
      </c>
      <c r="L215" s="2">
        <f t="shared" si="64"/>
        <v>966560</v>
      </c>
      <c r="M215" s="2">
        <f t="shared" si="65"/>
        <v>1083639</v>
      </c>
      <c r="N215" s="2">
        <f t="shared" si="66"/>
        <v>954746</v>
      </c>
      <c r="O215" s="2">
        <f t="shared" si="67"/>
        <v>1087824</v>
      </c>
      <c r="P215" s="2">
        <f t="shared" si="68"/>
        <v>1098131</v>
      </c>
      <c r="Q215" s="2">
        <f t="shared" si="69"/>
        <v>1059640</v>
      </c>
      <c r="R215" s="2">
        <f t="shared" si="70"/>
        <v>1010746</v>
      </c>
      <c r="S215" s="2">
        <f t="shared" si="71"/>
        <v>1124527</v>
      </c>
      <c r="T215" s="2">
        <f t="shared" si="82"/>
        <v>1226354</v>
      </c>
      <c r="U215" s="2" t="e">
        <f t="shared" si="74"/>
        <v>#N/A</v>
      </c>
      <c r="V215" s="2" t="e">
        <f t="shared" si="75"/>
        <v>#N/A</v>
      </c>
      <c r="W215" s="2" t="e">
        <f t="shared" si="76"/>
        <v>#N/A</v>
      </c>
      <c r="X215" s="2" t="e">
        <f t="shared" si="77"/>
        <v>#N/A</v>
      </c>
      <c r="Y215" s="2" t="e">
        <f t="shared" si="78"/>
        <v>#N/A</v>
      </c>
      <c r="Z215" s="0">
        <f t="shared" ca="1" si="80"/>
        <v>1076173.6000000001</v>
      </c>
      <c r="AA215" s="0">
        <f t="shared" ca="1" si="79"/>
        <v>1007722.6</v>
      </c>
      <c r="AB215" cm="1" s="0">
        <f t="array" ref="AB215">MAX(IF(ISNUMBER(J215:Y215),J215:Y215))</f>
        <v>1226354</v>
      </c>
      <c r="AC215" cm="1" s="0">
        <f t="array" ref="AC215">MIN(IF(ISNUMBER(J215:Y215),J215:Y215))</f>
        <v>718583</v>
      </c>
      <c r="AD215" s="0">
        <f t="shared" si="72"/>
        <v>507771</v>
      </c>
    </row>
    <row r="216" spans="1:30" x14ac:dyDescent="0.2">
      <c r="A216" t="s" s="0">
        <v>3781</v>
      </c>
      <c r="B216" s="3">
        <v>923058</v>
      </c>
      <c r="C216" s="3">
        <v>34228</v>
      </c>
      <c r="D216" s="3">
        <v>33325</v>
      </c>
      <c r="E216" s="3">
        <v>34896</v>
      </c>
      <c r="F216" s="3">
        <v>30744</v>
      </c>
      <c r="G216" s="3">
        <v>27158</v>
      </c>
      <c r="I216" t="str" s="0">
        <f t="shared" si="61"/>
        <v>08/01</v>
      </c>
      <c r="J216" s="2">
        <f t="shared" si="62"/>
        <v>718583</v>
      </c>
      <c r="K216" s="2">
        <f t="shared" si="63"/>
        <v>920965</v>
      </c>
      <c r="L216" s="2">
        <f t="shared" si="64"/>
        <v>957694</v>
      </c>
      <c r="M216" s="2">
        <f t="shared" si="65"/>
        <v>1061844</v>
      </c>
      <c r="N216" s="2">
        <f t="shared" si="66"/>
        <v>910735</v>
      </c>
      <c r="O216" s="2">
        <f t="shared" si="67"/>
        <v>1087824</v>
      </c>
      <c r="P216" s="2">
        <f t="shared" si="68"/>
        <v>1051770</v>
      </c>
      <c r="Q216" s="2">
        <f t="shared" si="69"/>
        <v>1023621</v>
      </c>
      <c r="R216" s="2">
        <f t="shared" si="70"/>
        <v>1051401</v>
      </c>
      <c r="S216" s="2">
        <f t="shared" si="71"/>
        <v>1075633</v>
      </c>
      <c r="T216" s="2">
        <f t="shared" si="82"/>
        <v>1226354</v>
      </c>
      <c r="U216" s="2" t="e">
        <f t="shared" si="74"/>
        <v>#N/A</v>
      </c>
      <c r="V216" s="2" t="e">
        <f t="shared" si="75"/>
        <v>#N/A</v>
      </c>
      <c r="W216" s="2" t="e">
        <f t="shared" si="76"/>
        <v>#N/A</v>
      </c>
      <c r="X216" s="2" t="e">
        <f t="shared" si="77"/>
        <v>#N/A</v>
      </c>
      <c r="Y216" s="2" t="e">
        <f t="shared" si="78"/>
        <v>#N/A</v>
      </c>
      <c r="Z216" s="0">
        <f t="shared" ca="1" si="80"/>
        <v>1058049.8</v>
      </c>
      <c r="AA216" s="0">
        <f t="shared" ca="1" si="79"/>
        <v>986007</v>
      </c>
      <c r="AB216" cm="1" s="0">
        <f t="array" ref="AB216">MAX(IF(ISNUMBER(J216:Y216),J216:Y216))</f>
        <v>1226354</v>
      </c>
      <c r="AC216" cm="1" s="0">
        <f t="array" ref="AC216">MIN(IF(ISNUMBER(J216:Y216),J216:Y216))</f>
        <v>718583</v>
      </c>
      <c r="AD216" s="0">
        <f t="shared" si="72"/>
        <v>507771</v>
      </c>
    </row>
    <row r="217" spans="1:30" x14ac:dyDescent="0.2">
      <c r="A217" t="s" s="0">
        <v>3780</v>
      </c>
      <c r="B217" s="3">
        <v>923058</v>
      </c>
      <c r="C217" s="3">
        <v>34228</v>
      </c>
      <c r="D217" s="3">
        <v>33325</v>
      </c>
      <c r="E217" s="3">
        <v>34896</v>
      </c>
      <c r="F217" s="3">
        <v>30744</v>
      </c>
      <c r="G217" s="3">
        <v>27158</v>
      </c>
      <c r="I217" t="str" s="0">
        <f t="shared" si="61"/>
        <v>08/02</v>
      </c>
      <c r="J217" s="2">
        <f t="shared" si="62"/>
        <v>758609</v>
      </c>
      <c r="K217" s="2">
        <f t="shared" si="63"/>
        <v>879998</v>
      </c>
      <c r="L217" s="2">
        <f t="shared" si="64"/>
        <v>925443</v>
      </c>
      <c r="M217" s="2">
        <f t="shared" si="65"/>
        <v>1058645</v>
      </c>
      <c r="N217" s="2">
        <f t="shared" si="66"/>
        <v>910735</v>
      </c>
      <c r="O217" s="2">
        <f t="shared" si="67"/>
        <v>1014000</v>
      </c>
      <c r="P217" s="2">
        <f t="shared" si="68"/>
        <v>1076018</v>
      </c>
      <c r="Q217" s="2">
        <f t="shared" si="69"/>
        <v>965656</v>
      </c>
      <c r="R217" s="2">
        <f t="shared" si="70"/>
        <v>1037819</v>
      </c>
      <c r="S217" s="2">
        <f t="shared" si="71"/>
        <v>1075633</v>
      </c>
      <c r="T217" s="2">
        <f t="shared" si="82"/>
        <v>1324602</v>
      </c>
      <c r="U217" s="2" t="e">
        <f t="shared" si="74"/>
        <v>#N/A</v>
      </c>
      <c r="V217" s="2" t="e">
        <f t="shared" si="75"/>
        <v>#N/A</v>
      </c>
      <c r="W217" s="2" t="e">
        <f t="shared" si="76"/>
        <v>#N/A</v>
      </c>
      <c r="X217" s="2" t="e">
        <f t="shared" si="77"/>
        <v>#N/A</v>
      </c>
      <c r="Y217" s="2" t="e">
        <f t="shared" si="78"/>
        <v>#N/A</v>
      </c>
      <c r="Z217" s="0">
        <f t="shared" ca="1" si="80"/>
        <v>1033825.2</v>
      </c>
      <c r="AA217" s="0">
        <f t="shared" ca="1" si="79"/>
        <v>970255.6</v>
      </c>
      <c r="AB217" cm="1" s="0">
        <f t="array" ref="AB217">MAX(IF(ISNUMBER(J217:Y217),J217:Y217))</f>
        <v>1324602</v>
      </c>
      <c r="AC217" cm="1" s="0">
        <f t="array" ref="AC217">MIN(IF(ISNUMBER(J217:Y217),J217:Y217))</f>
        <v>758609</v>
      </c>
      <c r="AD217" s="0">
        <f t="shared" si="72"/>
        <v>565993</v>
      </c>
    </row>
    <row r="218" spans="1:30" x14ac:dyDescent="0.2">
      <c r="A218" t="s" s="0">
        <v>3779</v>
      </c>
      <c r="B218" s="2">
        <v>918791</v>
      </c>
      <c r="C218" s="2">
        <v>14431</v>
      </c>
      <c r="D218" s="2">
        <v>33477</v>
      </c>
      <c r="E218" s="2">
        <v>35114</v>
      </c>
      <c r="F218" s="2">
        <v>25330</v>
      </c>
      <c r="G218" s="2">
        <v>25557</v>
      </c>
      <c r="I218" t="str" s="0">
        <f t="shared" si="61"/>
        <v>08/03</v>
      </c>
      <c r="J218" s="2">
        <f t="shared" si="62"/>
        <v>756477</v>
      </c>
      <c r="K218" s="2">
        <f t="shared" si="63"/>
        <v>851173</v>
      </c>
      <c r="L218" s="2">
        <f t="shared" si="64"/>
        <v>911392</v>
      </c>
      <c r="M218" s="2">
        <f t="shared" si="65"/>
        <v>1058645</v>
      </c>
      <c r="N218" s="2">
        <f t="shared" si="66"/>
        <v>910735</v>
      </c>
      <c r="O218" s="2">
        <f t="shared" si="67"/>
        <v>1063152</v>
      </c>
      <c r="P218" s="2">
        <f t="shared" si="68"/>
        <v>1065898</v>
      </c>
      <c r="Q218" s="2">
        <f t="shared" si="69"/>
        <v>958145</v>
      </c>
      <c r="R218" s="2">
        <f t="shared" si="70"/>
        <v>1102367</v>
      </c>
      <c r="S218" s="2">
        <f t="shared" si="71"/>
        <v>1075633</v>
      </c>
      <c r="T218" s="2">
        <f t="shared" si="82"/>
        <v>1274981</v>
      </c>
      <c r="U218" s="2" t="e">
        <f t="shared" si="74"/>
        <v>#N/A</v>
      </c>
      <c r="V218" s="2" t="e">
        <f t="shared" si="75"/>
        <v>#N/A</v>
      </c>
      <c r="W218" s="2" t="e">
        <f t="shared" si="76"/>
        <v>#N/A</v>
      </c>
      <c r="X218" s="2" t="e">
        <f t="shared" si="77"/>
        <v>#N/A</v>
      </c>
      <c r="Y218" s="2" t="e">
        <f t="shared" si="78"/>
        <v>#N/A</v>
      </c>
      <c r="Z218" s="0">
        <f t="shared" ca="1" si="80"/>
        <v>1053039</v>
      </c>
      <c r="AA218" s="0">
        <f t="shared" ca="1" si="79"/>
        <v>975361.7</v>
      </c>
      <c r="AB218" cm="1" s="0">
        <f t="array" ref="AB218">MAX(IF(ISNUMBER(J218:Y218),J218:Y218))</f>
        <v>1274981</v>
      </c>
      <c r="AC218" cm="1" s="0">
        <f t="array" ref="AC218">MIN(IF(ISNUMBER(J218:Y218),J218:Y218))</f>
        <v>756477</v>
      </c>
      <c r="AD218" s="0">
        <f t="shared" si="72"/>
        <v>518504</v>
      </c>
    </row>
    <row r="219" spans="1:30" x14ac:dyDescent="0.2">
      <c r="A219" t="s" s="0">
        <v>3778</v>
      </c>
      <c r="B219" s="2">
        <v>883619</v>
      </c>
      <c r="C219" s="2">
        <v>35172</v>
      </c>
      <c r="D219" s="2">
        <v>34477</v>
      </c>
      <c r="E219" s="2">
        <v>35310</v>
      </c>
      <c r="F219" s="2">
        <v>22475</v>
      </c>
      <c r="G219" s="2">
        <v>24307</v>
      </c>
      <c r="I219" t="str" s="0">
        <f t="shared" si="61"/>
        <v>08/04</v>
      </c>
      <c r="J219" s="2">
        <f t="shared" si="62"/>
        <v>805190</v>
      </c>
      <c r="K219" s="2">
        <f t="shared" si="63"/>
        <v>830731</v>
      </c>
      <c r="L219" s="2">
        <f t="shared" si="64"/>
        <v>911392</v>
      </c>
      <c r="M219" s="2">
        <f t="shared" si="65"/>
        <v>1058645</v>
      </c>
      <c r="N219" s="2">
        <f t="shared" si="66"/>
        <v>1089953</v>
      </c>
      <c r="O219" s="2">
        <f t="shared" si="67"/>
        <v>1013686</v>
      </c>
      <c r="P219" s="2">
        <f t="shared" si="68"/>
        <v>1094506</v>
      </c>
      <c r="Q219" s="2">
        <f t="shared" si="69"/>
        <v>982055</v>
      </c>
      <c r="R219" s="2">
        <f t="shared" si="70"/>
        <v>1102367</v>
      </c>
      <c r="S219" s="2">
        <f t="shared" si="71"/>
        <v>1063648</v>
      </c>
      <c r="T219" s="2">
        <f t="shared" si="82"/>
        <v>1205652</v>
      </c>
      <c r="U219" s="2" t="e">
        <f t="shared" si="74"/>
        <v>#N/A</v>
      </c>
      <c r="V219" s="2" t="e">
        <f t="shared" si="75"/>
        <v>#N/A</v>
      </c>
      <c r="W219" s="2" t="e">
        <f t="shared" si="76"/>
        <v>#N/A</v>
      </c>
      <c r="X219" s="2" t="e">
        <f t="shared" si="77"/>
        <v>#N/A</v>
      </c>
      <c r="Y219" s="2" t="e">
        <f t="shared" si="78"/>
        <v>#N/A</v>
      </c>
      <c r="Z219" s="0">
        <f t="shared" ca="1" si="80"/>
        <v>1051252.3999999999</v>
      </c>
      <c r="AA219" s="0">
        <f t="shared" ca="1" si="79"/>
        <v>995217.3</v>
      </c>
      <c r="AB219" cm="1" s="0">
        <f t="array" ref="AB219">MAX(IF(ISNUMBER(J219:Y219),J219:Y219))</f>
        <v>1205652</v>
      </c>
      <c r="AC219" cm="1" s="0">
        <f t="array" ref="AC219">MIN(IF(ISNUMBER(J219:Y219),J219:Y219))</f>
        <v>805190</v>
      </c>
      <c r="AD219" s="0">
        <f t="shared" si="72"/>
        <v>400462</v>
      </c>
    </row>
    <row r="220" spans="1:30" x14ac:dyDescent="0.2">
      <c r="A220" t="s" s="0">
        <v>3777</v>
      </c>
      <c r="B220" s="2">
        <v>866861</v>
      </c>
      <c r="C220" s="2">
        <v>35092</v>
      </c>
      <c r="D220" s="2">
        <v>33781</v>
      </c>
      <c r="E220" s="2">
        <v>35484</v>
      </c>
      <c r="F220" s="2">
        <v>15787</v>
      </c>
      <c r="G220" s="2">
        <v>24107</v>
      </c>
      <c r="I220" t="str" s="0">
        <f t="shared" si="61"/>
        <v>08/05</v>
      </c>
      <c r="J220" s="2">
        <f t="shared" si="62"/>
        <v>800467</v>
      </c>
      <c r="K220" s="2">
        <f t="shared" si="63"/>
        <v>830731</v>
      </c>
      <c r="L220" s="2">
        <f t="shared" si="64"/>
        <v>911392</v>
      </c>
      <c r="M220" s="2">
        <f t="shared" si="65"/>
        <v>1061339</v>
      </c>
      <c r="N220" s="2">
        <f t="shared" si="66"/>
        <v>1138327</v>
      </c>
      <c r="O220" s="2">
        <f t="shared" si="67"/>
        <v>968325</v>
      </c>
      <c r="P220" s="2">
        <f t="shared" si="68"/>
        <v>1122117</v>
      </c>
      <c r="Q220" s="2">
        <f t="shared" si="69"/>
        <v>982055</v>
      </c>
      <c r="R220" s="2">
        <f t="shared" si="70"/>
        <v>1102367</v>
      </c>
      <c r="S220" s="2">
        <f t="shared" si="71"/>
        <v>1011314</v>
      </c>
      <c r="T220" s="2">
        <f t="shared" si="82"/>
        <v>1226237</v>
      </c>
      <c r="U220" s="2" t="e">
        <f t="shared" si="74"/>
        <v>#N/A</v>
      </c>
      <c r="V220" s="2" t="e">
        <f t="shared" si="75"/>
        <v>#N/A</v>
      </c>
      <c r="W220" s="2" t="e">
        <f t="shared" si="76"/>
        <v>#N/A</v>
      </c>
      <c r="X220" s="2" t="e">
        <f t="shared" si="77"/>
        <v>#N/A</v>
      </c>
      <c r="Y220" s="2" t="e">
        <f t="shared" si="78"/>
        <v>#N/A</v>
      </c>
      <c r="Z220" s="0">
        <f t="shared" ca="1" si="80"/>
        <v>1037235.6</v>
      </c>
      <c r="AA220" s="0">
        <f t="shared" ca="1" si="79"/>
        <v>992843.4</v>
      </c>
      <c r="AB220" cm="1" s="0">
        <f t="array" ref="AB220">MAX(IF(ISNUMBER(J220:Y220),J220:Y220))</f>
        <v>1226237</v>
      </c>
      <c r="AC220" cm="1" s="0">
        <f t="array" ref="AC220">MIN(IF(ISNUMBER(J220:Y220),J220:Y220))</f>
        <v>800467</v>
      </c>
      <c r="AD220" s="0">
        <f t="shared" si="72"/>
        <v>425770</v>
      </c>
    </row>
    <row r="221" spans="1:30" x14ac:dyDescent="0.2">
      <c r="A221" t="s" s="0">
        <v>3776</v>
      </c>
      <c r="B221" s="2">
        <v>828830</v>
      </c>
      <c r="C221" s="2">
        <v>33031</v>
      </c>
      <c r="D221" s="2">
        <v>34035</v>
      </c>
      <c r="E221" s="2">
        <v>35502</v>
      </c>
      <c r="F221" s="2">
        <v>15789</v>
      </c>
      <c r="G221" s="2">
        <v>19102</v>
      </c>
      <c r="I221" t="str" s="0">
        <f t="shared" si="61"/>
        <v>08/06</v>
      </c>
      <c r="J221" s="2">
        <f t="shared" si="62"/>
        <v>735418</v>
      </c>
      <c r="K221" s="2">
        <f t="shared" si="63"/>
        <v>830731</v>
      </c>
      <c r="L221" s="2">
        <f t="shared" si="64"/>
        <v>891394</v>
      </c>
      <c r="M221" s="2">
        <f t="shared" si="65"/>
        <v>1051584</v>
      </c>
      <c r="N221" s="2">
        <f t="shared" si="66"/>
        <v>1086802</v>
      </c>
      <c r="O221" s="2">
        <f t="shared" si="67"/>
        <v>1061705</v>
      </c>
      <c r="P221" s="2">
        <f t="shared" si="68"/>
        <v>1122117</v>
      </c>
      <c r="Q221" s="2">
        <f t="shared" si="69"/>
        <v>982055</v>
      </c>
      <c r="R221" s="2">
        <f t="shared" si="70"/>
        <v>1044897</v>
      </c>
      <c r="S221" s="2">
        <f t="shared" si="71"/>
        <v>1017871</v>
      </c>
      <c r="T221" s="2">
        <f>IF(B4048=0, NA(), B4048)</f>
        <v>1250517</v>
      </c>
      <c r="U221" s="2" t="e">
        <f t="shared" si="74"/>
        <v>#N/A</v>
      </c>
      <c r="V221" s="2" t="e">
        <f t="shared" si="75"/>
        <v>#N/A</v>
      </c>
      <c r="W221" s="2" t="e">
        <f t="shared" si="76"/>
        <v>#N/A</v>
      </c>
      <c r="X221" s="2" t="e">
        <f t="shared" si="77"/>
        <v>#N/A</v>
      </c>
      <c r="Y221" s="2" t="e">
        <f t="shared" si="78"/>
        <v>#N/A</v>
      </c>
      <c r="Z221" s="0">
        <f t="shared" ca="1" si="80"/>
        <v>1045729</v>
      </c>
      <c r="AA221" s="0">
        <f t="shared" ca="1" si="79"/>
        <v>982457.4</v>
      </c>
      <c r="AB221" cm="1" s="0">
        <f t="array" ref="AB221">MAX(IF(ISNUMBER(J221:Y221),J221:Y221))</f>
        <v>1250517</v>
      </c>
      <c r="AC221" cm="1" s="0">
        <f t="array" ref="AC221">MIN(IF(ISNUMBER(J221:Y221),J221:Y221))</f>
        <v>735418</v>
      </c>
      <c r="AD221" s="0">
        <f t="shared" si="72"/>
        <v>515099</v>
      </c>
    </row>
    <row r="222" spans="1:30" x14ac:dyDescent="0.2">
      <c r="A222" t="s" s="0">
        <v>3775</v>
      </c>
      <c r="B222" s="2">
        <v>815043</v>
      </c>
      <c r="C222" s="2">
        <v>38417</v>
      </c>
      <c r="D222" s="2">
        <v>34634</v>
      </c>
      <c r="E222" s="2">
        <v>35199</v>
      </c>
      <c r="F222" s="2">
        <v>19217</v>
      </c>
      <c r="G222" s="2">
        <v>19959</v>
      </c>
      <c r="I222" t="str" s="0">
        <f t="shared" si="61"/>
        <v>08/07</v>
      </c>
      <c r="J222" s="2">
        <f t="shared" si="62"/>
        <v>735418</v>
      </c>
      <c r="K222" s="2">
        <f t="shared" si="63"/>
        <v>904084</v>
      </c>
      <c r="L222" s="2">
        <f t="shared" si="64"/>
        <v>891004</v>
      </c>
      <c r="M222" s="2">
        <f t="shared" si="65"/>
        <v>1040998</v>
      </c>
      <c r="N222" s="2">
        <f t="shared" si="66"/>
        <v>1156686</v>
      </c>
      <c r="O222" s="2">
        <f t="shared" si="67"/>
        <v>1061705</v>
      </c>
      <c r="P222" s="2">
        <f t="shared" si="68"/>
        <v>1122117</v>
      </c>
      <c r="Q222" s="2">
        <f t="shared" si="69"/>
        <v>1087764</v>
      </c>
      <c r="R222" s="2">
        <f t="shared" si="70"/>
        <v>1117598</v>
      </c>
      <c r="S222" s="2">
        <f t="shared" si="71"/>
        <v>1013765</v>
      </c>
      <c r="T222" s="2" t="e">
        <f>IF(B4049=0, NA(), B4049)</f>
        <v>#N/A</v>
      </c>
      <c r="U222" s="2" t="e">
        <f t="shared" si="74"/>
        <v>#N/A</v>
      </c>
      <c r="V222" s="2" t="e">
        <f t="shared" si="75"/>
        <v>#N/A</v>
      </c>
      <c r="W222" s="2" t="e">
        <f t="shared" si="76"/>
        <v>#N/A</v>
      </c>
      <c r="X222" s="2" t="e">
        <f t="shared" si="77"/>
        <v>#N/A</v>
      </c>
      <c r="Y222" s="2" t="e">
        <f t="shared" si="78"/>
        <v>#N/A</v>
      </c>
      <c r="Z222" s="0">
        <f t="shared" ca="1" si="80"/>
        <v>1080589.8</v>
      </c>
      <c r="AA222" s="0">
        <f t="shared" ca="1" si="79"/>
        <v>1013113.9</v>
      </c>
      <c r="AB222" cm="1" s="0">
        <f t="array" ref="AB222">MAX(IF(ISNUMBER(J222:Y222),J222:Y222))</f>
        <v>1156686</v>
      </c>
      <c r="AC222" cm="1" s="0">
        <f t="array" ref="AC222">MIN(IF(ISNUMBER(J222:Y222),J222:Y222))</f>
        <v>735418</v>
      </c>
      <c r="AD222" s="0">
        <f t="shared" si="72"/>
        <v>421268</v>
      </c>
    </row>
    <row r="223" spans="1:30" x14ac:dyDescent="0.2">
      <c r="A223" t="s" s="0">
        <v>3774</v>
      </c>
      <c r="B223" s="3">
        <v>815043</v>
      </c>
      <c r="C223" s="3">
        <v>38417</v>
      </c>
      <c r="D223" s="3">
        <v>34634</v>
      </c>
      <c r="E223" s="3">
        <v>35199</v>
      </c>
      <c r="F223" s="3">
        <v>19217</v>
      </c>
      <c r="G223" s="3">
        <v>19959</v>
      </c>
      <c r="I223" t="str" s="0">
        <f t="shared" si="61"/>
        <v>08/08</v>
      </c>
      <c r="J223" s="2">
        <f t="shared" si="62"/>
        <v>735418</v>
      </c>
      <c r="K223" s="2">
        <f t="shared" si="63"/>
        <v>815825</v>
      </c>
      <c r="L223" s="2">
        <f t="shared" si="64"/>
        <v>898396</v>
      </c>
      <c r="M223" s="2">
        <f t="shared" si="65"/>
        <v>993856</v>
      </c>
      <c r="N223" s="2">
        <f t="shared" si="66"/>
        <v>1417883</v>
      </c>
      <c r="O223" s="2">
        <f t="shared" si="67"/>
        <v>1061705</v>
      </c>
      <c r="P223" s="2">
        <f t="shared" si="68"/>
        <v>1005530</v>
      </c>
      <c r="Q223" s="2">
        <f t="shared" si="69"/>
        <v>1047247</v>
      </c>
      <c r="R223" s="2">
        <f t="shared" si="70"/>
        <v>1070771</v>
      </c>
      <c r="S223" s="2">
        <f t="shared" si="71"/>
        <v>1004733</v>
      </c>
      <c r="T223" s="2" t="e">
        <f>IF(B4050=0, NA(), B4050)</f>
        <v>#N/A</v>
      </c>
      <c r="U223" s="2" t="e">
        <f t="shared" si="74"/>
        <v>#N/A</v>
      </c>
      <c r="V223" s="2" t="e">
        <f t="shared" si="75"/>
        <v>#N/A</v>
      </c>
      <c r="W223" s="2" t="e">
        <f t="shared" si="76"/>
        <v>#N/A</v>
      </c>
      <c r="X223" s="2" t="e">
        <f t="shared" si="77"/>
        <v>#N/A</v>
      </c>
      <c r="Y223" s="2" t="e">
        <f t="shared" si="78"/>
        <v>#N/A</v>
      </c>
      <c r="Z223" s="0">
        <f t="shared" ca="1" si="80"/>
        <v>1037997.2</v>
      </c>
      <c r="AA223" s="0">
        <f t="shared" ca="1" si="79"/>
        <v>1005136.4</v>
      </c>
      <c r="AB223" cm="1" s="0">
        <f t="array" ref="AB223">MAX(IF(ISNUMBER(J223:Y223),J223:Y223))</f>
        <v>1417883</v>
      </c>
      <c r="AC223" cm="1" s="0">
        <f t="array" ref="AC223">MIN(IF(ISNUMBER(J223:Y223),J223:Y223))</f>
        <v>735418</v>
      </c>
      <c r="AD223" s="0">
        <f t="shared" si="72"/>
        <v>682465</v>
      </c>
    </row>
    <row r="224" spans="1:30" x14ac:dyDescent="0.2">
      <c r="A224" t="s" s="0">
        <v>3773</v>
      </c>
      <c r="B224" s="3">
        <v>815043</v>
      </c>
      <c r="C224" s="3">
        <v>38417</v>
      </c>
      <c r="D224" s="3">
        <v>34634</v>
      </c>
      <c r="E224" s="3">
        <v>35199</v>
      </c>
      <c r="F224" s="3">
        <v>19217</v>
      </c>
      <c r="G224" s="3">
        <v>19959</v>
      </c>
      <c r="I224" t="str" s="0">
        <f t="shared" si="61"/>
        <v>08/09</v>
      </c>
      <c r="J224" s="2">
        <f t="shared" si="62"/>
        <v>797954</v>
      </c>
      <c r="K224" s="2">
        <f t="shared" si="63"/>
        <v>816422</v>
      </c>
      <c r="L224" s="2">
        <f t="shared" si="64"/>
        <v>876552</v>
      </c>
      <c r="M224" s="2">
        <f t="shared" si="65"/>
        <v>1002138</v>
      </c>
      <c r="N224" s="2">
        <f t="shared" si="66"/>
        <v>1417883</v>
      </c>
      <c r="O224" s="2">
        <f t="shared" si="67"/>
        <v>1103119</v>
      </c>
      <c r="P224" s="2">
        <f t="shared" si="68"/>
        <v>1015494</v>
      </c>
      <c r="Q224" s="2">
        <f t="shared" si="69"/>
        <v>1092391</v>
      </c>
      <c r="R224" s="2">
        <f t="shared" si="70"/>
        <v>1027917</v>
      </c>
      <c r="S224" s="2">
        <f t="shared" si="71"/>
        <v>1004733</v>
      </c>
      <c r="T224" s="2" t="e">
        <f>IF(B4051=0, NA(), B4051)</f>
        <v>#N/A</v>
      </c>
      <c r="U224" s="2" t="e">
        <f t="shared" si="74"/>
        <v>#N/A</v>
      </c>
      <c r="V224" s="2" t="e">
        <f t="shared" si="75"/>
        <v>#N/A</v>
      </c>
      <c r="W224" s="2" t="e">
        <f t="shared" si="76"/>
        <v>#N/A</v>
      </c>
      <c r="X224" s="2" t="e">
        <f t="shared" si="77"/>
        <v>#N/A</v>
      </c>
      <c r="Y224" s="2" t="e">
        <f t="shared" si="78"/>
        <v>#N/A</v>
      </c>
      <c r="Z224" s="0">
        <f t="shared" ca="1" si="80"/>
        <v>1048730.8</v>
      </c>
      <c r="AA224" s="0">
        <f t="shared" ca="1" si="79"/>
        <v>1015460.3</v>
      </c>
      <c r="AB224" cm="1" s="0">
        <f t="array" ref="AB224">MAX(IF(ISNUMBER(J224:Y224),J224:Y224))</f>
        <v>1417883</v>
      </c>
      <c r="AC224" cm="1" s="0">
        <f t="array" ref="AC224">MIN(IF(ISNUMBER(J224:Y224),J224:Y224))</f>
        <v>797954</v>
      </c>
      <c r="AD224" s="0">
        <f t="shared" si="72"/>
        <v>619929</v>
      </c>
    </row>
    <row r="225" spans="1:30" x14ac:dyDescent="0.2">
      <c r="A225" t="s" s="0">
        <v>3772</v>
      </c>
      <c r="B225" s="2">
        <v>858575</v>
      </c>
      <c r="C225" s="2">
        <v>22686</v>
      </c>
      <c r="D225" s="2">
        <v>36318</v>
      </c>
      <c r="E225" s="2">
        <v>35199</v>
      </c>
      <c r="F225" s="2">
        <v>27626</v>
      </c>
      <c r="G225" s="2">
        <v>22519</v>
      </c>
      <c r="I225" t="str" s="0">
        <f t="shared" si="61"/>
        <v>08/10</v>
      </c>
      <c r="J225" s="2">
        <f t="shared" si="62"/>
        <v>797822</v>
      </c>
      <c r="K225" s="2">
        <f t="shared" si="63"/>
        <v>824097</v>
      </c>
      <c r="L225" s="2">
        <f t="shared" si="64"/>
        <v>893453</v>
      </c>
      <c r="M225" s="2">
        <f t="shared" si="65"/>
        <v>1002138</v>
      </c>
      <c r="N225" s="2">
        <f t="shared" si="66"/>
        <v>1417883</v>
      </c>
      <c r="O225" s="2">
        <f t="shared" si="67"/>
        <v>1080804</v>
      </c>
      <c r="P225" s="2">
        <f t="shared" si="68"/>
        <v>1064203</v>
      </c>
      <c r="Q225" s="2">
        <f t="shared" si="69"/>
        <v>1179877</v>
      </c>
      <c r="R225" s="2">
        <f t="shared" si="70"/>
        <v>1071641</v>
      </c>
      <c r="S225" s="2">
        <f t="shared" si="71"/>
        <v>1004733</v>
      </c>
      <c r="T225" s="2" t="e">
        <f>IF(B4052=0, NA(), B4052)</f>
        <v>#N/A</v>
      </c>
      <c r="U225" s="2" t="e">
        <f t="shared" si="74"/>
        <v>#N/A</v>
      </c>
      <c r="V225" s="2" t="e">
        <f t="shared" si="75"/>
        <v>#N/A</v>
      </c>
      <c r="W225" s="2" t="e">
        <f t="shared" si="76"/>
        <v>#N/A</v>
      </c>
      <c r="X225" s="2" t="e">
        <f t="shared" si="77"/>
        <v>#N/A</v>
      </c>
      <c r="Y225" s="2" t="e">
        <f t="shared" si="78"/>
        <v>#N/A</v>
      </c>
      <c r="Z225" s="0">
        <f t="shared" ca="1" si="80"/>
        <v>1080251.6000000001</v>
      </c>
      <c r="AA225" s="0">
        <f t="shared" ca="1" si="79"/>
        <v>1033665.1</v>
      </c>
      <c r="AB225" cm="1" s="0">
        <f t="array" ref="AB225">MAX(IF(ISNUMBER(J225:Y225),J225:Y225))</f>
        <v>1417883</v>
      </c>
      <c r="AC225" cm="1" s="0">
        <f t="array" ref="AC225">MIN(IF(ISNUMBER(J225:Y225),J225:Y225))</f>
        <v>797822</v>
      </c>
      <c r="AD225" s="0">
        <f t="shared" si="72"/>
        <v>620061</v>
      </c>
    </row>
    <row r="226" spans="1:30" x14ac:dyDescent="0.2">
      <c r="A226" t="s" s="0">
        <v>3771</v>
      </c>
      <c r="B226" s="2">
        <v>869850</v>
      </c>
      <c r="C226" s="2">
        <v>40727</v>
      </c>
      <c r="D226" s="2">
        <v>37112</v>
      </c>
      <c r="E226" s="2">
        <v>35180</v>
      </c>
      <c r="F226" s="2">
        <v>35055</v>
      </c>
      <c r="G226" s="2">
        <v>23664</v>
      </c>
      <c r="I226" t="str" s="0">
        <f t="shared" si="61"/>
        <v>08/11</v>
      </c>
      <c r="J226" s="2">
        <f t="shared" si="62"/>
        <v>821352</v>
      </c>
      <c r="K226" s="2">
        <f t="shared" si="63"/>
        <v>847850</v>
      </c>
      <c r="L226" s="2">
        <f t="shared" si="64"/>
        <v>893453</v>
      </c>
      <c r="M226" s="2">
        <f t="shared" si="65"/>
        <v>1002138</v>
      </c>
      <c r="N226" s="2">
        <f t="shared" si="66"/>
        <v>1360603</v>
      </c>
      <c r="O226" s="2">
        <f t="shared" si="67"/>
        <v>1117375</v>
      </c>
      <c r="P226" s="2">
        <f t="shared" si="68"/>
        <v>1221496</v>
      </c>
      <c r="Q226" s="2">
        <f t="shared" si="69"/>
        <v>1174708</v>
      </c>
      <c r="R226" s="2">
        <f t="shared" si="70"/>
        <v>1071641</v>
      </c>
      <c r="S226" s="2">
        <f t="shared" si="71"/>
        <v>1036457</v>
      </c>
      <c r="T226" s="2" t="e">
        <f>IF(B4054=0,NA(),B4054)</f>
        <v>#N/A</v>
      </c>
      <c r="U226" s="2" t="e">
        <f t="shared" si="74"/>
        <v>#N/A</v>
      </c>
      <c r="V226" s="2" t="e">
        <f t="shared" si="75"/>
        <v>#N/A</v>
      </c>
      <c r="W226" s="2" t="e">
        <f t="shared" si="76"/>
        <v>#N/A</v>
      </c>
      <c r="X226" s="2" t="e">
        <f t="shared" si="77"/>
        <v>#N/A</v>
      </c>
      <c r="Y226" s="2" t="e">
        <f t="shared" si="78"/>
        <v>#N/A</v>
      </c>
      <c r="Z226" s="0">
        <f t="shared" ca="1" si="80"/>
        <v>1124335.3999999999</v>
      </c>
      <c r="AA226" s="0">
        <f t="shared" ca="1" si="79"/>
        <v>1054707.3</v>
      </c>
      <c r="AB226" cm="1" s="0">
        <f t="array" ref="AB226">MAX(IF(ISNUMBER(J226:Y226),J226:Y226))</f>
        <v>1360603</v>
      </c>
      <c r="AC226" cm="1" s="0">
        <f t="array" ref="AC226">MIN(IF(ISNUMBER(J226:Y226),J226:Y226))</f>
        <v>821352</v>
      </c>
      <c r="AD226" s="0">
        <f t="shared" si="72"/>
        <v>539251</v>
      </c>
    </row>
    <row r="227" spans="1:30" x14ac:dyDescent="0.2">
      <c r="A227" t="s" s="0">
        <v>3770</v>
      </c>
      <c r="B227" s="2">
        <v>921854</v>
      </c>
      <c r="C227" s="2">
        <v>37963</v>
      </c>
      <c r="D227" s="2">
        <v>38230</v>
      </c>
      <c r="E227" s="2">
        <v>35615</v>
      </c>
      <c r="F227" s="2">
        <v>45996</v>
      </c>
      <c r="G227" s="2">
        <v>27234</v>
      </c>
      <c r="I227" t="str" s="0">
        <f t="shared" si="61"/>
        <v>08/12</v>
      </c>
      <c r="J227" s="2">
        <f t="shared" si="62"/>
        <v>768706</v>
      </c>
      <c r="K227" s="2">
        <f t="shared" si="63"/>
        <v>847850</v>
      </c>
      <c r="L227" s="2">
        <f t="shared" si="64"/>
        <v>893453</v>
      </c>
      <c r="M227" s="2">
        <f t="shared" si="65"/>
        <v>956212</v>
      </c>
      <c r="N227" s="2">
        <f t="shared" si="66"/>
        <v>1441996</v>
      </c>
      <c r="O227" s="2">
        <f t="shared" si="67"/>
        <v>1114054</v>
      </c>
      <c r="P227" s="2">
        <f t="shared" si="68"/>
        <v>1258621</v>
      </c>
      <c r="Q227" s="2">
        <f t="shared" si="69"/>
        <v>1174708</v>
      </c>
      <c r="R227" s="2">
        <f t="shared" si="70"/>
        <v>1071641</v>
      </c>
      <c r="S227" s="2">
        <f t="shared" si="71"/>
        <v>1023010</v>
      </c>
      <c r="T227" s="2" t="e">
        <f>IF(#REF!=0,NA(),#REF!)</f>
        <v>#N/A</v>
      </c>
      <c r="U227" s="2" t="e">
        <f t="shared" si="74"/>
        <v>#N/A</v>
      </c>
      <c r="V227" s="2" t="e">
        <f t="shared" si="75"/>
        <v>#N/A</v>
      </c>
      <c r="W227" s="2" t="e">
        <f t="shared" si="76"/>
        <v>#N/A</v>
      </c>
      <c r="X227" s="2" t="e">
        <f t="shared" si="77"/>
        <v>#N/A</v>
      </c>
      <c r="Y227" s="2" t="e">
        <f t="shared" si="78"/>
        <v>#N/A</v>
      </c>
      <c r="Z227" s="0">
        <f t="shared" ca="1" si="80"/>
        <v>1128406.8</v>
      </c>
      <c r="AA227" s="0">
        <f t="shared" ca="1" si="79"/>
        <v>1055025.1000000001</v>
      </c>
      <c r="AB227" cm="1" s="0">
        <f t="array" ref="AB227">MAX(IF(ISNUMBER(J227:Y227),J227:Y227))</f>
        <v>1441996</v>
      </c>
      <c r="AC227" cm="1" s="0">
        <f t="array" ref="AC227">MIN(IF(ISNUMBER(J227:Y227),J227:Y227))</f>
        <v>768706</v>
      </c>
      <c r="AD227" s="0">
        <f t="shared" si="72"/>
        <v>673290</v>
      </c>
    </row>
    <row r="228" spans="1:30" x14ac:dyDescent="0.2">
      <c r="A228" t="s" s="0">
        <v>3769</v>
      </c>
      <c r="B228" s="2">
        <v>887053</v>
      </c>
      <c r="C228" s="2">
        <v>35635</v>
      </c>
      <c r="D228" s="2">
        <v>37888</v>
      </c>
      <c r="E228" s="2">
        <v>34953</v>
      </c>
      <c r="F228" s="2">
        <v>45983</v>
      </c>
      <c r="G228" s="2">
        <v>27232</v>
      </c>
      <c r="I228" t="str" s="0">
        <f t="shared" si="61"/>
        <v>08/13</v>
      </c>
      <c r="J228" s="2">
        <f t="shared" si="62"/>
        <v>717208</v>
      </c>
      <c r="K228" s="2">
        <f t="shared" si="63"/>
        <v>847850</v>
      </c>
      <c r="L228" s="2">
        <f t="shared" si="64"/>
        <v>821888</v>
      </c>
      <c r="M228" s="2">
        <f t="shared" si="65"/>
        <v>922548</v>
      </c>
      <c r="N228" s="2">
        <f t="shared" si="66"/>
        <v>1376332</v>
      </c>
      <c r="O228" s="2">
        <f t="shared" si="67"/>
        <v>1112773</v>
      </c>
      <c r="P228" s="2">
        <f t="shared" si="68"/>
        <v>1258621</v>
      </c>
      <c r="Q228" s="2">
        <f t="shared" si="69"/>
        <v>1174708</v>
      </c>
      <c r="R228" s="2">
        <f t="shared" si="70"/>
        <v>1025012</v>
      </c>
      <c r="S228" s="2">
        <f t="shared" si="71"/>
        <v>1067185</v>
      </c>
      <c r="T228" s="2" t="e">
        <f>IF(B4055=0, NA(), B4055)</f>
        <v>#N/A</v>
      </c>
      <c r="U228" s="2" t="e">
        <f t="shared" si="74"/>
        <v>#N/A</v>
      </c>
      <c r="V228" s="2" t="e">
        <f t="shared" si="75"/>
        <v>#N/A</v>
      </c>
      <c r="W228" s="2" t="e">
        <f t="shared" si="76"/>
        <v>#N/A</v>
      </c>
      <c r="X228" s="2" t="e">
        <f t="shared" si="77"/>
        <v>#N/A</v>
      </c>
      <c r="Y228" s="2" t="e">
        <f t="shared" si="78"/>
        <v>#N/A</v>
      </c>
      <c r="Z228" s="0">
        <f t="shared" ca="1" si="80"/>
        <v>1127659.8</v>
      </c>
      <c r="AA228" s="0">
        <f t="shared" ca="1" si="79"/>
        <v>1032412.5</v>
      </c>
      <c r="AB228" cm="1" s="0">
        <f t="array" ref="AB228">MAX(IF(ISNUMBER(J228:Y228),J228:Y228))</f>
        <v>1376332</v>
      </c>
      <c r="AC228" cm="1" s="0">
        <f t="array" ref="AC228">MIN(IF(ISNUMBER(J228:Y228),J228:Y228))</f>
        <v>717208</v>
      </c>
      <c r="AD228" s="0">
        <f t="shared" si="72"/>
        <v>659124</v>
      </c>
    </row>
    <row r="229" spans="1:30" x14ac:dyDescent="0.2">
      <c r="A229" t="s" s="0">
        <v>3768</v>
      </c>
      <c r="B229" s="2">
        <v>848064</v>
      </c>
      <c r="C229" s="2">
        <v>39643</v>
      </c>
      <c r="D229" s="2">
        <v>39777</v>
      </c>
      <c r="E229" s="2">
        <v>35587</v>
      </c>
      <c r="F229" s="2">
        <v>43091</v>
      </c>
      <c r="G229" s="2">
        <v>26294</v>
      </c>
      <c r="I229" t="str" s="0">
        <f t="shared" si="61"/>
        <v>08/14</v>
      </c>
      <c r="J229" s="2">
        <f t="shared" si="62"/>
        <v>717208</v>
      </c>
      <c r="K229" s="2">
        <f t="shared" si="63"/>
        <v>846854</v>
      </c>
      <c r="L229" s="2">
        <f t="shared" si="64"/>
        <v>818399</v>
      </c>
      <c r="M229" s="2">
        <f t="shared" si="65"/>
        <v>843498</v>
      </c>
      <c r="N229" s="2">
        <f t="shared" si="66"/>
        <v>1370055</v>
      </c>
      <c r="O229" s="2">
        <f t="shared" si="67"/>
        <v>1112773</v>
      </c>
      <c r="P229" s="2">
        <f t="shared" si="68"/>
        <v>1258621</v>
      </c>
      <c r="Q229" s="2">
        <f t="shared" si="69"/>
        <v>1159258</v>
      </c>
      <c r="R229" s="2">
        <f t="shared" si="70"/>
        <v>1080899</v>
      </c>
      <c r="S229" s="2">
        <f t="shared" si="71"/>
        <v>1064124</v>
      </c>
      <c r="T229" s="2" t="e">
        <f>IF(B4056=0, NA(), B4056)</f>
        <v>#N/A</v>
      </c>
      <c r="U229" s="2" t="e">
        <f t="shared" si="74"/>
        <v>#N/A</v>
      </c>
      <c r="V229" s="2" t="e">
        <f t="shared" si="75"/>
        <v>#N/A</v>
      </c>
      <c r="W229" s="2" t="e">
        <f t="shared" si="76"/>
        <v>#N/A</v>
      </c>
      <c r="X229" s="2" t="e">
        <f t="shared" si="77"/>
        <v>#N/A</v>
      </c>
      <c r="Y229" s="2" t="e">
        <f t="shared" si="78"/>
        <v>#N/A</v>
      </c>
      <c r="Z229" s="0">
        <f t="shared" ca="1" si="80"/>
        <v>1135135</v>
      </c>
      <c r="AA229" s="0">
        <f t="shared" ca="1" si="79"/>
        <v>1027168.9</v>
      </c>
      <c r="AB229" cm="1" s="0">
        <f t="array" ref="AB229">MAX(IF(ISNUMBER(J229:Y229),J229:Y229))</f>
        <v>1370055</v>
      </c>
      <c r="AC229" cm="1" s="0">
        <f t="array" ref="AC229">MIN(IF(ISNUMBER(J229:Y229),J229:Y229))</f>
        <v>717208</v>
      </c>
      <c r="AD229" s="0">
        <f t="shared" si="72"/>
        <v>652847</v>
      </c>
    </row>
    <row r="230" spans="1:30" x14ac:dyDescent="0.2">
      <c r="A230" t="s" s="0">
        <v>3767</v>
      </c>
      <c r="B230" s="3">
        <v>848064</v>
      </c>
      <c r="C230" s="3">
        <v>39643</v>
      </c>
      <c r="D230" s="3">
        <v>39777</v>
      </c>
      <c r="E230" s="3">
        <v>35587</v>
      </c>
      <c r="F230" s="3">
        <v>43091</v>
      </c>
      <c r="G230" s="3">
        <v>26294</v>
      </c>
      <c r="I230" t="str" s="0">
        <f t="shared" si="61"/>
        <v>08/15</v>
      </c>
      <c r="J230" s="2">
        <f t="shared" si="62"/>
        <v>717208</v>
      </c>
      <c r="K230" s="2">
        <f t="shared" si="63"/>
        <v>890797</v>
      </c>
      <c r="L230" s="2">
        <f t="shared" si="64"/>
        <v>765843</v>
      </c>
      <c r="M230" s="2">
        <f t="shared" si="65"/>
        <v>857130</v>
      </c>
      <c r="N230" s="2">
        <f t="shared" si="66"/>
        <v>1336903</v>
      </c>
      <c r="O230" s="2">
        <f t="shared" si="67"/>
        <v>1112773</v>
      </c>
      <c r="P230" s="2">
        <f t="shared" si="68"/>
        <v>1253165</v>
      </c>
      <c r="Q230" s="2">
        <f t="shared" si="69"/>
        <v>1115606</v>
      </c>
      <c r="R230" s="2">
        <f t="shared" si="70"/>
        <v>1099119</v>
      </c>
      <c r="S230" s="2">
        <f t="shared" si="71"/>
        <v>1053465</v>
      </c>
      <c r="T230" s="2" t="e">
        <f>IF(B4057=0, NA(), B4057)</f>
        <v>#N/A</v>
      </c>
      <c r="U230" s="2" t="e">
        <f t="shared" si="74"/>
        <v>#N/A</v>
      </c>
      <c r="V230" s="2" t="e">
        <f t="shared" si="75"/>
        <v>#N/A</v>
      </c>
      <c r="W230" s="2" t="e">
        <f t="shared" si="76"/>
        <v>#N/A</v>
      </c>
      <c r="X230" s="2" t="e">
        <f t="shared" si="77"/>
        <v>#N/A</v>
      </c>
      <c r="Y230" s="2" t="e">
        <f t="shared" si="78"/>
        <v>#N/A</v>
      </c>
      <c r="Z230" s="0">
        <f t="shared" ca="1" si="80"/>
        <v>1126825.6000000001</v>
      </c>
      <c r="AA230" s="0">
        <f t="shared" ca="1" si="79"/>
        <v>1020200.9</v>
      </c>
      <c r="AB230" cm="1" s="0">
        <f t="array" ref="AB230">MAX(IF(ISNUMBER(J230:Y230),J230:Y230))</f>
        <v>1336903</v>
      </c>
      <c r="AC230" cm="1" s="0">
        <f t="array" ref="AC230">MIN(IF(ISNUMBER(J230:Y230),J230:Y230))</f>
        <v>717208</v>
      </c>
      <c r="AD230" s="0">
        <f t="shared" si="72"/>
        <v>619695</v>
      </c>
    </row>
    <row r="231" spans="1:30" x14ac:dyDescent="0.2">
      <c r="A231" t="s" s="0">
        <v>3766</v>
      </c>
      <c r="B231" s="3">
        <v>848064</v>
      </c>
      <c r="C231" s="3">
        <v>39643</v>
      </c>
      <c r="D231" s="3">
        <v>39777</v>
      </c>
      <c r="E231" s="3">
        <v>35587</v>
      </c>
      <c r="F231" s="3">
        <v>43091</v>
      </c>
      <c r="G231" s="3">
        <v>26294</v>
      </c>
      <c r="I231" t="str" s="0">
        <f t="shared" si="61"/>
        <v>08/16</v>
      </c>
      <c r="J231" s="2">
        <f t="shared" si="62"/>
        <v>786506</v>
      </c>
      <c r="K231" s="2">
        <f t="shared" si="63"/>
        <v>825108</v>
      </c>
      <c r="L231" s="2">
        <f t="shared" si="64"/>
        <v>758468</v>
      </c>
      <c r="M231" s="2">
        <f t="shared" si="65"/>
        <v>933950</v>
      </c>
      <c r="N231" s="2">
        <f t="shared" si="66"/>
        <v>1336903</v>
      </c>
      <c r="O231" s="2">
        <f t="shared" si="67"/>
        <v>1041768</v>
      </c>
      <c r="P231" s="2">
        <f t="shared" si="68"/>
        <v>1286141</v>
      </c>
      <c r="Q231" s="2">
        <f t="shared" si="69"/>
        <v>1062640</v>
      </c>
      <c r="R231" s="2">
        <f t="shared" si="70"/>
        <v>1050409</v>
      </c>
      <c r="S231" s="2">
        <f t="shared" si="71"/>
        <v>1053465</v>
      </c>
      <c r="T231" s="2" t="e">
        <f>IF(B4058=0, NA(), B4058)</f>
        <v>#N/A</v>
      </c>
      <c r="U231" s="2" t="e">
        <f t="shared" si="74"/>
        <v>#N/A</v>
      </c>
      <c r="V231" s="2" t="e">
        <f t="shared" si="75"/>
        <v>#N/A</v>
      </c>
      <c r="W231" s="2" t="e">
        <f t="shared" si="76"/>
        <v>#N/A</v>
      </c>
      <c r="X231" s="2" t="e">
        <f t="shared" si="77"/>
        <v>#N/A</v>
      </c>
      <c r="Y231" s="2" t="e">
        <f t="shared" si="78"/>
        <v>#N/A</v>
      </c>
      <c r="Z231" s="0">
        <f t="shared" ca="1" si="80"/>
        <v>1098884.6000000001</v>
      </c>
      <c r="AA231" s="0">
        <f t="shared" ca="1" si="79"/>
        <v>1013535.8</v>
      </c>
      <c r="AB231" cm="1" s="0">
        <f t="array" ref="AB231">MAX(IF(ISNUMBER(J231:Y231),J231:Y231))</f>
        <v>1336903</v>
      </c>
      <c r="AC231" cm="1" s="0">
        <f t="array" ref="AC231">MIN(IF(ISNUMBER(J231:Y231),J231:Y231))</f>
        <v>758468</v>
      </c>
      <c r="AD231" s="0">
        <f t="shared" si="72"/>
        <v>578435</v>
      </c>
    </row>
    <row r="232" spans="1:30" x14ac:dyDescent="0.2">
      <c r="A232" t="s" s="0">
        <v>3765</v>
      </c>
      <c r="B232" s="2">
        <v>777948</v>
      </c>
      <c r="C232" s="2">
        <v>22766</v>
      </c>
      <c r="D232" s="2">
        <v>39479</v>
      </c>
      <c r="E232" s="2">
        <v>35959</v>
      </c>
      <c r="F232" s="2">
        <v>26557</v>
      </c>
      <c r="G232" s="2">
        <v>26484</v>
      </c>
      <c r="I232" t="str" s="0">
        <f t="shared" si="61"/>
        <v>08/17</v>
      </c>
      <c r="J232" s="2">
        <f t="shared" si="62"/>
        <v>873869</v>
      </c>
      <c r="K232" s="2">
        <f t="shared" si="63"/>
        <v>825330</v>
      </c>
      <c r="L232" s="2">
        <f t="shared" si="64"/>
        <v>959021</v>
      </c>
      <c r="M232" s="2">
        <f t="shared" si="65"/>
        <v>933950</v>
      </c>
      <c r="N232" s="2">
        <f t="shared" si="66"/>
        <v>1336903</v>
      </c>
      <c r="O232" s="2">
        <f t="shared" si="67"/>
        <v>1003644</v>
      </c>
      <c r="P232" s="2">
        <f t="shared" si="68"/>
        <v>1388452</v>
      </c>
      <c r="Q232" s="2">
        <f t="shared" si="69"/>
        <v>1014033</v>
      </c>
      <c r="R232" s="2">
        <f t="shared" si="70"/>
        <v>1027513</v>
      </c>
      <c r="S232" s="2">
        <f t="shared" si="71"/>
        <v>1053465</v>
      </c>
      <c r="T232" s="2" t="e">
        <f>IF(B4061=0,NA(),B4061)</f>
        <v>#N/A</v>
      </c>
      <c r="U232" s="2" t="e">
        <f t="shared" si="74"/>
        <v>#N/A</v>
      </c>
      <c r="V232" s="2" t="e">
        <f t="shared" si="75"/>
        <v>#N/A</v>
      </c>
      <c r="W232" s="2" t="e">
        <f t="shared" si="76"/>
        <v>#N/A</v>
      </c>
      <c r="X232" s="2" t="e">
        <f t="shared" si="77"/>
        <v>#N/A</v>
      </c>
      <c r="Y232" s="2" t="e">
        <f t="shared" si="78"/>
        <v>#N/A</v>
      </c>
      <c r="Z232" s="0">
        <f t="shared" ca="1" si="80"/>
        <v>1097421.3999999999</v>
      </c>
      <c r="AA232" s="0">
        <f t="shared" ca="1" si="79"/>
        <v>1041618</v>
      </c>
      <c r="AB232" cm="1" s="0">
        <f t="array" ref="AB232">MAX(IF(ISNUMBER(J232:Y232),J232:Y232))</f>
        <v>1388452</v>
      </c>
      <c r="AC232" cm="1" s="0">
        <f t="array" ref="AC232">MIN(IF(ISNUMBER(J232:Y232),J232:Y232))</f>
        <v>825330</v>
      </c>
      <c r="AD232" s="0">
        <f t="shared" si="72"/>
        <v>563122</v>
      </c>
    </row>
    <row r="233" spans="1:30" x14ac:dyDescent="0.2">
      <c r="A233" t="s" s="0">
        <v>3764</v>
      </c>
      <c r="B233" s="2">
        <v>750142</v>
      </c>
      <c r="C233" s="2">
        <v>27806</v>
      </c>
      <c r="D233" s="2">
        <v>37633</v>
      </c>
      <c r="E233" s="2">
        <v>35782</v>
      </c>
      <c r="F233" s="2">
        <v>19128</v>
      </c>
      <c r="G233" s="2">
        <v>26484</v>
      </c>
      <c r="I233" t="str" s="0">
        <f t="shared" si="61"/>
        <v>08/18</v>
      </c>
      <c r="J233" s="2">
        <f t="shared" si="62"/>
        <v>964731</v>
      </c>
      <c r="K233" s="2">
        <f t="shared" si="63"/>
        <v>827894</v>
      </c>
      <c r="L233" s="2">
        <f t="shared" si="64"/>
        <v>959021</v>
      </c>
      <c r="M233" s="2">
        <f t="shared" si="65"/>
        <v>933950</v>
      </c>
      <c r="N233" s="2">
        <f t="shared" si="66"/>
        <v>1259555</v>
      </c>
      <c r="O233" s="2">
        <f t="shared" si="67"/>
        <v>959249</v>
      </c>
      <c r="P233" s="2">
        <f t="shared" si="68"/>
        <v>1324453</v>
      </c>
      <c r="Q233" s="2">
        <f t="shared" si="69"/>
        <v>1109231</v>
      </c>
      <c r="R233" s="2">
        <f t="shared" si="70"/>
        <v>1027513</v>
      </c>
      <c r="S233" s="2">
        <f t="shared" si="71"/>
        <v>1089108</v>
      </c>
      <c r="T233" s="2" t="e">
        <f>IF(B4062=0,NA(),B4062)</f>
        <v>#N/A</v>
      </c>
      <c r="U233" s="2" t="e">
        <f t="shared" si="74"/>
        <v>#N/A</v>
      </c>
      <c r="V233" s="2" t="e">
        <f t="shared" si="75"/>
        <v>#N/A</v>
      </c>
      <c r="W233" s="2" t="e">
        <f t="shared" si="76"/>
        <v>#N/A</v>
      </c>
      <c r="X233" s="2" t="e">
        <f t="shared" si="77"/>
        <v>#N/A</v>
      </c>
      <c r="Y233" s="2" t="e">
        <f t="shared" si="78"/>
        <v>#N/A</v>
      </c>
      <c r="Z233" s="0">
        <f t="shared" ca="1" si="80"/>
        <v>1101910.8</v>
      </c>
      <c r="AA233" s="0">
        <f t="shared" ca="1" si="79"/>
        <v>1045470.5</v>
      </c>
      <c r="AB233" cm="1" s="0">
        <f t="array" ref="AB233">MAX(IF(ISNUMBER(J233:Y233),J233:Y233))</f>
        <v>1324453</v>
      </c>
      <c r="AC233" cm="1" s="0">
        <f t="array" ref="AC233">MIN(IF(ISNUMBER(J233:Y233),J233:Y233))</f>
        <v>827894</v>
      </c>
      <c r="AD233" s="0">
        <f t="shared" si="72"/>
        <v>496559</v>
      </c>
    </row>
    <row r="234" spans="1:30" x14ac:dyDescent="0.2">
      <c r="A234" t="s" s="0">
        <v>3763</v>
      </c>
      <c r="B234" s="2">
        <v>812361</v>
      </c>
      <c r="C234" s="2">
        <v>32737</v>
      </c>
      <c r="D234" s="2">
        <v>35457</v>
      </c>
      <c r="E234" s="2">
        <v>35721</v>
      </c>
      <c r="F234" s="2">
        <v>18411</v>
      </c>
      <c r="G234" s="2">
        <v>29518</v>
      </c>
      <c r="I234" t="str" s="0">
        <f t="shared" si="61"/>
        <v>08/19</v>
      </c>
      <c r="J234" s="2">
        <f t="shared" si="62"/>
        <v>973369</v>
      </c>
      <c r="K234" s="2">
        <f t="shared" si="63"/>
        <v>827894</v>
      </c>
      <c r="L234" s="2">
        <f t="shared" si="64"/>
        <v>959021</v>
      </c>
      <c r="M234" s="2">
        <f t="shared" si="65"/>
        <v>942922</v>
      </c>
      <c r="N234" s="2">
        <f t="shared" si="66"/>
        <v>1330842</v>
      </c>
      <c r="O234" s="2">
        <f t="shared" si="67"/>
        <v>1050593</v>
      </c>
      <c r="P234" s="2">
        <f t="shared" si="68"/>
        <v>1301974</v>
      </c>
      <c r="Q234" s="2">
        <f t="shared" si="69"/>
        <v>1109231</v>
      </c>
      <c r="R234" s="2">
        <f t="shared" si="70"/>
        <v>1027513</v>
      </c>
      <c r="S234" s="2">
        <f t="shared" si="71"/>
        <v>1051347</v>
      </c>
      <c r="T234" s="2" t="e">
        <f>IF(#REF!=0,NA(),#REF!)</f>
        <v>#N/A</v>
      </c>
      <c r="U234" s="2" t="e">
        <f t="shared" si="74"/>
        <v>#N/A</v>
      </c>
      <c r="V234" s="2" t="e">
        <f t="shared" si="75"/>
        <v>#N/A</v>
      </c>
      <c r="W234" s="2" t="e">
        <f t="shared" si="76"/>
        <v>#N/A</v>
      </c>
      <c r="X234" s="2" t="e">
        <f t="shared" si="77"/>
        <v>#N/A</v>
      </c>
      <c r="Y234" s="2" t="e">
        <f t="shared" si="78"/>
        <v>#N/A</v>
      </c>
      <c r="Z234" s="0">
        <f t="shared" ca="1" si="80"/>
        <v>1108131.6000000001</v>
      </c>
      <c r="AA234" s="0">
        <f t="shared" ca="1" si="79"/>
        <v>1057470.6000000001</v>
      </c>
      <c r="AB234" cm="1" s="0">
        <f t="array" ref="AB234">MAX(IF(ISNUMBER(J234:Y234),J234:Y234))</f>
        <v>1330842</v>
      </c>
      <c r="AC234" cm="1" s="0">
        <f t="array" ref="AC234">MIN(IF(ISNUMBER(J234:Y234),J234:Y234))</f>
        <v>827894</v>
      </c>
      <c r="AD234" s="0">
        <f t="shared" si="72"/>
        <v>502948</v>
      </c>
    </row>
    <row r="235" spans="1:30" x14ac:dyDescent="0.2">
      <c r="A235" t="s" s="0">
        <v>3762</v>
      </c>
      <c r="B235" s="2">
        <v>798452</v>
      </c>
      <c r="C235" s="2">
        <v>33937</v>
      </c>
      <c r="D235" s="2">
        <v>35214</v>
      </c>
      <c r="E235" s="2">
        <v>35565</v>
      </c>
      <c r="F235" s="2">
        <v>21286</v>
      </c>
      <c r="G235" s="2">
        <v>30235</v>
      </c>
      <c r="I235" t="str" s="0">
        <f t="shared" si="61"/>
        <v>08/20</v>
      </c>
      <c r="J235" s="2">
        <f t="shared" si="62"/>
        <v>924312</v>
      </c>
      <c r="K235" s="2">
        <f t="shared" si="63"/>
        <v>827894</v>
      </c>
      <c r="L235" s="2">
        <f t="shared" si="64"/>
        <v>919916</v>
      </c>
      <c r="M235" s="2">
        <f t="shared" si="65"/>
        <v>915814</v>
      </c>
      <c r="N235" s="2">
        <f t="shared" si="66"/>
        <v>1298265</v>
      </c>
      <c r="O235" s="2">
        <f t="shared" si="67"/>
        <v>1001415</v>
      </c>
      <c r="P235" s="2">
        <f t="shared" si="68"/>
        <v>1301974</v>
      </c>
      <c r="Q235" s="2">
        <f t="shared" si="69"/>
        <v>1109231</v>
      </c>
      <c r="R235" s="2">
        <f t="shared" si="70"/>
        <v>1090023</v>
      </c>
      <c r="S235" s="2">
        <f t="shared" si="71"/>
        <v>1066583</v>
      </c>
      <c r="T235" s="2" t="e">
        <f>IF(#REF!=0,NA(),#REF!)</f>
        <v>#N/A</v>
      </c>
      <c r="U235" s="2" t="e">
        <f t="shared" si="74"/>
        <v>#N/A</v>
      </c>
      <c r="V235" s="2" t="e">
        <f t="shared" si="75"/>
        <v>#N/A</v>
      </c>
      <c r="W235" s="2" t="e">
        <f t="shared" si="76"/>
        <v>#N/A</v>
      </c>
      <c r="X235" s="2" t="e">
        <f t="shared" si="77"/>
        <v>#N/A</v>
      </c>
      <c r="Y235" s="2" t="e">
        <f t="shared" si="78"/>
        <v>#N/A</v>
      </c>
      <c r="Z235" s="0">
        <f t="shared" ca="1" si="80"/>
        <v>1113845.2</v>
      </c>
      <c r="AA235" s="0">
        <f t="shared" ca="1" si="79"/>
        <v>1045542.7</v>
      </c>
      <c r="AB235" cm="1" s="0">
        <f t="array" ref="AB235">MAX(IF(ISNUMBER(J235:Y235),J235:Y235))</f>
        <v>1301974</v>
      </c>
      <c r="AC235" cm="1" s="0">
        <f t="array" ref="AC235">MIN(IF(ISNUMBER(J235:Y235),J235:Y235))</f>
        <v>827894</v>
      </c>
      <c r="AD235" s="0">
        <f t="shared" si="72"/>
        <v>474080</v>
      </c>
    </row>
    <row r="236" spans="1:30" x14ac:dyDescent="0.2">
      <c r="A236" t="s" s="0">
        <v>3761</v>
      </c>
      <c r="B236" s="2">
        <v>855449</v>
      </c>
      <c r="C236" s="2">
        <v>40365</v>
      </c>
      <c r="D236" s="2">
        <v>33603</v>
      </c>
      <c r="E236" s="2">
        <v>35335</v>
      </c>
      <c r="F236" s="2">
        <v>33580</v>
      </c>
      <c r="G236" s="2">
        <v>31658</v>
      </c>
      <c r="I236" t="str" s="0">
        <f t="shared" si="61"/>
        <v>08/21</v>
      </c>
      <c r="J236" s="2">
        <f t="shared" si="62"/>
        <v>924312</v>
      </c>
      <c r="K236" s="2">
        <f t="shared" si="63"/>
        <v>891203</v>
      </c>
      <c r="L236" s="2">
        <f t="shared" si="64"/>
        <v>940543</v>
      </c>
      <c r="M236" s="2">
        <f t="shared" si="65"/>
        <v>931867</v>
      </c>
      <c r="N236" s="2">
        <f t="shared" si="66"/>
        <v>1336458</v>
      </c>
      <c r="O236" s="2">
        <f t="shared" si="67"/>
        <v>1001415</v>
      </c>
      <c r="P236" s="2">
        <f t="shared" si="68"/>
        <v>1301974</v>
      </c>
      <c r="Q236" s="2">
        <f t="shared" si="69"/>
        <v>1085718</v>
      </c>
      <c r="R236" s="2">
        <f t="shared" si="70"/>
        <v>1065832</v>
      </c>
      <c r="S236" s="2">
        <f t="shared" si="71"/>
        <v>1083439</v>
      </c>
      <c r="T236" s="2" t="e">
        <f>IF(B4063=0, NA(), B4063)</f>
        <v>#N/A</v>
      </c>
      <c r="U236" s="2" t="e">
        <f t="shared" si="74"/>
        <v>#N/A</v>
      </c>
      <c r="V236" s="2" t="e">
        <f t="shared" si="75"/>
        <v>#N/A</v>
      </c>
      <c r="W236" s="2" t="e">
        <f t="shared" si="76"/>
        <v>#N/A</v>
      </c>
      <c r="X236" s="2" t="e">
        <f t="shared" si="77"/>
        <v>#N/A</v>
      </c>
      <c r="Y236" s="2" t="e">
        <f t="shared" si="78"/>
        <v>#N/A</v>
      </c>
      <c r="Z236" s="0">
        <f t="shared" ca="1" si="80"/>
        <v>1107675.6000000001</v>
      </c>
      <c r="AA236" s="0">
        <f t="shared" ca="1" si="79"/>
        <v>1056276.1000000001</v>
      </c>
      <c r="AB236" cm="1" s="0">
        <f t="array" ref="AB236">MAX(IF(ISNUMBER(J236:Y236),J236:Y236))</f>
        <v>1336458</v>
      </c>
      <c r="AC236" cm="1" s="0">
        <f t="array" ref="AC236">MIN(IF(ISNUMBER(J236:Y236),J236:Y236))</f>
        <v>891203</v>
      </c>
      <c r="AD236" s="0">
        <f t="shared" si="72"/>
        <v>445255</v>
      </c>
    </row>
    <row r="237" spans="1:30" x14ac:dyDescent="0.2">
      <c r="A237" t="s" s="0">
        <v>3760</v>
      </c>
      <c r="B237" s="3">
        <v>855449</v>
      </c>
      <c r="C237" s="3">
        <v>40365</v>
      </c>
      <c r="D237" s="3">
        <v>33603</v>
      </c>
      <c r="E237" s="3">
        <v>35335</v>
      </c>
      <c r="F237" s="3">
        <v>33580</v>
      </c>
      <c r="G237" s="3">
        <v>31658</v>
      </c>
      <c r="I237" t="str" s="0">
        <f t="shared" si="61"/>
        <v>08/22</v>
      </c>
      <c r="J237" s="2">
        <f t="shared" si="62"/>
        <v>924312</v>
      </c>
      <c r="K237" s="2">
        <f t="shared" si="63"/>
        <v>856101</v>
      </c>
      <c r="L237" s="2">
        <f t="shared" si="64"/>
        <v>993606</v>
      </c>
      <c r="M237" s="2">
        <f t="shared" si="65"/>
        <v>927475</v>
      </c>
      <c r="N237" s="2">
        <f t="shared" si="66"/>
        <v>1339691</v>
      </c>
      <c r="O237" s="2">
        <f t="shared" si="67"/>
        <v>1001415</v>
      </c>
      <c r="P237" s="2">
        <f t="shared" si="68"/>
        <v>1442099</v>
      </c>
      <c r="Q237" s="2">
        <f t="shared" si="69"/>
        <v>1085006</v>
      </c>
      <c r="R237" s="2">
        <f t="shared" si="70"/>
        <v>1054539</v>
      </c>
      <c r="S237" s="2">
        <f t="shared" si="71"/>
        <v>1030927</v>
      </c>
      <c r="T237" s="2" t="e">
        <f>IF(B4064=0, NA(), B4064)</f>
        <v>#N/A</v>
      </c>
      <c r="U237" s="2" t="e">
        <f t="shared" si="74"/>
        <v>#N/A</v>
      </c>
      <c r="V237" s="2" t="e">
        <f t="shared" si="75"/>
        <v>#N/A</v>
      </c>
      <c r="W237" s="2" t="e">
        <f t="shared" si="76"/>
        <v>#N/A</v>
      </c>
      <c r="X237" s="2" t="e">
        <f t="shared" si="77"/>
        <v>#N/A</v>
      </c>
      <c r="Y237" s="2" t="e">
        <f t="shared" si="78"/>
        <v>#N/A</v>
      </c>
      <c r="Z237" s="0">
        <f t="shared" ca="1" si="80"/>
        <v>1122797.2</v>
      </c>
      <c r="AA237" s="0">
        <f t="shared" ca="1" si="79"/>
        <v>1065517.1000000001</v>
      </c>
      <c r="AB237" cm="1" s="0">
        <f t="array" ref="AB237">MAX(IF(ISNUMBER(J237:Y237),J237:Y237))</f>
        <v>1442099</v>
      </c>
      <c r="AC237" cm="1" s="0">
        <f t="array" ref="AC237">MIN(IF(ISNUMBER(J237:Y237),J237:Y237))</f>
        <v>856101</v>
      </c>
      <c r="AD237" s="0">
        <f t="shared" si="72"/>
        <v>585998</v>
      </c>
    </row>
    <row r="238" spans="1:30" x14ac:dyDescent="0.2">
      <c r="A238" t="s" s="0">
        <v>3759</v>
      </c>
      <c r="B238" s="3">
        <v>855449</v>
      </c>
      <c r="C238" s="3">
        <v>40365</v>
      </c>
      <c r="D238" s="3">
        <v>33603</v>
      </c>
      <c r="E238" s="3">
        <v>35335</v>
      </c>
      <c r="F238" s="3">
        <v>33580</v>
      </c>
      <c r="G238" s="3">
        <v>31658</v>
      </c>
      <c r="I238" t="str" s="0">
        <f t="shared" si="61"/>
        <v>08/23</v>
      </c>
      <c r="J238" s="2">
        <f t="shared" si="62"/>
        <v>1018225</v>
      </c>
      <c r="K238" s="2">
        <f t="shared" si="63"/>
        <v>974278</v>
      </c>
      <c r="L238" s="2">
        <f t="shared" si="64"/>
        <v>967743</v>
      </c>
      <c r="M238" s="2">
        <f t="shared" si="65"/>
        <v>933994</v>
      </c>
      <c r="N238" s="2">
        <f t="shared" si="66"/>
        <v>1339691</v>
      </c>
      <c r="O238" s="2">
        <f t="shared" si="67"/>
        <v>972625</v>
      </c>
      <c r="P238" s="2">
        <f t="shared" si="68"/>
        <v>1475130</v>
      </c>
      <c r="Q238" s="2">
        <f t="shared" si="69"/>
        <v>1033945</v>
      </c>
      <c r="R238" s="2">
        <f t="shared" si="70"/>
        <v>1005286</v>
      </c>
      <c r="S238" s="2">
        <f t="shared" si="71"/>
        <v>1030927</v>
      </c>
      <c r="T238" s="2" t="e">
        <f>IF(B4065=0, NA(), B4065)</f>
        <v>#N/A</v>
      </c>
      <c r="U238" s="2" t="e">
        <f t="shared" si="74"/>
        <v>#N/A</v>
      </c>
      <c r="V238" s="2" t="e">
        <f t="shared" si="75"/>
        <v>#N/A</v>
      </c>
      <c r="W238" s="2" t="e">
        <f t="shared" si="76"/>
        <v>#N/A</v>
      </c>
      <c r="X238" s="2" t="e">
        <f t="shared" si="77"/>
        <v>#N/A</v>
      </c>
      <c r="Y238" s="2" t="e">
        <f t="shared" si="78"/>
        <v>#N/A</v>
      </c>
      <c r="Z238" s="0">
        <f t="shared" ca="1" si="80"/>
        <v>1103582.6000000001</v>
      </c>
      <c r="AA238" s="0">
        <f t="shared" ca="1" si="79"/>
        <v>1075184.3999999999</v>
      </c>
      <c r="AB238" cm="1" s="0">
        <f t="array" ref="AB238">MAX(IF(ISNUMBER(J238:Y238),J238:Y238))</f>
        <v>1475130</v>
      </c>
      <c r="AC238" cm="1" s="0">
        <f t="array" ref="AC238">MIN(IF(ISNUMBER(J238:Y238),J238:Y238))</f>
        <v>933994</v>
      </c>
      <c r="AD238" s="0">
        <f t="shared" si="72"/>
        <v>541136</v>
      </c>
    </row>
    <row r="239" spans="1:30" x14ac:dyDescent="0.2">
      <c r="A239" t="s" s="0">
        <v>3758</v>
      </c>
      <c r="B239" s="2">
        <v>831312</v>
      </c>
      <c r="C239" s="2">
        <v>20319</v>
      </c>
      <c r="D239" s="2">
        <v>32002</v>
      </c>
      <c r="E239" s="2">
        <v>35319</v>
      </c>
      <c r="F239" s="2">
        <v>38548</v>
      </c>
      <c r="G239" s="2">
        <v>29515</v>
      </c>
      <c r="I239" t="str" s="0">
        <f t="shared" si="61"/>
        <v>08/24</v>
      </c>
      <c r="J239" s="2">
        <f t="shared" si="62"/>
        <v>1030033</v>
      </c>
      <c r="K239" s="2">
        <f t="shared" si="63"/>
        <v>984138</v>
      </c>
      <c r="L239" s="2">
        <f t="shared" si="64"/>
        <v>1028268</v>
      </c>
      <c r="M239" s="2">
        <f t="shared" si="65"/>
        <v>933994</v>
      </c>
      <c r="N239" s="2">
        <f t="shared" si="66"/>
        <v>1339691</v>
      </c>
      <c r="O239" s="2">
        <f t="shared" si="67"/>
        <v>917317</v>
      </c>
      <c r="P239" s="2">
        <f t="shared" si="68"/>
        <v>1526071</v>
      </c>
      <c r="Q239" s="2">
        <f t="shared" si="69"/>
        <v>1033879</v>
      </c>
      <c r="R239" s="2">
        <f t="shared" si="70"/>
        <v>1082473</v>
      </c>
      <c r="S239" s="2">
        <f t="shared" si="71"/>
        <v>1030927</v>
      </c>
      <c r="T239" s="2" t="e">
        <f>IF(B4068=0,NA(),B4068)</f>
        <v>#N/A</v>
      </c>
      <c r="U239" s="2" t="e">
        <f t="shared" si="74"/>
        <v>#N/A</v>
      </c>
      <c r="V239" s="2" t="e">
        <f t="shared" si="75"/>
        <v>#N/A</v>
      </c>
      <c r="W239" s="2" t="e">
        <f t="shared" si="76"/>
        <v>#N/A</v>
      </c>
      <c r="X239" s="2" t="e">
        <f t="shared" si="77"/>
        <v>#N/A</v>
      </c>
      <c r="Y239" s="2" t="e">
        <f t="shared" si="78"/>
        <v>#N/A</v>
      </c>
      <c r="Z239" s="0">
        <f t="shared" ca="1" si="80"/>
        <v>1118133.3999999999</v>
      </c>
      <c r="AA239" s="0">
        <f t="shared" ca="1" si="79"/>
        <v>1090679.1000000001</v>
      </c>
      <c r="AB239" cm="1" s="0">
        <f t="array" ref="AB239">MAX(IF(ISNUMBER(J239:Y239),J239:Y239))</f>
        <v>1526071</v>
      </c>
      <c r="AC239" cm="1" s="0">
        <f t="array" ref="AC239">MIN(IF(ISNUMBER(J239:Y239),J239:Y239))</f>
        <v>917317</v>
      </c>
      <c r="AD239" s="0">
        <f t="shared" si="72"/>
        <v>608754</v>
      </c>
    </row>
    <row r="240" spans="1:30" x14ac:dyDescent="0.2">
      <c r="A240" t="s" s="0">
        <v>3757</v>
      </c>
      <c r="B240" s="2">
        <v>829753</v>
      </c>
      <c r="C240" s="2">
        <v>31559</v>
      </c>
      <c r="D240" s="2">
        <v>32539</v>
      </c>
      <c r="E240" s="2">
        <v>35440</v>
      </c>
      <c r="F240" s="2">
        <v>42834</v>
      </c>
      <c r="G240" s="2">
        <v>29873</v>
      </c>
      <c r="I240" t="str" s="0">
        <f t="shared" si="61"/>
        <v>08/25</v>
      </c>
      <c r="J240" s="2">
        <f t="shared" si="62"/>
        <v>1033645</v>
      </c>
      <c r="K240" s="2">
        <f t="shared" si="63"/>
        <v>943216</v>
      </c>
      <c r="L240" s="2">
        <f t="shared" si="64"/>
        <v>1028268</v>
      </c>
      <c r="M240" s="2">
        <f t="shared" si="65"/>
        <v>933994</v>
      </c>
      <c r="N240" s="2">
        <f t="shared" si="66"/>
        <v>1310526</v>
      </c>
      <c r="O240" s="2">
        <f t="shared" si="67"/>
        <v>981006</v>
      </c>
      <c r="P240" s="2">
        <f t="shared" si="68"/>
        <v>1498687</v>
      </c>
      <c r="Q240" s="2">
        <f t="shared" si="69"/>
        <v>1186928</v>
      </c>
      <c r="R240" s="2">
        <f t="shared" si="70"/>
        <v>1082473</v>
      </c>
      <c r="S240" s="2">
        <f t="shared" si="71"/>
        <v>1067798</v>
      </c>
      <c r="T240" s="2" t="e">
        <f>IF(#REF!=0,NA(),#REF!)</f>
        <v>#N/A</v>
      </c>
      <c r="U240" s="2" t="e">
        <f t="shared" si="74"/>
        <v>#N/A</v>
      </c>
      <c r="V240" s="2" t="e">
        <f t="shared" si="75"/>
        <v>#N/A</v>
      </c>
      <c r="W240" s="2" t="e">
        <f t="shared" si="76"/>
        <v>#N/A</v>
      </c>
      <c r="X240" s="2" t="e">
        <f t="shared" si="77"/>
        <v>#N/A</v>
      </c>
      <c r="Y240" s="2" t="e">
        <f t="shared" si="78"/>
        <v>#N/A</v>
      </c>
      <c r="Z240" s="0">
        <f t="shared" ca="1" si="80"/>
        <v>1163378.3999999999</v>
      </c>
      <c r="AA240" s="0">
        <f t="shared" ca="1" si="79"/>
        <v>1106654.1000000001</v>
      </c>
      <c r="AB240" cm="1" s="0">
        <f t="array" ref="AB240">MAX(IF(ISNUMBER(J240:Y240),J240:Y240))</f>
        <v>1498687</v>
      </c>
      <c r="AC240" cm="1" s="0">
        <f t="array" ref="AC240">MIN(IF(ISNUMBER(J240:Y240),J240:Y240))</f>
        <v>933994</v>
      </c>
      <c r="AD240" s="0">
        <f t="shared" si="72"/>
        <v>564693</v>
      </c>
    </row>
    <row r="241" spans="1:30" x14ac:dyDescent="0.2">
      <c r="A241" t="s" s="0">
        <v>3756</v>
      </c>
      <c r="B241" s="2">
        <v>848284</v>
      </c>
      <c r="C241" s="2">
        <v>36301</v>
      </c>
      <c r="D241" s="2">
        <v>33772</v>
      </c>
      <c r="E241" s="2">
        <v>35310</v>
      </c>
      <c r="F241" s="2">
        <v>37826</v>
      </c>
      <c r="G241" s="2">
        <v>29505</v>
      </c>
      <c r="I241" t="str" s="0">
        <f t="shared" si="61"/>
        <v>08/26</v>
      </c>
      <c r="J241" s="2">
        <f t="shared" si="62"/>
        <v>1026326</v>
      </c>
      <c r="K241" s="2">
        <f t="shared" si="63"/>
        <v>943216</v>
      </c>
      <c r="L241" s="2">
        <f t="shared" si="64"/>
        <v>1028268</v>
      </c>
      <c r="M241" s="2">
        <f t="shared" si="65"/>
        <v>1035136</v>
      </c>
      <c r="N241" s="2">
        <f t="shared" si="66"/>
        <v>1218602</v>
      </c>
      <c r="O241" s="2">
        <f t="shared" si="67"/>
        <v>1031067</v>
      </c>
      <c r="P241" s="2">
        <f t="shared" si="68"/>
        <v>1458672</v>
      </c>
      <c r="Q241" s="2">
        <f t="shared" si="69"/>
        <v>1186928</v>
      </c>
      <c r="R241" s="2">
        <f t="shared" si="70"/>
        <v>1082473</v>
      </c>
      <c r="S241" s="2">
        <f t="shared" si="71"/>
        <v>1019764</v>
      </c>
      <c r="T241" s="2" t="e">
        <f>IF(#REF!=0,NA(),#REF!)</f>
        <v>#N/A</v>
      </c>
      <c r="U241" s="2" t="e">
        <f t="shared" si="74"/>
        <v>#N/A</v>
      </c>
      <c r="V241" s="2" t="e">
        <f t="shared" si="75"/>
        <v>#N/A</v>
      </c>
      <c r="W241" s="2" t="e">
        <f t="shared" si="76"/>
        <v>#N/A</v>
      </c>
      <c r="X241" s="2" t="e">
        <f t="shared" si="77"/>
        <v>#N/A</v>
      </c>
      <c r="Y241" s="2" t="e">
        <f t="shared" si="78"/>
        <v>#N/A</v>
      </c>
      <c r="Z241" s="0">
        <f t="shared" ca="1" si="80"/>
        <v>1155780.8</v>
      </c>
      <c r="AA241" s="0">
        <f t="shared" ca="1" si="79"/>
        <v>1103045.2</v>
      </c>
      <c r="AB241" cm="1" s="0">
        <f t="array" ref="AB241">MAX(IF(ISNUMBER(J241:Y241),J241:Y241))</f>
        <v>1458672</v>
      </c>
      <c r="AC241" cm="1" s="0">
        <f t="array" ref="AC241">MIN(IF(ISNUMBER(J241:Y241),J241:Y241))</f>
        <v>943216</v>
      </c>
      <c r="AD241" s="0">
        <f t="shared" si="72"/>
        <v>515456</v>
      </c>
    </row>
    <row r="242" spans="1:30" x14ac:dyDescent="0.2">
      <c r="A242" t="s" s="0">
        <v>3755</v>
      </c>
      <c r="B242" s="2">
        <v>845084</v>
      </c>
      <c r="C242" s="2">
        <v>33603</v>
      </c>
      <c r="D242" s="2">
        <v>35868</v>
      </c>
      <c r="E242" s="2">
        <v>35751</v>
      </c>
      <c r="F242" s="2">
        <v>41452</v>
      </c>
      <c r="G242" s="2">
        <v>31127</v>
      </c>
      <c r="I242" t="str" s="0">
        <f t="shared" si="61"/>
        <v>08/27</v>
      </c>
      <c r="J242" s="2">
        <f t="shared" si="62"/>
        <v>973465</v>
      </c>
      <c r="K242" s="2">
        <f t="shared" si="63"/>
        <v>943216</v>
      </c>
      <c r="L242" s="2">
        <f t="shared" si="64"/>
        <v>964237</v>
      </c>
      <c r="M242" s="2">
        <f t="shared" si="65"/>
        <v>1163930</v>
      </c>
      <c r="N242" s="2">
        <f t="shared" si="66"/>
        <v>1179549</v>
      </c>
      <c r="O242" s="2">
        <f t="shared" si="67"/>
        <v>1109602</v>
      </c>
      <c r="P242" s="2">
        <f t="shared" si="68"/>
        <v>1458672</v>
      </c>
      <c r="Q242" s="2">
        <f t="shared" si="69"/>
        <v>1186928</v>
      </c>
      <c r="R242" s="2">
        <f t="shared" si="70"/>
        <v>1078412</v>
      </c>
      <c r="S242" s="2">
        <f t="shared" si="71"/>
        <v>1046597</v>
      </c>
      <c r="T242" s="2" t="e">
        <f t="shared" ref="T242:T273" si="83">IF(B4069=0, NA(), B4069)</f>
        <v>#N/A</v>
      </c>
      <c r="U242" s="2" t="e">
        <f t="shared" si="74"/>
        <v>#N/A</v>
      </c>
      <c r="V242" s="2" t="e">
        <f t="shared" si="75"/>
        <v>#N/A</v>
      </c>
      <c r="W242" s="2" t="e">
        <f t="shared" si="76"/>
        <v>#N/A</v>
      </c>
      <c r="X242" s="2" t="e">
        <f t="shared" si="77"/>
        <v>#N/A</v>
      </c>
      <c r="Y242" s="2" t="e">
        <f t="shared" si="78"/>
        <v>#N/A</v>
      </c>
      <c r="Z242" s="0">
        <f t="shared" ca="1" si="80"/>
        <v>1176042.2</v>
      </c>
      <c r="AA242" s="0">
        <f t="shared" ca="1" si="79"/>
        <v>1110460.8</v>
      </c>
      <c r="AB242" cm="1" s="0">
        <f t="array" ref="AB242">MAX(IF(ISNUMBER(J242:Y242),J242:Y242))</f>
        <v>1458672</v>
      </c>
      <c r="AC242" cm="1" s="0">
        <f t="array" ref="AC242">MIN(IF(ISNUMBER(J242:Y242),J242:Y242))</f>
        <v>943216</v>
      </c>
      <c r="AD242" s="0">
        <f t="shared" si="72"/>
        <v>515456</v>
      </c>
    </row>
    <row r="243" spans="1:30" x14ac:dyDescent="0.2">
      <c r="A243" t="s" s="0">
        <v>3754</v>
      </c>
      <c r="B243" s="2">
        <v>812768</v>
      </c>
      <c r="C243" s="2">
        <v>34786</v>
      </c>
      <c r="D243" s="2">
        <v>35785</v>
      </c>
      <c r="E243" s="2">
        <v>35950</v>
      </c>
      <c r="F243" s="2">
        <v>28119</v>
      </c>
      <c r="G243" s="2">
        <v>31002</v>
      </c>
      <c r="I243" t="str" s="0">
        <f t="shared" si="61"/>
        <v>08/28</v>
      </c>
      <c r="J243" s="2">
        <f t="shared" si="62"/>
        <v>973465</v>
      </c>
      <c r="K243" s="2">
        <f t="shared" si="63"/>
        <v>841290</v>
      </c>
      <c r="L243" s="2">
        <f t="shared" si="64"/>
        <v>964299</v>
      </c>
      <c r="M243" s="2">
        <f t="shared" si="65"/>
        <v>1164433</v>
      </c>
      <c r="N243" s="2">
        <f t="shared" si="66"/>
        <v>1213484</v>
      </c>
      <c r="O243" s="2">
        <f t="shared" si="67"/>
        <v>1109602</v>
      </c>
      <c r="P243" s="2">
        <f t="shared" si="68"/>
        <v>1458672</v>
      </c>
      <c r="Q243" s="2">
        <f t="shared" si="69"/>
        <v>1091584</v>
      </c>
      <c r="R243" s="2">
        <f t="shared" si="70"/>
        <v>1038851</v>
      </c>
      <c r="S243" s="2">
        <f t="shared" si="71"/>
        <v>1117234</v>
      </c>
      <c r="T243" s="2" t="e">
        <f t="shared" si="83"/>
        <v>#N/A</v>
      </c>
      <c r="U243" s="2" t="e">
        <f t="shared" si="74"/>
        <v>#N/A</v>
      </c>
      <c r="V243" s="2" t="e">
        <f t="shared" si="75"/>
        <v>#N/A</v>
      </c>
      <c r="W243" s="2" t="e">
        <f t="shared" si="76"/>
        <v>#N/A</v>
      </c>
      <c r="X243" s="2" t="e">
        <f t="shared" si="77"/>
        <v>#N/A</v>
      </c>
      <c r="Y243" s="2" t="e">
        <f t="shared" si="78"/>
        <v>#N/A</v>
      </c>
      <c r="Z243" s="0">
        <f t="shared" ca="1" si="80"/>
        <v>1163188.6000000001</v>
      </c>
      <c r="AA243" s="0">
        <f t="shared" ca="1" si="79"/>
        <v>1097291.3999999999</v>
      </c>
      <c r="AB243" cm="1" s="0">
        <f t="array" ref="AB243">MAX(IF(ISNUMBER(J243:Y243),J243:Y243))</f>
        <v>1458672</v>
      </c>
      <c r="AC243" cm="1" s="0">
        <f t="array" ref="AC243">MIN(IF(ISNUMBER(J243:Y243),J243:Y243))</f>
        <v>841290</v>
      </c>
      <c r="AD243" s="0">
        <f t="shared" si="72"/>
        <v>617382</v>
      </c>
    </row>
    <row r="244" spans="1:30" x14ac:dyDescent="0.2">
      <c r="A244" t="s" s="0">
        <v>3753</v>
      </c>
      <c r="B244" s="3">
        <v>812768</v>
      </c>
      <c r="C244" s="3">
        <v>34786</v>
      </c>
      <c r="D244" s="3">
        <v>35785</v>
      </c>
      <c r="E244" s="3">
        <v>35950</v>
      </c>
      <c r="F244" s="3">
        <v>28119</v>
      </c>
      <c r="G244" s="3">
        <v>31002</v>
      </c>
      <c r="I244" t="str" s="0">
        <f t="shared" si="61"/>
        <v>08/29</v>
      </c>
      <c r="J244" s="2">
        <f t="shared" si="62"/>
        <v>973465</v>
      </c>
      <c r="K244" s="2">
        <f t="shared" si="63"/>
        <v>887972</v>
      </c>
      <c r="L244" s="2">
        <f t="shared" si="64"/>
        <v>906864</v>
      </c>
      <c r="M244" s="2">
        <f t="shared" si="65"/>
        <v>1128569</v>
      </c>
      <c r="N244" s="2">
        <f t="shared" si="66"/>
        <v>1150266</v>
      </c>
      <c r="O244" s="2">
        <f t="shared" si="67"/>
        <v>1109602</v>
      </c>
      <c r="P244" s="2">
        <f t="shared" si="68"/>
        <v>1447491</v>
      </c>
      <c r="Q244" s="2">
        <f t="shared" si="69"/>
        <v>1051221</v>
      </c>
      <c r="R244" s="2">
        <f t="shared" si="70"/>
        <v>1045748</v>
      </c>
      <c r="S244" s="2">
        <f t="shared" si="71"/>
        <v>1105577</v>
      </c>
      <c r="T244" s="2" t="e">
        <f t="shared" si="83"/>
        <v>#N/A</v>
      </c>
      <c r="U244" s="2" t="e">
        <f t="shared" si="74"/>
        <v>#N/A</v>
      </c>
      <c r="V244" s="2" t="e">
        <f t="shared" si="75"/>
        <v>#N/A</v>
      </c>
      <c r="W244" s="2" t="e">
        <f t="shared" si="76"/>
        <v>#N/A</v>
      </c>
      <c r="X244" s="2" t="e">
        <f t="shared" si="77"/>
        <v>#N/A</v>
      </c>
      <c r="Y244" s="2" t="e">
        <f t="shared" si="78"/>
        <v>#N/A</v>
      </c>
      <c r="Z244" s="0">
        <f t="shared" ca="1" si="80"/>
        <v>1151927.8</v>
      </c>
      <c r="AA244" s="0">
        <f t="shared" ca="1" si="79"/>
        <v>1080677.5</v>
      </c>
      <c r="AB244" cm="1" s="0">
        <f t="array" ref="AB244">MAX(IF(ISNUMBER(J244:Y244),J244:Y244))</f>
        <v>1447491</v>
      </c>
      <c r="AC244" cm="1" s="0">
        <f t="array" ref="AC244">MIN(IF(ISNUMBER(J244:Y244),J244:Y244))</f>
        <v>887972</v>
      </c>
      <c r="AD244" s="0">
        <f t="shared" si="72"/>
        <v>559519</v>
      </c>
    </row>
    <row r="245" spans="1:30" x14ac:dyDescent="0.2">
      <c r="A245" t="s" s="0">
        <v>3752</v>
      </c>
      <c r="B245" s="3">
        <v>812768</v>
      </c>
      <c r="C245" s="3">
        <v>34786</v>
      </c>
      <c r="D245" s="3">
        <v>35785</v>
      </c>
      <c r="E245" s="3">
        <v>35950</v>
      </c>
      <c r="F245" s="3">
        <v>28119</v>
      </c>
      <c r="G245" s="3">
        <v>31002</v>
      </c>
      <c r="I245" t="str" s="0">
        <f t="shared" si="61"/>
        <v>08/30</v>
      </c>
      <c r="J245" s="2">
        <f t="shared" si="62"/>
        <v>1032644</v>
      </c>
      <c r="K245" s="2">
        <f t="shared" si="63"/>
        <v>831363</v>
      </c>
      <c r="L245" s="2">
        <f t="shared" si="64"/>
        <v>947196</v>
      </c>
      <c r="M245" s="2">
        <f t="shared" si="65"/>
        <v>1077296</v>
      </c>
      <c r="N245" s="2">
        <f t="shared" si="66"/>
        <v>1150266</v>
      </c>
      <c r="O245" s="2">
        <f t="shared" si="67"/>
        <v>1028315</v>
      </c>
      <c r="P245" s="2">
        <f t="shared" si="68"/>
        <v>1365437</v>
      </c>
      <c r="Q245" s="2">
        <f t="shared" si="69"/>
        <v>1001179</v>
      </c>
      <c r="R245" s="2">
        <f t="shared" si="70"/>
        <v>1021460</v>
      </c>
      <c r="S245" s="2">
        <f t="shared" si="71"/>
        <v>1105577</v>
      </c>
      <c r="T245" s="2" t="e">
        <f t="shared" si="83"/>
        <v>#N/A</v>
      </c>
      <c r="U245" s="2" t="e">
        <f t="shared" si="74"/>
        <v>#N/A</v>
      </c>
      <c r="V245" s="2" t="e">
        <f t="shared" si="75"/>
        <v>#N/A</v>
      </c>
      <c r="W245" s="2" t="e">
        <f t="shared" si="76"/>
        <v>#N/A</v>
      </c>
      <c r="X245" s="2" t="e">
        <f t="shared" si="77"/>
        <v>#N/A</v>
      </c>
      <c r="Y245" s="2" t="e">
        <f t="shared" si="78"/>
        <v>#N/A</v>
      </c>
      <c r="Z245" s="0">
        <f t="shared" ca="1" si="80"/>
        <v>1104393.6000000001</v>
      </c>
      <c r="AA245" s="0">
        <f t="shared" ca="1" si="79"/>
        <v>1056073.3</v>
      </c>
      <c r="AB245" cm="1" s="0">
        <f t="array" ref="AB245">MAX(IF(ISNUMBER(J245:Y245),J245:Y245))</f>
        <v>1365437</v>
      </c>
      <c r="AC245" cm="1" s="0">
        <f t="array" ref="AC245">MIN(IF(ISNUMBER(J245:Y245),J245:Y245))</f>
        <v>831363</v>
      </c>
      <c r="AD245" s="0">
        <f t="shared" si="72"/>
        <v>534074</v>
      </c>
    </row>
    <row r="246" spans="1:30" x14ac:dyDescent="0.2">
      <c r="A246" t="s" s="0">
        <v>3751</v>
      </c>
      <c r="B246" s="2">
        <v>755958</v>
      </c>
      <c r="C246" s="2">
        <v>19867</v>
      </c>
      <c r="D246" s="2">
        <v>35371</v>
      </c>
      <c r="E246" s="2">
        <v>35793</v>
      </c>
      <c r="F246" s="2">
        <v>23117</v>
      </c>
      <c r="G246" s="2">
        <v>28962</v>
      </c>
      <c r="I246" t="str" s="0">
        <f t="shared" si="61"/>
        <v>08/31</v>
      </c>
      <c r="J246" s="2">
        <f t="shared" si="62"/>
        <v>1080277</v>
      </c>
      <c r="K246" s="2">
        <f t="shared" si="63"/>
        <v>813505</v>
      </c>
      <c r="L246" s="2">
        <f t="shared" si="64"/>
        <v>949858</v>
      </c>
      <c r="M246" s="2">
        <f t="shared" si="65"/>
        <v>1077296</v>
      </c>
      <c r="N246" s="2">
        <f t="shared" si="66"/>
        <v>1150266</v>
      </c>
      <c r="O246" s="2">
        <f t="shared" si="67"/>
        <v>1009050</v>
      </c>
      <c r="P246" s="2">
        <f t="shared" si="68"/>
        <v>1355927</v>
      </c>
      <c r="Q246" s="2">
        <f t="shared" si="69"/>
        <v>987735</v>
      </c>
      <c r="R246" s="2">
        <f t="shared" si="70"/>
        <v>1028986</v>
      </c>
      <c r="S246" s="2">
        <f t="shared" si="71"/>
        <v>1105577</v>
      </c>
      <c r="T246" s="2" t="e">
        <f t="shared" si="83"/>
        <v>#N/A</v>
      </c>
      <c r="U246" s="2" t="e">
        <f t="shared" si="74"/>
        <v>#N/A</v>
      </c>
      <c r="V246" s="2" t="e">
        <f t="shared" si="75"/>
        <v>#N/A</v>
      </c>
      <c r="W246" s="2" t="e">
        <f t="shared" si="76"/>
        <v>#N/A</v>
      </c>
      <c r="X246" s="2" t="e">
        <f t="shared" si="77"/>
        <v>#N/A</v>
      </c>
      <c r="Y246" s="2" t="e">
        <f t="shared" si="78"/>
        <v>#N/A</v>
      </c>
      <c r="Z246" s="0">
        <f t="shared" ca="1" si="80"/>
        <v>1097455</v>
      </c>
      <c r="AA246" s="0">
        <f t="shared" ca="1" si="79"/>
        <v>1055847.7</v>
      </c>
      <c r="AB246" cm="1" s="0">
        <f t="array" ref="AB246">MAX(IF(ISNUMBER(J246:Y246),J246:Y246))</f>
        <v>1355927</v>
      </c>
      <c r="AC246" cm="1" s="0">
        <f t="array" ref="AC246">MIN(IF(ISNUMBER(J246:Y246),J246:Y246))</f>
        <v>813505</v>
      </c>
      <c r="AD246" s="0">
        <f t="shared" si="72"/>
        <v>542422</v>
      </c>
    </row>
    <row r="247" spans="1:30" x14ac:dyDescent="0.2">
      <c r="A247" t="s" s="0">
        <v>3750</v>
      </c>
      <c r="B247" s="2">
        <v>832663</v>
      </c>
      <c r="C247" s="2">
        <v>28295</v>
      </c>
      <c r="D247" s="2">
        <v>34905</v>
      </c>
      <c r="E247" s="2">
        <v>35547</v>
      </c>
      <c r="F247" s="2">
        <v>33831</v>
      </c>
      <c r="G247" s="2">
        <v>32712</v>
      </c>
      <c r="I247" t="str" s="0">
        <f t="shared" si="61"/>
        <v>09/01</v>
      </c>
      <c r="J247" s="2">
        <f t="shared" si="62"/>
        <v>1094966</v>
      </c>
      <c r="K247" s="2">
        <f t="shared" si="63"/>
        <v>782272</v>
      </c>
      <c r="L247" s="2">
        <f t="shared" si="64"/>
        <v>949858</v>
      </c>
      <c r="M247" s="2">
        <f t="shared" si="65"/>
        <v>1077296</v>
      </c>
      <c r="N247" s="2">
        <f t="shared" si="66"/>
        <v>1103042</v>
      </c>
      <c r="O247" s="2">
        <f t="shared" si="67"/>
        <v>938687</v>
      </c>
      <c r="P247" s="2">
        <f t="shared" si="68"/>
        <v>1385609</v>
      </c>
      <c r="Q247" s="2">
        <f t="shared" si="69"/>
        <v>1014845</v>
      </c>
      <c r="R247" s="2">
        <f t="shared" si="70"/>
        <v>1028986</v>
      </c>
      <c r="S247" s="2">
        <f t="shared" si="71"/>
        <v>1050164</v>
      </c>
      <c r="T247" s="2" t="e">
        <f t="shared" si="83"/>
        <v>#N/A</v>
      </c>
      <c r="U247" s="2" t="e">
        <f t="shared" si="74"/>
        <v>#N/A</v>
      </c>
      <c r="V247" s="2" t="e">
        <f t="shared" si="75"/>
        <v>#N/A</v>
      </c>
      <c r="W247" s="2" t="e">
        <f t="shared" si="76"/>
        <v>#N/A</v>
      </c>
      <c r="X247" s="2" t="e">
        <f t="shared" si="77"/>
        <v>#N/A</v>
      </c>
      <c r="Y247" s="2" t="e">
        <f t="shared" si="78"/>
        <v>#N/A</v>
      </c>
      <c r="Z247" s="0">
        <f t="shared" ca="1" si="80"/>
        <v>1083658.2</v>
      </c>
      <c r="AA247" s="0">
        <f t="shared" ca="1" si="79"/>
        <v>1042572.5</v>
      </c>
      <c r="AB247" cm="1" s="0">
        <f t="array" ref="AB247">MAX(IF(ISNUMBER(J247:Y247),J247:Y247))</f>
        <v>1385609</v>
      </c>
      <c r="AC247" cm="1" s="0">
        <f t="array" ref="AC247">MIN(IF(ISNUMBER(J247:Y247),J247:Y247))</f>
        <v>782272</v>
      </c>
      <c r="AD247" s="0">
        <f t="shared" si="72"/>
        <v>603337</v>
      </c>
    </row>
    <row r="248" spans="1:30" x14ac:dyDescent="0.2">
      <c r="A248" t="s" s="0">
        <v>3749</v>
      </c>
      <c r="B248" s="2">
        <v>789750</v>
      </c>
      <c r="C248" s="2">
        <v>34014</v>
      </c>
      <c r="D248" s="2">
        <v>35117</v>
      </c>
      <c r="E248" s="2">
        <v>35644</v>
      </c>
      <c r="F248" s="2">
        <v>25265</v>
      </c>
      <c r="G248" s="2">
        <v>31875</v>
      </c>
      <c r="I248" t="str" s="0">
        <f t="shared" si="61"/>
        <v>09/02</v>
      </c>
      <c r="J248" s="2">
        <f t="shared" si="62"/>
        <v>1108068</v>
      </c>
      <c r="K248" s="2">
        <f t="shared" si="63"/>
        <v>782272</v>
      </c>
      <c r="L248" s="2">
        <f t="shared" si="64"/>
        <v>949858</v>
      </c>
      <c r="M248" s="2">
        <f t="shared" si="65"/>
        <v>1129910</v>
      </c>
      <c r="N248" s="2">
        <f t="shared" si="66"/>
        <v>1066026</v>
      </c>
      <c r="O248" s="2">
        <f t="shared" si="67"/>
        <v>946301</v>
      </c>
      <c r="P248" s="2">
        <f t="shared" si="68"/>
        <v>1352999</v>
      </c>
      <c r="Q248" s="2">
        <f t="shared" si="69"/>
        <v>1014845</v>
      </c>
      <c r="R248" s="2">
        <f t="shared" si="70"/>
        <v>1028986</v>
      </c>
      <c r="S248" s="2">
        <f t="shared" si="71"/>
        <v>1060574</v>
      </c>
      <c r="T248" s="2" t="e">
        <f t="shared" si="83"/>
        <v>#N/A</v>
      </c>
      <c r="U248" s="2" t="e">
        <f t="shared" si="74"/>
        <v>#N/A</v>
      </c>
      <c r="V248" s="2" t="e">
        <f t="shared" si="75"/>
        <v>#N/A</v>
      </c>
      <c r="W248" s="2" t="e">
        <f t="shared" si="76"/>
        <v>#N/A</v>
      </c>
      <c r="X248" s="2" t="e">
        <f t="shared" si="77"/>
        <v>#N/A</v>
      </c>
      <c r="Y248" s="2" t="e">
        <f t="shared" si="78"/>
        <v>#N/A</v>
      </c>
      <c r="Z248" s="0">
        <f t="shared" ca="1" si="80"/>
        <v>1080741</v>
      </c>
      <c r="AA248" s="0">
        <f t="shared" ca="1" si="79"/>
        <v>1043983.9</v>
      </c>
      <c r="AB248" cm="1" s="0">
        <f t="array" ref="AB248">MAX(IF(ISNUMBER(J248:Y248),J248:Y248))</f>
        <v>1352999</v>
      </c>
      <c r="AC248" cm="1" s="0">
        <f t="array" ref="AC248">MIN(IF(ISNUMBER(J248:Y248),J248:Y248))</f>
        <v>782272</v>
      </c>
      <c r="AD248" s="0">
        <f t="shared" si="72"/>
        <v>570727</v>
      </c>
    </row>
    <row r="249" spans="1:30" x14ac:dyDescent="0.2">
      <c r="A249" t="s" s="0">
        <v>3748</v>
      </c>
      <c r="B249" s="2">
        <v>765584</v>
      </c>
      <c r="C249" s="2">
        <v>24204</v>
      </c>
      <c r="D249" s="2">
        <v>31630</v>
      </c>
      <c r="E249" s="2">
        <v>35150</v>
      </c>
      <c r="F249" s="2">
        <v>18784</v>
      </c>
      <c r="G249" s="2">
        <v>31876</v>
      </c>
      <c r="I249" t="str" s="0">
        <f t="shared" si="61"/>
        <v>09/03</v>
      </c>
      <c r="J249" s="2">
        <f t="shared" si="62"/>
        <v>1054888</v>
      </c>
      <c r="K249" s="2">
        <f t="shared" si="63"/>
        <v>782272</v>
      </c>
      <c r="L249" s="2">
        <f t="shared" si="64"/>
        <v>1007667</v>
      </c>
      <c r="M249" s="2">
        <f t="shared" si="65"/>
        <v>1153808</v>
      </c>
      <c r="N249" s="2">
        <f t="shared" si="66"/>
        <v>1039627</v>
      </c>
      <c r="O249" s="2">
        <f t="shared" si="67"/>
        <v>965951</v>
      </c>
      <c r="P249" s="2">
        <f t="shared" si="68"/>
        <v>1352999</v>
      </c>
      <c r="Q249" s="2">
        <f t="shared" si="69"/>
        <v>1014845</v>
      </c>
      <c r="R249" s="2">
        <f t="shared" si="70"/>
        <v>1117928</v>
      </c>
      <c r="S249" s="2">
        <f t="shared" si="71"/>
        <v>1062706</v>
      </c>
      <c r="T249" s="2" t="e">
        <f t="shared" si="83"/>
        <v>#N/A</v>
      </c>
      <c r="U249" s="2" t="e">
        <f t="shared" si="74"/>
        <v>#N/A</v>
      </c>
      <c r="V249" s="2" t="e">
        <f t="shared" si="75"/>
        <v>#N/A</v>
      </c>
      <c r="W249" s="2" t="e">
        <f t="shared" si="76"/>
        <v>#N/A</v>
      </c>
      <c r="X249" s="2" t="e">
        <f t="shared" si="77"/>
        <v>#N/A</v>
      </c>
      <c r="Y249" s="2" t="e">
        <f t="shared" si="78"/>
        <v>#N/A</v>
      </c>
      <c r="Z249" s="0">
        <f t="shared" ca="1" si="80"/>
        <v>1102885.8</v>
      </c>
      <c r="AA249" s="0">
        <f t="shared" ca="1" si="79"/>
        <v>1055269.1000000001</v>
      </c>
      <c r="AB249" cm="1" s="0">
        <f t="array" ref="AB249">MAX(IF(ISNUMBER(J249:Y249),J249:Y249))</f>
        <v>1352999</v>
      </c>
      <c r="AC249" cm="1" s="0">
        <f t="array" ref="AC249">MIN(IF(ISNUMBER(J249:Y249),J249:Y249))</f>
        <v>782272</v>
      </c>
      <c r="AD249" s="0">
        <f t="shared" si="72"/>
        <v>570727</v>
      </c>
    </row>
    <row r="250" spans="1:30" x14ac:dyDescent="0.2">
      <c r="A250" t="s" s="0">
        <v>3747</v>
      </c>
      <c r="B250" s="2">
        <v>764306</v>
      </c>
      <c r="C250" s="2">
        <v>28340</v>
      </c>
      <c r="D250" s="2">
        <v>32040</v>
      </c>
      <c r="E250" s="2">
        <v>35301</v>
      </c>
      <c r="F250" s="2">
        <v>24284</v>
      </c>
      <c r="G250" s="2">
        <v>32268</v>
      </c>
      <c r="I250" t="str" s="0">
        <f t="shared" si="61"/>
        <v>09/04</v>
      </c>
      <c r="J250" s="2">
        <f t="shared" si="62"/>
        <v>1054888</v>
      </c>
      <c r="K250" s="2">
        <f t="shared" si="63"/>
        <v>838713</v>
      </c>
      <c r="L250" s="2">
        <f t="shared" si="64"/>
        <v>1063042</v>
      </c>
      <c r="M250" s="2">
        <f t="shared" si="65"/>
        <v>1102745</v>
      </c>
      <c r="N250" s="2">
        <f t="shared" si="66"/>
        <v>994701</v>
      </c>
      <c r="O250" s="2">
        <f t="shared" si="67"/>
        <v>965951</v>
      </c>
      <c r="P250" s="2">
        <f t="shared" si="68"/>
        <v>1352999</v>
      </c>
      <c r="Q250" s="2">
        <f t="shared" si="69"/>
        <v>959470</v>
      </c>
      <c r="R250" s="2">
        <f t="shared" si="70"/>
        <v>1078916</v>
      </c>
      <c r="S250" s="2">
        <f t="shared" si="71"/>
        <v>1081049</v>
      </c>
      <c r="T250" s="2" t="e">
        <f t="shared" si="83"/>
        <v>#N/A</v>
      </c>
      <c r="U250" s="2" t="e">
        <f t="shared" si="74"/>
        <v>#N/A</v>
      </c>
      <c r="V250" s="2" t="e">
        <f t="shared" si="75"/>
        <v>#N/A</v>
      </c>
      <c r="W250" s="2" t="e">
        <f t="shared" si="76"/>
        <v>#N/A</v>
      </c>
      <c r="X250" s="2" t="e">
        <f t="shared" si="77"/>
        <v>#N/A</v>
      </c>
      <c r="Y250" s="2" t="e">
        <f t="shared" si="78"/>
        <v>#N/A</v>
      </c>
      <c r="Z250" s="0">
        <f t="shared" ca="1" si="80"/>
        <v>1087677</v>
      </c>
      <c r="AA250" s="0">
        <f t="shared" ca="1" si="79"/>
        <v>1049247.3999999999</v>
      </c>
      <c r="AB250" cm="1" s="0">
        <f t="array" ref="AB250">MAX(IF(ISNUMBER(J250:Y250),J250:Y250))</f>
        <v>1352999</v>
      </c>
      <c r="AC250" cm="1" s="0">
        <f t="array" ref="AC250">MIN(IF(ISNUMBER(J250:Y250),J250:Y250))</f>
        <v>838713</v>
      </c>
      <c r="AD250" s="0">
        <f t="shared" si="72"/>
        <v>514286</v>
      </c>
    </row>
    <row r="251" spans="1:30" x14ac:dyDescent="0.2">
      <c r="A251" t="s" s="0">
        <v>3746</v>
      </c>
      <c r="B251" s="3">
        <v>764306</v>
      </c>
      <c r="C251" s="3">
        <v>28340</v>
      </c>
      <c r="D251" s="3">
        <v>32040</v>
      </c>
      <c r="E251" s="3">
        <v>35301</v>
      </c>
      <c r="F251" s="3">
        <v>24284</v>
      </c>
      <c r="G251" s="3">
        <v>32268</v>
      </c>
      <c r="I251" t="str" s="0">
        <f t="shared" si="61"/>
        <v>09/05</v>
      </c>
      <c r="J251" s="2">
        <f t="shared" si="62"/>
        <v>1054888</v>
      </c>
      <c r="K251" s="2">
        <f t="shared" si="63"/>
        <v>806746</v>
      </c>
      <c r="L251" s="2">
        <f t="shared" si="64"/>
        <v>1076213</v>
      </c>
      <c r="M251" s="2">
        <f t="shared" si="65"/>
        <v>1071042</v>
      </c>
      <c r="N251" s="2">
        <f t="shared" si="66"/>
        <v>991024</v>
      </c>
      <c r="O251" s="2">
        <f t="shared" si="67"/>
        <v>965951</v>
      </c>
      <c r="P251" s="2">
        <f t="shared" si="68"/>
        <v>1322104</v>
      </c>
      <c r="Q251" s="2">
        <f t="shared" si="69"/>
        <v>922825</v>
      </c>
      <c r="R251" s="2">
        <f t="shared" si="70"/>
        <v>1034088</v>
      </c>
      <c r="S251" s="2">
        <f t="shared" si="71"/>
        <v>1050093</v>
      </c>
      <c r="T251" s="2" t="e">
        <f t="shared" si="83"/>
        <v>#N/A</v>
      </c>
      <c r="U251" s="2" t="e">
        <f t="shared" si="74"/>
        <v>#N/A</v>
      </c>
      <c r="V251" s="2" t="e">
        <f t="shared" si="75"/>
        <v>#N/A</v>
      </c>
      <c r="W251" s="2" t="e">
        <f t="shared" si="76"/>
        <v>#N/A</v>
      </c>
      <c r="X251" s="2" t="e">
        <f t="shared" si="77"/>
        <v>#N/A</v>
      </c>
      <c r="Y251" s="2" t="e">
        <f t="shared" si="78"/>
        <v>#N/A</v>
      </c>
      <c r="Z251" s="0">
        <f t="shared" ca="1" si="80"/>
        <v>1059012.2</v>
      </c>
      <c r="AA251" s="0">
        <f t="shared" ca="1" si="79"/>
        <v>1029497.4</v>
      </c>
      <c r="AB251" cm="1" s="0">
        <f t="array" ref="AB251">MAX(IF(ISNUMBER(J251:Y251),J251:Y251))</f>
        <v>1322104</v>
      </c>
      <c r="AC251" cm="1" s="0">
        <f t="array" ref="AC251">MIN(IF(ISNUMBER(J251:Y251),J251:Y251))</f>
        <v>806746</v>
      </c>
      <c r="AD251" s="0">
        <f t="shared" si="72"/>
        <v>515358</v>
      </c>
    </row>
    <row r="252" spans="1:30" x14ac:dyDescent="0.2">
      <c r="A252" t="s" s="0">
        <v>3745</v>
      </c>
      <c r="B252" s="3">
        <v>764306</v>
      </c>
      <c r="C252" s="3">
        <v>28340</v>
      </c>
      <c r="D252" s="3">
        <v>32040</v>
      </c>
      <c r="E252" s="3">
        <v>35301</v>
      </c>
      <c r="F252" s="3">
        <v>24284</v>
      </c>
      <c r="G252" s="3">
        <v>32268</v>
      </c>
      <c r="I252" t="str" s="0">
        <f t="shared" si="61"/>
        <v>09/06</v>
      </c>
      <c r="J252" s="2">
        <f t="shared" si="62"/>
        <v>968437</v>
      </c>
      <c r="K252" s="2">
        <f t="shared" si="63"/>
        <v>902572</v>
      </c>
      <c r="L252" s="2">
        <f t="shared" si="64"/>
        <v>1036909</v>
      </c>
      <c r="M252" s="2">
        <f t="shared" si="65"/>
        <v>1074821</v>
      </c>
      <c r="N252" s="2">
        <f t="shared" si="66"/>
        <v>991024</v>
      </c>
      <c r="O252" s="2">
        <f t="shared" si="67"/>
        <v>1136871</v>
      </c>
      <c r="P252" s="2">
        <f t="shared" si="68"/>
        <v>1313175</v>
      </c>
      <c r="Q252" s="2">
        <f t="shared" si="69"/>
        <v>870977</v>
      </c>
      <c r="R252" s="2">
        <f t="shared" si="70"/>
        <v>1071478</v>
      </c>
      <c r="S252" s="2">
        <f t="shared" si="71"/>
        <v>1050093</v>
      </c>
      <c r="T252" s="2" t="e">
        <f t="shared" si="83"/>
        <v>#N/A</v>
      </c>
      <c r="U252" s="2" t="e">
        <f t="shared" si="74"/>
        <v>#N/A</v>
      </c>
      <c r="V252" s="2" t="e">
        <f t="shared" si="75"/>
        <v>#N/A</v>
      </c>
      <c r="W252" s="2" t="e">
        <f t="shared" si="76"/>
        <v>#N/A</v>
      </c>
      <c r="X252" s="2" t="e">
        <f t="shared" si="77"/>
        <v>#N/A</v>
      </c>
      <c r="Y252" s="2" t="e">
        <f t="shared" si="78"/>
        <v>#N/A</v>
      </c>
      <c r="Z252" s="0">
        <f t="shared" ca="1" si="80"/>
        <v>1088518.8</v>
      </c>
      <c r="AA252" s="0">
        <f t="shared" ca="1" si="79"/>
        <v>1041635.7</v>
      </c>
      <c r="AB252" cm="1" s="0">
        <f t="array" ref="AB252">MAX(IF(ISNUMBER(J252:Y252),J252:Y252))</f>
        <v>1313175</v>
      </c>
      <c r="AC252" cm="1" s="0">
        <f t="array" ref="AC252">MIN(IF(ISNUMBER(J252:Y252),J252:Y252))</f>
        <v>870977</v>
      </c>
      <c r="AD252" s="0">
        <f t="shared" si="72"/>
        <v>442198</v>
      </c>
    </row>
    <row r="253" spans="1:30" x14ac:dyDescent="0.2">
      <c r="A253" t="s" s="0">
        <v>3744</v>
      </c>
      <c r="B253" s="2">
        <v>856528</v>
      </c>
      <c r="C253" s="2">
        <v>19600</v>
      </c>
      <c r="D253" s="2">
        <v>31665</v>
      </c>
      <c r="E253" s="2">
        <v>34629</v>
      </c>
      <c r="F253" s="2">
        <v>45120</v>
      </c>
      <c r="G253" s="2">
        <v>33336</v>
      </c>
      <c r="I253" t="str" s="0">
        <f t="shared" si="61"/>
        <v>09/07</v>
      </c>
      <c r="J253" s="2">
        <f t="shared" si="62"/>
        <v>1014473</v>
      </c>
      <c r="K253" s="2">
        <f t="shared" si="63"/>
        <v>863628</v>
      </c>
      <c r="L253" s="2">
        <f t="shared" si="64"/>
        <v>1001063</v>
      </c>
      <c r="M253" s="2">
        <f t="shared" si="65"/>
        <v>1074821</v>
      </c>
      <c r="N253" s="2">
        <f t="shared" si="66"/>
        <v>991024</v>
      </c>
      <c r="O253" s="2">
        <f t="shared" si="67"/>
        <v>1163811</v>
      </c>
      <c r="P253" s="2">
        <f t="shared" si="68"/>
        <v>1265400</v>
      </c>
      <c r="Q253" s="2">
        <f t="shared" si="69"/>
        <v>824395</v>
      </c>
      <c r="R253" s="2">
        <f t="shared" si="70"/>
        <v>1087613</v>
      </c>
      <c r="S253" s="2">
        <f t="shared" si="71"/>
        <v>1050093</v>
      </c>
      <c r="T253" s="2" t="e">
        <f t="shared" si="83"/>
        <v>#N/A</v>
      </c>
      <c r="U253" s="2" t="e">
        <f t="shared" si="74"/>
        <v>#N/A</v>
      </c>
      <c r="V253" s="2" t="e">
        <f t="shared" si="75"/>
        <v>#N/A</v>
      </c>
      <c r="W253" s="2" t="e">
        <f t="shared" si="76"/>
        <v>#N/A</v>
      </c>
      <c r="X253" s="2" t="e">
        <f t="shared" si="77"/>
        <v>#N/A</v>
      </c>
      <c r="Y253" s="2" t="e">
        <f t="shared" si="78"/>
        <v>#N/A</v>
      </c>
      <c r="Z253" s="0">
        <f t="shared" ca="1" si="80"/>
        <v>1078262.3999999999</v>
      </c>
      <c r="AA253" s="0">
        <f t="shared" ca="1" si="79"/>
        <v>1033632.1</v>
      </c>
      <c r="AB253" cm="1" s="0">
        <f t="array" ref="AB253">MAX(IF(ISNUMBER(J253:Y253),J253:Y253))</f>
        <v>1265400</v>
      </c>
      <c r="AC253" cm="1" s="0">
        <f t="array" ref="AC253">MIN(IF(ISNUMBER(J253:Y253),J253:Y253))</f>
        <v>824395</v>
      </c>
      <c r="AD253" s="0">
        <f t="shared" si="72"/>
        <v>441005</v>
      </c>
    </row>
    <row r="254" spans="1:30" x14ac:dyDescent="0.2">
      <c r="A254" t="s" s="0">
        <v>3743</v>
      </c>
      <c r="B254" s="2">
        <v>863244</v>
      </c>
      <c r="C254" s="2">
        <v>33284</v>
      </c>
      <c r="D254" s="2">
        <v>32377</v>
      </c>
      <c r="E254" s="2">
        <v>34363</v>
      </c>
      <c r="F254" s="2">
        <v>35835</v>
      </c>
      <c r="G254" s="2">
        <v>32907</v>
      </c>
      <c r="I254" t="str" s="0">
        <f t="shared" si="61"/>
        <v>09/08</v>
      </c>
      <c r="J254" s="2">
        <f t="shared" si="62"/>
        <v>1126159</v>
      </c>
      <c r="K254" s="2">
        <f t="shared" si="63"/>
        <v>854178</v>
      </c>
      <c r="L254" s="2">
        <f t="shared" si="64"/>
        <v>1001063</v>
      </c>
      <c r="M254" s="2">
        <f t="shared" si="65"/>
        <v>1074821</v>
      </c>
      <c r="N254" s="2">
        <f t="shared" si="66"/>
        <v>935624</v>
      </c>
      <c r="O254" s="2">
        <f t="shared" si="67"/>
        <v>1119682</v>
      </c>
      <c r="P254" s="2">
        <f t="shared" si="68"/>
        <v>1209372</v>
      </c>
      <c r="Q254" s="2">
        <f t="shared" si="69"/>
        <v>887786</v>
      </c>
      <c r="R254" s="2">
        <f t="shared" si="70"/>
        <v>1087613</v>
      </c>
      <c r="S254" s="2">
        <f t="shared" si="71"/>
        <v>1184671</v>
      </c>
      <c r="T254" s="2" t="e">
        <f t="shared" si="83"/>
        <v>#N/A</v>
      </c>
      <c r="U254" s="2" t="e">
        <f t="shared" si="74"/>
        <v>#N/A</v>
      </c>
      <c r="V254" s="2" t="e">
        <f t="shared" si="75"/>
        <v>#N/A</v>
      </c>
      <c r="W254" s="2" t="e">
        <f t="shared" si="76"/>
        <v>#N/A</v>
      </c>
      <c r="X254" s="2" t="e">
        <f t="shared" si="77"/>
        <v>#N/A</v>
      </c>
      <c r="Y254" s="2" t="e">
        <f t="shared" si="78"/>
        <v>#N/A</v>
      </c>
      <c r="Z254" s="0">
        <f t="shared" ca="1" si="80"/>
        <v>1097824.8</v>
      </c>
      <c r="AA254" s="0">
        <f t="shared" ca="1" si="79"/>
        <v>1048096.9</v>
      </c>
      <c r="AB254" cm="1" s="0">
        <f t="array" ref="AB254">MAX(IF(ISNUMBER(J254:Y254),J254:Y254))</f>
        <v>1209372</v>
      </c>
      <c r="AC254" cm="1" s="0">
        <f t="array" ref="AC254">MIN(IF(ISNUMBER(J254:Y254),J254:Y254))</f>
        <v>854178</v>
      </c>
      <c r="AD254" s="0">
        <f t="shared" si="72"/>
        <v>355194</v>
      </c>
    </row>
    <row r="255" spans="1:30" x14ac:dyDescent="0.2">
      <c r="A255" t="s" s="0">
        <v>3742</v>
      </c>
      <c r="B255" s="2">
        <v>862581</v>
      </c>
      <c r="C255" s="2">
        <v>30663</v>
      </c>
      <c r="D255" s="2">
        <v>30635</v>
      </c>
      <c r="E255" s="2">
        <v>33745</v>
      </c>
      <c r="F255" s="2">
        <v>40128</v>
      </c>
      <c r="G255" s="2">
        <v>30408</v>
      </c>
      <c r="I255" t="str" s="0">
        <f t="shared" si="61"/>
        <v>09/09</v>
      </c>
      <c r="J255" s="2">
        <f t="shared" si="62"/>
        <v>1089803</v>
      </c>
      <c r="K255" s="2">
        <f t="shared" si="63"/>
        <v>854178</v>
      </c>
      <c r="L255" s="2">
        <f t="shared" si="64"/>
        <v>1001063</v>
      </c>
      <c r="M255" s="2">
        <f t="shared" si="65"/>
        <v>1213482</v>
      </c>
      <c r="N255" s="2">
        <f t="shared" si="66"/>
        <v>890634</v>
      </c>
      <c r="O255" s="2">
        <f t="shared" si="67"/>
        <v>1147030</v>
      </c>
      <c r="P255" s="2">
        <f t="shared" si="68"/>
        <v>1183138</v>
      </c>
      <c r="Q255" s="2">
        <f t="shared" si="69"/>
        <v>887786</v>
      </c>
      <c r="R255" s="2">
        <f t="shared" si="70"/>
        <v>1087613</v>
      </c>
      <c r="S255" s="2">
        <f t="shared" si="71"/>
        <v>1177422</v>
      </c>
      <c r="T255" s="2" t="e">
        <f t="shared" si="83"/>
        <v>#N/A</v>
      </c>
      <c r="U255" s="2" t="e">
        <f t="shared" si="74"/>
        <v>#N/A</v>
      </c>
      <c r="V255" s="2" t="e">
        <f t="shared" si="75"/>
        <v>#N/A</v>
      </c>
      <c r="W255" s="2" t="e">
        <f t="shared" si="76"/>
        <v>#N/A</v>
      </c>
      <c r="X255" s="2" t="e">
        <f t="shared" si="77"/>
        <v>#N/A</v>
      </c>
      <c r="Y255" s="2" t="e">
        <f t="shared" si="78"/>
        <v>#N/A</v>
      </c>
      <c r="Z255" s="0">
        <f t="shared" ca="1" si="80"/>
        <v>1096597.8</v>
      </c>
      <c r="AA255" s="0">
        <f t="shared" ca="1" si="79"/>
        <v>1053214.8999999999</v>
      </c>
      <c r="AB255" cm="1" s="0">
        <f t="array" ref="AB255">MAX(IF(ISNUMBER(J255:Y255),J255:Y255))</f>
        <v>1213482</v>
      </c>
      <c r="AC255" cm="1" s="0">
        <f t="array" ref="AC255">MIN(IF(ISNUMBER(J255:Y255),J255:Y255))</f>
        <v>854178</v>
      </c>
      <c r="AD255" s="0">
        <f t="shared" si="72"/>
        <v>359304</v>
      </c>
    </row>
    <row r="256" spans="1:30" x14ac:dyDescent="0.2">
      <c r="A256" t="s" s="0">
        <v>3741</v>
      </c>
      <c r="B256" s="2">
        <v>829382</v>
      </c>
      <c r="C256" s="2">
        <v>33358</v>
      </c>
      <c r="D256" s="2">
        <v>31943</v>
      </c>
      <c r="E256" s="2">
        <v>33664</v>
      </c>
      <c r="F256" s="2">
        <v>40146</v>
      </c>
      <c r="G256" s="2">
        <v>30417</v>
      </c>
      <c r="I256" t="str" s="0">
        <f t="shared" si="61"/>
        <v>09/10</v>
      </c>
      <c r="J256" s="2">
        <f t="shared" si="62"/>
        <v>1091932</v>
      </c>
      <c r="K256" s="2">
        <f t="shared" si="63"/>
        <v>854178</v>
      </c>
      <c r="L256" s="2">
        <f t="shared" si="64"/>
        <v>952802</v>
      </c>
      <c r="M256" s="2">
        <f t="shared" si="65"/>
        <v>1183607</v>
      </c>
      <c r="N256" s="2">
        <f t="shared" si="66"/>
        <v>857295</v>
      </c>
      <c r="O256" s="2">
        <f t="shared" si="67"/>
        <v>1170771</v>
      </c>
      <c r="P256" s="2">
        <f t="shared" si="68"/>
        <v>1183138</v>
      </c>
      <c r="Q256" s="2">
        <f t="shared" si="69"/>
        <v>887786</v>
      </c>
      <c r="R256" s="2">
        <f t="shared" si="70"/>
        <v>1088681</v>
      </c>
      <c r="S256" s="2">
        <f t="shared" si="71"/>
        <v>1132209</v>
      </c>
      <c r="T256" s="2" t="e">
        <f t="shared" si="83"/>
        <v>#N/A</v>
      </c>
      <c r="U256" s="2" t="e">
        <f t="shared" si="74"/>
        <v>#N/A</v>
      </c>
      <c r="V256" s="2" t="e">
        <f t="shared" si="75"/>
        <v>#N/A</v>
      </c>
      <c r="W256" s="2" t="e">
        <f t="shared" si="76"/>
        <v>#N/A</v>
      </c>
      <c r="X256" s="2" t="e">
        <f t="shared" si="77"/>
        <v>#N/A</v>
      </c>
      <c r="Y256" s="2" t="e">
        <f t="shared" si="78"/>
        <v>#N/A</v>
      </c>
      <c r="Z256" s="0">
        <f t="shared" ca="1" si="80"/>
        <v>1092517</v>
      </c>
      <c r="AA256" s="0">
        <f t="shared" ca="1" si="79"/>
        <v>1040239.9</v>
      </c>
      <c r="AB256" cm="1" s="0">
        <f t="array" ref="AB256">MAX(IF(ISNUMBER(J256:Y256),J256:Y256))</f>
        <v>1183607</v>
      </c>
      <c r="AC256" cm="1" s="0">
        <f t="array" ref="AC256">MIN(IF(ISNUMBER(J256:Y256),J256:Y256))</f>
        <v>854178</v>
      </c>
      <c r="AD256" s="0">
        <f t="shared" si="72"/>
        <v>329429</v>
      </c>
    </row>
    <row r="257" spans="1:30" x14ac:dyDescent="0.2">
      <c r="A257" t="s" s="0">
        <v>3740</v>
      </c>
      <c r="B257" s="2">
        <v>823611</v>
      </c>
      <c r="C257" s="2">
        <v>35964</v>
      </c>
      <c r="D257" s="2">
        <v>30988</v>
      </c>
      <c r="E257" s="2">
        <v>33104</v>
      </c>
      <c r="F257" s="2">
        <v>37992</v>
      </c>
      <c r="G257" s="2">
        <v>30994</v>
      </c>
      <c r="I257" t="str" s="0">
        <f t="shared" si="61"/>
        <v>09/11</v>
      </c>
      <c r="J257" s="2">
        <f t="shared" si="62"/>
        <v>1091932</v>
      </c>
      <c r="K257" s="2">
        <f t="shared" si="63"/>
        <v>856437</v>
      </c>
      <c r="L257" s="2">
        <f t="shared" si="64"/>
        <v>1076605</v>
      </c>
      <c r="M257" s="2">
        <f t="shared" si="65"/>
        <v>1114713</v>
      </c>
      <c r="N257" s="2">
        <f t="shared" si="66"/>
        <v>888802</v>
      </c>
      <c r="O257" s="2">
        <f t="shared" si="67"/>
        <v>1170771</v>
      </c>
      <c r="P257" s="2">
        <f t="shared" si="68"/>
        <v>1183138</v>
      </c>
      <c r="Q257" s="2">
        <f t="shared" si="69"/>
        <v>918599</v>
      </c>
      <c r="R257" s="2">
        <f t="shared" si="70"/>
        <v>1046313</v>
      </c>
      <c r="S257" s="2">
        <f t="shared" si="71"/>
        <v>1091847</v>
      </c>
      <c r="T257" s="2" t="e">
        <f t="shared" si="83"/>
        <v>#N/A</v>
      </c>
      <c r="U257" s="2" t="e">
        <f t="shared" si="74"/>
        <v>#N/A</v>
      </c>
      <c r="V257" s="2" t="e">
        <f t="shared" si="75"/>
        <v>#N/A</v>
      </c>
      <c r="W257" s="2" t="e">
        <f t="shared" si="76"/>
        <v>#N/A</v>
      </c>
      <c r="X257" s="2" t="e">
        <f t="shared" si="77"/>
        <v>#N/A</v>
      </c>
      <c r="Y257" s="2" t="e">
        <f t="shared" si="78"/>
        <v>#N/A</v>
      </c>
      <c r="Z257" s="0">
        <f t="shared" ca="1" si="80"/>
        <v>1082133.6000000001</v>
      </c>
      <c r="AA257" s="0">
        <f t="shared" ca="1" si="79"/>
        <v>1043915.7</v>
      </c>
      <c r="AB257" cm="1" s="0">
        <f t="array" ref="AB257">MAX(IF(ISNUMBER(J257:Y257),J257:Y257))</f>
        <v>1183138</v>
      </c>
      <c r="AC257" cm="1" s="0">
        <f t="array" ref="AC257">MIN(IF(ISNUMBER(J257:Y257),J257:Y257))</f>
        <v>856437</v>
      </c>
      <c r="AD257" s="0">
        <f t="shared" si="72"/>
        <v>326701</v>
      </c>
    </row>
    <row r="258" spans="1:30" x14ac:dyDescent="0.2">
      <c r="A258" t="s" s="0">
        <v>3739</v>
      </c>
      <c r="B258" s="3">
        <v>823611</v>
      </c>
      <c r="C258" s="3">
        <v>35964</v>
      </c>
      <c r="D258" s="3">
        <v>30988</v>
      </c>
      <c r="E258" s="3">
        <v>33104</v>
      </c>
      <c r="F258" s="3">
        <v>37992</v>
      </c>
      <c r="G258" s="3">
        <v>30994</v>
      </c>
      <c r="I258" t="str" s="0">
        <f t="shared" si="61"/>
        <v>09/12</v>
      </c>
      <c r="J258" s="2">
        <f t="shared" si="62"/>
        <v>1091932</v>
      </c>
      <c r="K258" s="2">
        <f t="shared" si="63"/>
        <v>873924</v>
      </c>
      <c r="L258" s="2">
        <f t="shared" si="64"/>
        <v>1021384</v>
      </c>
      <c r="M258" s="2">
        <f t="shared" si="65"/>
        <v>1067600</v>
      </c>
      <c r="N258" s="2">
        <f t="shared" si="66"/>
        <v>903579</v>
      </c>
      <c r="O258" s="2">
        <f t="shared" si="67"/>
        <v>1170771</v>
      </c>
      <c r="P258" s="2">
        <f t="shared" si="68"/>
        <v>1128267</v>
      </c>
      <c r="Q258" s="2">
        <f t="shared" si="69"/>
        <v>888454</v>
      </c>
      <c r="R258" s="2">
        <f t="shared" si="70"/>
        <v>1007503</v>
      </c>
      <c r="S258" s="2">
        <f t="shared" si="71"/>
        <v>1053625</v>
      </c>
      <c r="T258" s="2" t="e">
        <f t="shared" si="83"/>
        <v>#N/A</v>
      </c>
      <c r="U258" s="2" t="e">
        <f t="shared" si="74"/>
        <v>#N/A</v>
      </c>
      <c r="V258" s="2" t="e">
        <f t="shared" si="75"/>
        <v>#N/A</v>
      </c>
      <c r="W258" s="2" t="e">
        <f t="shared" si="76"/>
        <v>#N/A</v>
      </c>
      <c r="X258" s="2" t="e">
        <f t="shared" si="77"/>
        <v>#N/A</v>
      </c>
      <c r="Y258" s="2" t="e">
        <f t="shared" si="78"/>
        <v>#N/A</v>
      </c>
      <c r="Z258" s="0">
        <f t="shared" ca="1" si="80"/>
        <v>1049724</v>
      </c>
      <c r="AA258" s="0">
        <f t="shared" ca="1" si="79"/>
        <v>1020703.9</v>
      </c>
      <c r="AB258" cm="1" s="0">
        <f t="array" ref="AB258">MAX(IF(ISNUMBER(J258:Y258),J258:Y258))</f>
        <v>1170771</v>
      </c>
      <c r="AC258" cm="1" s="0">
        <f t="array" ref="AC258">MIN(IF(ISNUMBER(J258:Y258),J258:Y258))</f>
        <v>873924</v>
      </c>
      <c r="AD258" s="0">
        <f t="shared" si="72"/>
        <v>296847</v>
      </c>
    </row>
    <row r="259" spans="1:30" x14ac:dyDescent="0.2">
      <c r="A259" t="s" s="0">
        <v>3738</v>
      </c>
      <c r="B259" s="3">
        <v>823611</v>
      </c>
      <c r="C259" s="3">
        <v>35964</v>
      </c>
      <c r="D259" s="3">
        <v>30988</v>
      </c>
      <c r="E259" s="3">
        <v>33104</v>
      </c>
      <c r="F259" s="3">
        <v>37992</v>
      </c>
      <c r="G259" s="3">
        <v>30994</v>
      </c>
      <c r="I259" t="str" s="0">
        <f t="shared" si="61"/>
        <v>09/13</v>
      </c>
      <c r="J259" s="2">
        <f t="shared" si="62"/>
        <v>989741</v>
      </c>
      <c r="K259" s="2">
        <f t="shared" si="63"/>
        <v>811656</v>
      </c>
      <c r="L259" s="2">
        <f t="shared" si="64"/>
        <v>987591</v>
      </c>
      <c r="M259" s="2">
        <f t="shared" si="65"/>
        <v>1057319</v>
      </c>
      <c r="N259" s="2">
        <f t="shared" si="66"/>
        <v>903579</v>
      </c>
      <c r="O259" s="2">
        <f t="shared" si="67"/>
        <v>1132957</v>
      </c>
      <c r="P259" s="2">
        <f t="shared" si="68"/>
        <v>1088536</v>
      </c>
      <c r="Q259" s="2">
        <f t="shared" si="69"/>
        <v>886982</v>
      </c>
      <c r="R259" s="2">
        <f t="shared" si="70"/>
        <v>1032976</v>
      </c>
      <c r="S259" s="2">
        <f t="shared" si="71"/>
        <v>1053625</v>
      </c>
      <c r="T259" s="2" t="e">
        <f t="shared" si="83"/>
        <v>#N/A</v>
      </c>
      <c r="U259" s="2" t="e">
        <f t="shared" si="74"/>
        <v>#N/A</v>
      </c>
      <c r="V259" s="2" t="e">
        <f t="shared" si="75"/>
        <v>#N/A</v>
      </c>
      <c r="W259" s="2" t="e">
        <f t="shared" si="76"/>
        <v>#N/A</v>
      </c>
      <c r="X259" s="2" t="e">
        <f t="shared" si="77"/>
        <v>#N/A</v>
      </c>
      <c r="Y259" s="2" t="e">
        <f t="shared" si="78"/>
        <v>#N/A</v>
      </c>
      <c r="Z259" s="0">
        <f t="shared" ca="1" si="80"/>
        <v>1039015.2</v>
      </c>
      <c r="AA259" s="0">
        <f t="shared" ca="1" si="79"/>
        <v>994496.2</v>
      </c>
      <c r="AB259" cm="1" s="0">
        <f t="array" ref="AB259">MAX(IF(ISNUMBER(J259:Y259),J259:Y259))</f>
        <v>1132957</v>
      </c>
      <c r="AC259" cm="1" s="0">
        <f t="array" ref="AC259">MIN(IF(ISNUMBER(J259:Y259),J259:Y259))</f>
        <v>811656</v>
      </c>
      <c r="AD259" s="0">
        <f t="shared" si="72"/>
        <v>321301</v>
      </c>
    </row>
    <row r="260" spans="1:30" x14ac:dyDescent="0.2">
      <c r="A260" t="s" s="0">
        <v>3737</v>
      </c>
      <c r="B260" s="2">
        <v>770039</v>
      </c>
      <c r="C260" s="2">
        <v>21089</v>
      </c>
      <c r="D260" s="2">
        <v>32097</v>
      </c>
      <c r="E260" s="2">
        <v>32784</v>
      </c>
      <c r="F260" s="2">
        <v>17853</v>
      </c>
      <c r="G260" s="2">
        <v>31159</v>
      </c>
      <c r="I260" t="str" s="0">
        <f t="shared" ref="I260:I323" si="84">LEFT(A443, 5)</f>
        <v>09/14</v>
      </c>
      <c r="J260" s="2">
        <f t="shared" ref="J260:J323" si="85">B443</f>
        <v>996192</v>
      </c>
      <c r="K260" s="2">
        <f t="shared" ref="K260:K323" si="86">B808</f>
        <v>861304</v>
      </c>
      <c r="L260" s="2">
        <f t="shared" ref="L260:L323" si="87">B1173</f>
        <v>948334</v>
      </c>
      <c r="M260" s="2">
        <f t="shared" ref="M260:M323" si="88">B1538</f>
        <v>1057319</v>
      </c>
      <c r="N260" s="2">
        <f t="shared" ref="N260:N323" si="89">B1903</f>
        <v>903579</v>
      </c>
      <c r="O260" s="2">
        <f t="shared" ref="O260:O323" si="90">B2268</f>
        <v>1083453</v>
      </c>
      <c r="P260" s="2">
        <f t="shared" ref="P260:P323" si="91">B2633</f>
        <v>1039609</v>
      </c>
      <c r="Q260" s="2">
        <f t="shared" ref="Q260:Q323" si="92">B2998</f>
        <v>931180</v>
      </c>
      <c r="R260" s="2">
        <f t="shared" ref="R260:R323" si="93">B3363</f>
        <v>993254</v>
      </c>
      <c r="S260" s="2">
        <f t="shared" ref="S260:S323" si="94">B3728</f>
        <v>1053625</v>
      </c>
      <c r="T260" s="2" t="e">
        <f t="shared" si="83"/>
        <v>#N/A</v>
      </c>
      <c r="U260" s="2" t="e">
        <f t="shared" si="74"/>
        <v>#N/A</v>
      </c>
      <c r="V260" s="2" t="e">
        <f t="shared" si="75"/>
        <v>#N/A</v>
      </c>
      <c r="W260" s="2" t="e">
        <f t="shared" si="76"/>
        <v>#N/A</v>
      </c>
      <c r="X260" s="2" t="e">
        <f t="shared" si="77"/>
        <v>#N/A</v>
      </c>
      <c r="Y260" s="2" t="e">
        <f t="shared" si="78"/>
        <v>#N/A</v>
      </c>
      <c r="Z260" s="0">
        <f t="shared" ca="1" si="80"/>
        <v>1020224.2</v>
      </c>
      <c r="AA260" s="0">
        <f t="shared" ca="1" si="79"/>
        <v>986784.9</v>
      </c>
      <c r="AB260" cm="1" s="0">
        <f t="array" ref="AB260">MAX(IF(ISNUMBER(J260:Y260),J260:Y260))</f>
        <v>1083453</v>
      </c>
      <c r="AC260" cm="1" s="0">
        <f t="array" ref="AC260">MIN(IF(ISNUMBER(J260:Y260),J260:Y260))</f>
        <v>861304</v>
      </c>
      <c r="AD260" s="0">
        <f t="shared" ref="AD260:AD323" si="95">AB260-AC260</f>
        <v>222149</v>
      </c>
    </row>
    <row r="261" spans="1:30" x14ac:dyDescent="0.2">
      <c r="A261" t="s" s="0">
        <v>3736</v>
      </c>
      <c r="B261" s="2">
        <v>931931</v>
      </c>
      <c r="C261" s="2">
        <v>33608</v>
      </c>
      <c r="D261" s="2">
        <v>33496</v>
      </c>
      <c r="E261" s="2">
        <v>33329</v>
      </c>
      <c r="F261" s="2">
        <v>41420</v>
      </c>
      <c r="G261" s="2">
        <v>38480</v>
      </c>
      <c r="I261" t="str" s="0">
        <f t="shared" si="84"/>
        <v>09/15</v>
      </c>
      <c r="J261" s="2">
        <f t="shared" si="85"/>
        <v>947568</v>
      </c>
      <c r="K261" s="2">
        <f t="shared" si="86"/>
        <v>977646</v>
      </c>
      <c r="L261" s="2">
        <f t="shared" si="87"/>
        <v>948334</v>
      </c>
      <c r="M261" s="2">
        <f t="shared" si="88"/>
        <v>1057319</v>
      </c>
      <c r="N261" s="2">
        <f t="shared" si="89"/>
        <v>906546</v>
      </c>
      <c r="O261" s="2">
        <f t="shared" si="90"/>
        <v>1072895</v>
      </c>
      <c r="P261" s="2">
        <f t="shared" si="91"/>
        <v>1037262</v>
      </c>
      <c r="Q261" s="2">
        <f t="shared" si="92"/>
        <v>921308</v>
      </c>
      <c r="R261" s="2">
        <f t="shared" si="93"/>
        <v>993254</v>
      </c>
      <c r="S261" s="2">
        <f t="shared" si="94"/>
        <v>1092442</v>
      </c>
      <c r="T261" s="2" t="e">
        <f t="shared" si="83"/>
        <v>#N/A</v>
      </c>
      <c r="U261" s="2" t="e">
        <f t="shared" ref="U261:U324" si="96">IF(B4453=0, NA(), B4453)</f>
        <v>#N/A</v>
      </c>
      <c r="V261" s="2" t="e">
        <f t="shared" ref="V261:V324" si="97">IF(B4818=0, NA(), B4818)</f>
        <v>#N/A</v>
      </c>
      <c r="W261" s="2" t="e">
        <f t="shared" ref="W261:W324" si="98">IF(B5183=0, NA(), B5183)</f>
        <v>#N/A</v>
      </c>
      <c r="X261" s="2" t="e">
        <f t="shared" ref="X261:X324" si="99">IF(B5548=0, NA(), B5548)</f>
        <v>#N/A</v>
      </c>
      <c r="Y261" s="2" t="e">
        <f t="shared" ref="Y261:Y324" si="100">IF(B5913=0, NA(), B5913)</f>
        <v>#N/A</v>
      </c>
      <c r="Z261" s="0">
        <f t="shared" ca="1" si="80"/>
        <v>1023432.2</v>
      </c>
      <c r="AA261" s="0">
        <f t="shared" ca="1" si="79"/>
        <v>995457.4</v>
      </c>
      <c r="AB261" cm="1" s="0">
        <f t="array" ref="AB261">MAX(IF(ISNUMBER(J261:Y261),J261:Y261))</f>
        <v>1092442</v>
      </c>
      <c r="AC261" cm="1" s="0">
        <f t="array" ref="AC261">MIN(IF(ISNUMBER(J261:Y261),J261:Y261))</f>
        <v>906546</v>
      </c>
      <c r="AD261" s="0">
        <f t="shared" si="95"/>
        <v>185896</v>
      </c>
    </row>
    <row r="262" spans="1:30" x14ac:dyDescent="0.2">
      <c r="A262" t="s" s="0">
        <v>3735</v>
      </c>
      <c r="B262" s="2">
        <v>912159</v>
      </c>
      <c r="C262" s="2">
        <v>40059</v>
      </c>
      <c r="D262" s="2">
        <v>34838</v>
      </c>
      <c r="E262" s="2">
        <v>33591</v>
      </c>
      <c r="F262" s="2">
        <v>40032</v>
      </c>
      <c r="G262" s="2">
        <v>35813</v>
      </c>
      <c r="I262" t="str" s="0">
        <f t="shared" si="84"/>
        <v>09/16</v>
      </c>
      <c r="J262" s="2">
        <f t="shared" si="85"/>
        <v>914084</v>
      </c>
      <c r="K262" s="2">
        <f t="shared" si="86"/>
        <v>977646</v>
      </c>
      <c r="L262" s="2">
        <f t="shared" si="87"/>
        <v>948334</v>
      </c>
      <c r="M262" s="2">
        <f t="shared" si="88"/>
        <v>1057822</v>
      </c>
      <c r="N262" s="2">
        <f t="shared" si="89"/>
        <v>896777</v>
      </c>
      <c r="O262" s="2">
        <f t="shared" si="90"/>
        <v>1112327</v>
      </c>
      <c r="P262" s="2">
        <f t="shared" si="91"/>
        <v>1015319</v>
      </c>
      <c r="Q262" s="2">
        <f t="shared" si="92"/>
        <v>921308</v>
      </c>
      <c r="R262" s="2">
        <f t="shared" si="93"/>
        <v>993254</v>
      </c>
      <c r="S262" s="2">
        <f t="shared" si="94"/>
        <v>1107424</v>
      </c>
      <c r="T262" s="2" t="e">
        <f t="shared" si="83"/>
        <v>#N/A</v>
      </c>
      <c r="U262" s="2" t="e">
        <f t="shared" si="96"/>
        <v>#N/A</v>
      </c>
      <c r="V262" s="2" t="e">
        <f t="shared" si="97"/>
        <v>#N/A</v>
      </c>
      <c r="W262" s="2" t="e">
        <f t="shared" si="98"/>
        <v>#N/A</v>
      </c>
      <c r="X262" s="2" t="e">
        <f t="shared" si="99"/>
        <v>#N/A</v>
      </c>
      <c r="Y262" s="2" t="e">
        <f t="shared" si="100"/>
        <v>#N/A</v>
      </c>
      <c r="Z262" s="0">
        <f t="shared" ca="1" si="80"/>
        <v>1029926.4</v>
      </c>
      <c r="AA262" s="0">
        <f t="shared" ref="AA262:AA325" ca="1" si="101">AVERAGE(OFFSET(J262,0,YEAR(TODAY())-2015-10,1,10))</f>
        <v>994429.5</v>
      </c>
      <c r="AB262" cm="1" s="0">
        <f t="array" ref="AB262">MAX(IF(ISNUMBER(J262:Y262),J262:Y262))</f>
        <v>1112327</v>
      </c>
      <c r="AC262" cm="1" s="0">
        <f t="array" ref="AC262">MIN(IF(ISNUMBER(J262:Y262),J262:Y262))</f>
        <v>896777</v>
      </c>
      <c r="AD262" s="0">
        <f t="shared" si="95"/>
        <v>215550</v>
      </c>
    </row>
    <row r="263" spans="1:30" x14ac:dyDescent="0.2">
      <c r="A263" t="s" s="0">
        <v>3734</v>
      </c>
      <c r="B263" s="2">
        <v>923734</v>
      </c>
      <c r="C263" s="2">
        <v>38405</v>
      </c>
      <c r="D263" s="2">
        <v>35559</v>
      </c>
      <c r="E263" s="2">
        <v>33750</v>
      </c>
      <c r="F263" s="2">
        <v>47149</v>
      </c>
      <c r="G263" s="2">
        <v>36883</v>
      </c>
      <c r="I263" t="str" s="0">
        <f t="shared" si="84"/>
        <v>09/17</v>
      </c>
      <c r="J263" s="2">
        <f t="shared" si="85"/>
        <v>1054835</v>
      </c>
      <c r="K263" s="2">
        <f t="shared" si="86"/>
        <v>977646</v>
      </c>
      <c r="L263" s="2">
        <f t="shared" si="87"/>
        <v>933793</v>
      </c>
      <c r="M263" s="2">
        <f t="shared" si="88"/>
        <v>1214434</v>
      </c>
      <c r="N263" s="2">
        <f t="shared" si="89"/>
        <v>862982</v>
      </c>
      <c r="O263" s="2">
        <f t="shared" si="90"/>
        <v>1239567</v>
      </c>
      <c r="P263" s="2">
        <f t="shared" si="91"/>
        <v>1015319</v>
      </c>
      <c r="Q263" s="2">
        <f t="shared" si="92"/>
        <v>921308</v>
      </c>
      <c r="R263" s="2">
        <f t="shared" si="93"/>
        <v>1076043</v>
      </c>
      <c r="S263" s="2">
        <f t="shared" si="94"/>
        <v>1151084</v>
      </c>
      <c r="T263" s="2" t="e">
        <f t="shared" si="83"/>
        <v>#N/A</v>
      </c>
      <c r="U263" s="2" t="e">
        <f t="shared" si="96"/>
        <v>#N/A</v>
      </c>
      <c r="V263" s="2" t="e">
        <f t="shared" si="97"/>
        <v>#N/A</v>
      </c>
      <c r="W263" s="2" t="e">
        <f t="shared" si="98"/>
        <v>#N/A</v>
      </c>
      <c r="X263" s="2" t="e">
        <f t="shared" si="99"/>
        <v>#N/A</v>
      </c>
      <c r="Y263" s="2" t="e">
        <f t="shared" si="100"/>
        <v>#N/A</v>
      </c>
      <c r="Z263" s="0">
        <f t="shared" ca="1" si="80"/>
        <v>1080664.2</v>
      </c>
      <c r="AA263" s="0">
        <f t="shared" ca="1" si="101"/>
        <v>1044701.1</v>
      </c>
      <c r="AB263" cm="1" s="0">
        <f t="array" ref="AB263">MAX(IF(ISNUMBER(J263:Y263),J263:Y263))</f>
        <v>1239567</v>
      </c>
      <c r="AC263" cm="1" s="0">
        <f t="array" ref="AC263">MIN(IF(ISNUMBER(J263:Y263),J263:Y263))</f>
        <v>862982</v>
      </c>
      <c r="AD263" s="0">
        <f t="shared" si="95"/>
        <v>376585</v>
      </c>
    </row>
    <row r="264" spans="1:30" x14ac:dyDescent="0.2">
      <c r="A264" t="s" s="0">
        <v>3733</v>
      </c>
      <c r="B264" s="2">
        <v>920896</v>
      </c>
      <c r="C264" s="2">
        <v>30172</v>
      </c>
      <c r="D264" s="2">
        <v>35446</v>
      </c>
      <c r="E264" s="2">
        <v>33565</v>
      </c>
      <c r="F264" s="2">
        <v>47799</v>
      </c>
      <c r="G264" s="2">
        <v>34549</v>
      </c>
      <c r="I264" t="str" s="0">
        <f t="shared" si="84"/>
        <v>09/18</v>
      </c>
      <c r="J264" s="2">
        <f t="shared" si="85"/>
        <v>1054835</v>
      </c>
      <c r="K264" s="2">
        <f t="shared" si="86"/>
        <v>1024043</v>
      </c>
      <c r="L264" s="2">
        <f t="shared" si="87"/>
        <v>946974</v>
      </c>
      <c r="M264" s="2">
        <f t="shared" si="88"/>
        <v>1416007</v>
      </c>
      <c r="N264" s="2">
        <f t="shared" si="89"/>
        <v>873647</v>
      </c>
      <c r="O264" s="2">
        <f t="shared" si="90"/>
        <v>1239567</v>
      </c>
      <c r="P264" s="2">
        <f t="shared" si="91"/>
        <v>1015319</v>
      </c>
      <c r="Q264" s="2">
        <f t="shared" si="92"/>
        <v>892919</v>
      </c>
      <c r="R264" s="2">
        <f t="shared" si="93"/>
        <v>1120413</v>
      </c>
      <c r="S264" s="2">
        <f t="shared" si="94"/>
        <v>1142894</v>
      </c>
      <c r="T264" s="2" t="e">
        <f t="shared" si="83"/>
        <v>#N/A</v>
      </c>
      <c r="U264" s="2" t="e">
        <f t="shared" si="96"/>
        <v>#N/A</v>
      </c>
      <c r="V264" s="2" t="e">
        <f t="shared" si="97"/>
        <v>#N/A</v>
      </c>
      <c r="W264" s="2" t="e">
        <f t="shared" si="98"/>
        <v>#N/A</v>
      </c>
      <c r="X264" s="2" t="e">
        <f t="shared" si="99"/>
        <v>#N/A</v>
      </c>
      <c r="Y264" s="2" t="e">
        <f t="shared" si="100"/>
        <v>#N/A</v>
      </c>
      <c r="Z264" s="0">
        <f t="shared" ref="Z264:Z327" ca="1" si="102">AVERAGE(OFFSET(J264,0,YEAR(TODAY())-2015-5,1,5))</f>
        <v>1082222.3999999999</v>
      </c>
      <c r="AA264" s="0">
        <f t="shared" ca="1" si="101"/>
        <v>1072661.8</v>
      </c>
      <c r="AB264" cm="1" s="0">
        <f t="array" ref="AB264">MAX(IF(ISNUMBER(J264:Y264),J264:Y264))</f>
        <v>1416007</v>
      </c>
      <c r="AC264" cm="1" s="0">
        <f t="array" ref="AC264">MIN(IF(ISNUMBER(J264:Y264),J264:Y264))</f>
        <v>873647</v>
      </c>
      <c r="AD264" s="0">
        <f t="shared" si="95"/>
        <v>542360</v>
      </c>
    </row>
    <row r="265" spans="1:30" x14ac:dyDescent="0.2">
      <c r="A265" t="s" s="0">
        <v>3732</v>
      </c>
      <c r="B265" s="3">
        <v>920896</v>
      </c>
      <c r="C265" s="3">
        <v>30172</v>
      </c>
      <c r="D265" s="3">
        <v>35446</v>
      </c>
      <c r="E265" s="3">
        <v>33565</v>
      </c>
      <c r="F265" s="3">
        <v>47799</v>
      </c>
      <c r="G265" s="3">
        <v>34549</v>
      </c>
      <c r="I265" t="str" s="0">
        <f t="shared" si="84"/>
        <v>09/19</v>
      </c>
      <c r="J265" s="2">
        <f t="shared" si="85"/>
        <v>1054835</v>
      </c>
      <c r="K265" s="2">
        <f t="shared" si="86"/>
        <v>973173</v>
      </c>
      <c r="L265" s="2">
        <f t="shared" si="87"/>
        <v>914526</v>
      </c>
      <c r="M265" s="2">
        <f t="shared" si="88"/>
        <v>1362026</v>
      </c>
      <c r="N265" s="2">
        <f t="shared" si="89"/>
        <v>879238</v>
      </c>
      <c r="O265" s="2">
        <f t="shared" si="90"/>
        <v>1239567</v>
      </c>
      <c r="P265" s="2">
        <f t="shared" si="91"/>
        <v>1088901</v>
      </c>
      <c r="Q265" s="2">
        <f t="shared" si="92"/>
        <v>871670</v>
      </c>
      <c r="R265" s="2">
        <f t="shared" si="93"/>
        <v>1127996</v>
      </c>
      <c r="S265" s="2">
        <f t="shared" si="94"/>
        <v>1188412</v>
      </c>
      <c r="T265" s="2" t="e">
        <f t="shared" si="83"/>
        <v>#N/A</v>
      </c>
      <c r="U265" s="2" t="e">
        <f t="shared" si="96"/>
        <v>#N/A</v>
      </c>
      <c r="V265" s="2" t="e">
        <f t="shared" si="97"/>
        <v>#N/A</v>
      </c>
      <c r="W265" s="2" t="e">
        <f t="shared" si="98"/>
        <v>#N/A</v>
      </c>
      <c r="X265" s="2" t="e">
        <f t="shared" si="99"/>
        <v>#N/A</v>
      </c>
      <c r="Y265" s="2" t="e">
        <f t="shared" si="100"/>
        <v>#N/A</v>
      </c>
      <c r="Z265" s="0">
        <f t="shared" ca="1" si="102"/>
        <v>1103309.2</v>
      </c>
      <c r="AA265" s="0">
        <f t="shared" ca="1" si="101"/>
        <v>1070034.3999999999</v>
      </c>
      <c r="AB265" cm="1" s="0">
        <f t="array" ref="AB265">MAX(IF(ISNUMBER(J265:Y265),J265:Y265))</f>
        <v>1362026</v>
      </c>
      <c r="AC265" cm="1" s="0">
        <f t="array" ref="AC265">MIN(IF(ISNUMBER(J265:Y265),J265:Y265))</f>
        <v>871670</v>
      </c>
      <c r="AD265" s="0">
        <f t="shared" si="95"/>
        <v>490356</v>
      </c>
    </row>
    <row r="266" spans="1:30" x14ac:dyDescent="0.2">
      <c r="A266" t="s" s="0">
        <v>3731</v>
      </c>
      <c r="B266" s="3">
        <v>920896</v>
      </c>
      <c r="C266" s="3">
        <v>30172</v>
      </c>
      <c r="D266" s="3">
        <v>35446</v>
      </c>
      <c r="E266" s="3">
        <v>33565</v>
      </c>
      <c r="F266" s="3">
        <v>47799</v>
      </c>
      <c r="G266" s="3">
        <v>34549</v>
      </c>
      <c r="I266" t="str" s="0">
        <f t="shared" si="84"/>
        <v>09/20</v>
      </c>
      <c r="J266" s="2">
        <f t="shared" si="85"/>
        <v>986382</v>
      </c>
      <c r="K266" s="2">
        <f t="shared" si="86"/>
        <v>1148864</v>
      </c>
      <c r="L266" s="2">
        <f t="shared" si="87"/>
        <v>990986</v>
      </c>
      <c r="M266" s="2">
        <f t="shared" si="88"/>
        <v>1379119</v>
      </c>
      <c r="N266" s="2">
        <f t="shared" si="89"/>
        <v>879238</v>
      </c>
      <c r="O266" s="2">
        <f t="shared" si="90"/>
        <v>1115829</v>
      </c>
      <c r="P266" s="2">
        <f t="shared" si="91"/>
        <v>1077853</v>
      </c>
      <c r="Q266" s="2">
        <f t="shared" si="92"/>
        <v>905281</v>
      </c>
      <c r="R266" s="2">
        <f t="shared" si="93"/>
        <v>1163384</v>
      </c>
      <c r="S266" s="2">
        <f t="shared" si="94"/>
        <v>1188412</v>
      </c>
      <c r="T266" s="2" t="e">
        <f t="shared" si="83"/>
        <v>#N/A</v>
      </c>
      <c r="U266" s="2" t="e">
        <f t="shared" si="96"/>
        <v>#N/A</v>
      </c>
      <c r="V266" s="2" t="e">
        <f t="shared" si="97"/>
        <v>#N/A</v>
      </c>
      <c r="W266" s="2" t="e">
        <f t="shared" si="98"/>
        <v>#N/A</v>
      </c>
      <c r="X266" s="2" t="e">
        <f t="shared" si="99"/>
        <v>#N/A</v>
      </c>
      <c r="Y266" s="2" t="e">
        <f t="shared" si="100"/>
        <v>#N/A</v>
      </c>
      <c r="Z266" s="0">
        <f t="shared" ca="1" si="102"/>
        <v>1090151.8</v>
      </c>
      <c r="AA266" s="0">
        <f t="shared" ca="1" si="101"/>
        <v>1083534.8</v>
      </c>
      <c r="AB266" cm="1" s="0">
        <f t="array" ref="AB266">MAX(IF(ISNUMBER(J266:Y266),J266:Y266))</f>
        <v>1379119</v>
      </c>
      <c r="AC266" cm="1" s="0">
        <f t="array" ref="AC266">MIN(IF(ISNUMBER(J266:Y266),J266:Y266))</f>
        <v>879238</v>
      </c>
      <c r="AD266" s="0">
        <f t="shared" si="95"/>
        <v>499881</v>
      </c>
    </row>
    <row r="267" spans="1:30" x14ac:dyDescent="0.2">
      <c r="A267" t="s" s="0">
        <v>3730</v>
      </c>
      <c r="B267" s="2">
        <v>990002</v>
      </c>
      <c r="C267" s="2">
        <v>20785</v>
      </c>
      <c r="D267" s="2">
        <v>38219</v>
      </c>
      <c r="E267" s="2">
        <v>34338</v>
      </c>
      <c r="F267" s="2">
        <v>68518</v>
      </c>
      <c r="G267" s="2">
        <v>38652</v>
      </c>
      <c r="I267" t="str" s="0">
        <f t="shared" si="84"/>
        <v>09/21</v>
      </c>
      <c r="J267" s="2">
        <f t="shared" si="85"/>
        <v>975857</v>
      </c>
      <c r="K267" s="2">
        <f t="shared" si="86"/>
        <v>1178516</v>
      </c>
      <c r="L267" s="2">
        <f t="shared" si="87"/>
        <v>973596</v>
      </c>
      <c r="M267" s="2">
        <f t="shared" si="88"/>
        <v>1379119</v>
      </c>
      <c r="N267" s="2">
        <f t="shared" si="89"/>
        <v>879238</v>
      </c>
      <c r="O267" s="2">
        <f t="shared" si="90"/>
        <v>1074345</v>
      </c>
      <c r="P267" s="2">
        <f t="shared" si="91"/>
        <v>1023071</v>
      </c>
      <c r="Q267" s="2">
        <f t="shared" si="92"/>
        <v>960718</v>
      </c>
      <c r="R267" s="2">
        <f t="shared" si="93"/>
        <v>1128731</v>
      </c>
      <c r="S267" s="2">
        <f t="shared" si="94"/>
        <v>1188412</v>
      </c>
      <c r="T267" s="2" t="e">
        <f t="shared" si="83"/>
        <v>#N/A</v>
      </c>
      <c r="U267" s="2" t="e">
        <f t="shared" si="96"/>
        <v>#N/A</v>
      </c>
      <c r="V267" s="2" t="e">
        <f t="shared" si="97"/>
        <v>#N/A</v>
      </c>
      <c r="W267" s="2" t="e">
        <f t="shared" si="98"/>
        <v>#N/A</v>
      </c>
      <c r="X267" s="2" t="e">
        <f t="shared" si="99"/>
        <v>#N/A</v>
      </c>
      <c r="Y267" s="2" t="e">
        <f t="shared" si="100"/>
        <v>#N/A</v>
      </c>
      <c r="Z267" s="0">
        <f t="shared" ca="1" si="102"/>
        <v>1075055.3999999999</v>
      </c>
      <c r="AA267" s="0">
        <f t="shared" ca="1" si="101"/>
        <v>1076160.3</v>
      </c>
      <c r="AB267" cm="1" s="0">
        <f t="array" ref="AB267">MAX(IF(ISNUMBER(J267:Y267),J267:Y267))</f>
        <v>1379119</v>
      </c>
      <c r="AC267" cm="1" s="0">
        <f t="array" ref="AC267">MIN(IF(ISNUMBER(J267:Y267),J267:Y267))</f>
        <v>879238</v>
      </c>
      <c r="AD267" s="0">
        <f t="shared" si="95"/>
        <v>499881</v>
      </c>
    </row>
    <row r="268" spans="1:30" x14ac:dyDescent="0.2">
      <c r="A268" t="s" s="0">
        <v>3729</v>
      </c>
      <c r="B268" s="2">
        <v>979104</v>
      </c>
      <c r="C268" s="2">
        <v>35416</v>
      </c>
      <c r="D268" s="2">
        <v>36475</v>
      </c>
      <c r="E268" s="2">
        <v>34313</v>
      </c>
      <c r="F268" s="2">
        <v>42089</v>
      </c>
      <c r="G268" s="2">
        <v>38294</v>
      </c>
      <c r="I268" t="str" s="0">
        <f t="shared" si="84"/>
        <v>09/22</v>
      </c>
      <c r="J268" s="2">
        <f t="shared" si="85"/>
        <v>953890</v>
      </c>
      <c r="K268" s="2">
        <f t="shared" si="86"/>
        <v>1135965</v>
      </c>
      <c r="L268" s="2">
        <f t="shared" si="87"/>
        <v>973596</v>
      </c>
      <c r="M268" s="2">
        <f t="shared" si="88"/>
        <v>1379119</v>
      </c>
      <c r="N268" s="2">
        <f t="shared" si="89"/>
        <v>956448</v>
      </c>
      <c r="O268" s="2">
        <f t="shared" si="90"/>
        <v>1166074</v>
      </c>
      <c r="P268" s="2">
        <f t="shared" si="91"/>
        <v>965985</v>
      </c>
      <c r="Q268" s="2">
        <f t="shared" si="92"/>
        <v>984947</v>
      </c>
      <c r="R268" s="2">
        <f t="shared" si="93"/>
        <v>1128731</v>
      </c>
      <c r="S268" s="2">
        <f t="shared" si="94"/>
        <v>1132695</v>
      </c>
      <c r="T268" s="2" t="e">
        <f t="shared" si="83"/>
        <v>#N/A</v>
      </c>
      <c r="U268" s="2" t="e">
        <f t="shared" si="96"/>
        <v>#N/A</v>
      </c>
      <c r="V268" s="2" t="e">
        <f t="shared" si="97"/>
        <v>#N/A</v>
      </c>
      <c r="W268" s="2" t="e">
        <f t="shared" si="98"/>
        <v>#N/A</v>
      </c>
      <c r="X268" s="2" t="e">
        <f t="shared" si="99"/>
        <v>#N/A</v>
      </c>
      <c r="Y268" s="2" t="e">
        <f t="shared" si="100"/>
        <v>#N/A</v>
      </c>
      <c r="Z268" s="0">
        <f t="shared" ca="1" si="102"/>
        <v>1075686.3999999999</v>
      </c>
      <c r="AA268" s="0">
        <f t="shared" ca="1" si="101"/>
        <v>1077745</v>
      </c>
      <c r="AB268" cm="1" s="0">
        <f t="array" ref="AB268">MAX(IF(ISNUMBER(J268:Y268),J268:Y268))</f>
        <v>1379119</v>
      </c>
      <c r="AC268" cm="1" s="0">
        <f t="array" ref="AC268">MIN(IF(ISNUMBER(J268:Y268),J268:Y268))</f>
        <v>953890</v>
      </c>
      <c r="AD268" s="0">
        <f t="shared" si="95"/>
        <v>425229</v>
      </c>
    </row>
    <row r="269" spans="1:30" x14ac:dyDescent="0.2">
      <c r="A269" t="s" s="0">
        <v>3728</v>
      </c>
      <c r="B269" s="2">
        <v>967774</v>
      </c>
      <c r="C269" s="2">
        <v>36342</v>
      </c>
      <c r="D269" s="2">
        <v>35944</v>
      </c>
      <c r="E269" s="2">
        <v>34133</v>
      </c>
      <c r="F269" s="2">
        <v>42764</v>
      </c>
      <c r="G269" s="2">
        <v>37047</v>
      </c>
      <c r="I269" t="str" s="0">
        <f t="shared" si="84"/>
        <v>09/23</v>
      </c>
      <c r="J269" s="2">
        <f t="shared" si="85"/>
        <v>887582</v>
      </c>
      <c r="K269" s="2">
        <f t="shared" si="86"/>
        <v>1135965</v>
      </c>
      <c r="L269" s="2">
        <f t="shared" si="87"/>
        <v>973596</v>
      </c>
      <c r="M269" s="2">
        <f t="shared" si="88"/>
        <v>1272118</v>
      </c>
      <c r="N269" s="2">
        <f t="shared" si="89"/>
        <v>979585</v>
      </c>
      <c r="O269" s="2">
        <f t="shared" si="90"/>
        <v>1140013</v>
      </c>
      <c r="P269" s="2">
        <f t="shared" si="91"/>
        <v>1002113</v>
      </c>
      <c r="Q269" s="2">
        <f t="shared" si="92"/>
        <v>984947</v>
      </c>
      <c r="R269" s="2">
        <f t="shared" si="93"/>
        <v>1128731</v>
      </c>
      <c r="S269" s="2">
        <f t="shared" si="94"/>
        <v>1146234</v>
      </c>
      <c r="T269" s="2" t="e">
        <f t="shared" si="83"/>
        <v>#N/A</v>
      </c>
      <c r="U269" s="2" t="e">
        <f t="shared" si="96"/>
        <v>#N/A</v>
      </c>
      <c r="V269" s="2" t="e">
        <f t="shared" si="97"/>
        <v>#N/A</v>
      </c>
      <c r="W269" s="2" t="e">
        <f t="shared" si="98"/>
        <v>#N/A</v>
      </c>
      <c r="X269" s="2" t="e">
        <f t="shared" si="99"/>
        <v>#N/A</v>
      </c>
      <c r="Y269" s="2" t="e">
        <f t="shared" si="100"/>
        <v>#N/A</v>
      </c>
      <c r="Z269" s="0">
        <f t="shared" ca="1" si="102"/>
        <v>1080407.6000000001</v>
      </c>
      <c r="AA269" s="0">
        <f t="shared" ca="1" si="101"/>
        <v>1065088.3999999999</v>
      </c>
      <c r="AB269" cm="1" s="0">
        <f t="array" ref="AB269">MAX(IF(ISNUMBER(J269:Y269),J269:Y269))</f>
        <v>1272118</v>
      </c>
      <c r="AC269" cm="1" s="0">
        <f t="array" ref="AC269">MIN(IF(ISNUMBER(J269:Y269),J269:Y269))</f>
        <v>887582</v>
      </c>
      <c r="AD269" s="0">
        <f t="shared" si="95"/>
        <v>384536</v>
      </c>
    </row>
    <row r="270" spans="1:30" x14ac:dyDescent="0.2">
      <c r="A270" t="s" s="0">
        <v>3727</v>
      </c>
      <c r="B270" s="2">
        <v>887931</v>
      </c>
      <c r="C270" s="2">
        <v>39138</v>
      </c>
      <c r="D270" s="2">
        <v>39905</v>
      </c>
      <c r="E270" s="2">
        <v>34759</v>
      </c>
      <c r="F270" s="2">
        <v>33666</v>
      </c>
      <c r="G270" s="2">
        <v>34936</v>
      </c>
      <c r="I270" t="str" s="0">
        <f t="shared" si="84"/>
        <v>09/24</v>
      </c>
      <c r="J270" s="2">
        <f t="shared" si="85"/>
        <v>855691</v>
      </c>
      <c r="K270" s="2">
        <f t="shared" si="86"/>
        <v>1135965</v>
      </c>
      <c r="L270" s="2">
        <f t="shared" si="87"/>
        <v>923379</v>
      </c>
      <c r="M270" s="2">
        <f t="shared" si="88"/>
        <v>1230559</v>
      </c>
      <c r="N270" s="2">
        <f t="shared" si="89"/>
        <v>1059935</v>
      </c>
      <c r="O270" s="2">
        <f t="shared" si="90"/>
        <v>1104741</v>
      </c>
      <c r="P270" s="2">
        <f t="shared" si="91"/>
        <v>1002113</v>
      </c>
      <c r="Q270" s="2">
        <f t="shared" si="92"/>
        <v>984947</v>
      </c>
      <c r="R270" s="2">
        <f t="shared" si="93"/>
        <v>1154975</v>
      </c>
      <c r="S270" s="2">
        <f t="shared" si="94"/>
        <v>1129310</v>
      </c>
      <c r="T270" s="2" t="e">
        <f t="shared" si="83"/>
        <v>#N/A</v>
      </c>
      <c r="U270" s="2" t="e">
        <f t="shared" si="96"/>
        <v>#N/A</v>
      </c>
      <c r="V270" s="2" t="e">
        <f t="shared" si="97"/>
        <v>#N/A</v>
      </c>
      <c r="W270" s="2" t="e">
        <f t="shared" si="98"/>
        <v>#N/A</v>
      </c>
      <c r="X270" s="2" t="e">
        <f t="shared" si="99"/>
        <v>#N/A</v>
      </c>
      <c r="Y270" s="2" t="e">
        <f t="shared" si="100"/>
        <v>#N/A</v>
      </c>
      <c r="Z270" s="0">
        <f t="shared" ca="1" si="102"/>
        <v>1075217.2</v>
      </c>
      <c r="AA270" s="0">
        <f t="shared" ca="1" si="101"/>
        <v>1058161.5</v>
      </c>
      <c r="AB270" cm="1" s="0">
        <f t="array" ref="AB270">MAX(IF(ISNUMBER(J270:Y270),J270:Y270))</f>
        <v>1230559</v>
      </c>
      <c r="AC270" cm="1" s="0">
        <f t="array" ref="AC270">MIN(IF(ISNUMBER(J270:Y270),J270:Y270))</f>
        <v>855691</v>
      </c>
      <c r="AD270" s="0">
        <f t="shared" si="95"/>
        <v>374868</v>
      </c>
    </row>
    <row r="271" spans="1:30" x14ac:dyDescent="0.2">
      <c r="A271" t="s" s="0">
        <v>3726</v>
      </c>
      <c r="B271" s="2">
        <v>893587</v>
      </c>
      <c r="C271" s="2">
        <v>37339</v>
      </c>
      <c r="D271" s="2">
        <v>41752</v>
      </c>
      <c r="E271" s="2">
        <v>35056</v>
      </c>
      <c r="F271" s="2">
        <v>36495</v>
      </c>
      <c r="G271" s="2">
        <v>36643</v>
      </c>
      <c r="I271" t="str" s="0">
        <f t="shared" si="84"/>
        <v>09/25</v>
      </c>
      <c r="J271" s="2">
        <f t="shared" si="85"/>
        <v>855691</v>
      </c>
      <c r="K271" s="2">
        <f t="shared" si="86"/>
        <v>975449</v>
      </c>
      <c r="L271" s="2">
        <f t="shared" si="87"/>
        <v>843252</v>
      </c>
      <c r="M271" s="2">
        <f t="shared" si="88"/>
        <v>1199009</v>
      </c>
      <c r="N271" s="2">
        <f t="shared" si="89"/>
        <v>1010290</v>
      </c>
      <c r="O271" s="2">
        <f t="shared" si="90"/>
        <v>1104741</v>
      </c>
      <c r="P271" s="2">
        <f t="shared" si="91"/>
        <v>1002113</v>
      </c>
      <c r="Q271" s="2">
        <f t="shared" si="92"/>
        <v>1162303</v>
      </c>
      <c r="R271" s="2">
        <f t="shared" si="93"/>
        <v>1157387</v>
      </c>
      <c r="S271" s="2">
        <f t="shared" si="94"/>
        <v>1226706</v>
      </c>
      <c r="T271" s="2" t="e">
        <f t="shared" si="83"/>
        <v>#N/A</v>
      </c>
      <c r="U271" s="2" t="e">
        <f t="shared" si="96"/>
        <v>#N/A</v>
      </c>
      <c r="V271" s="2" t="e">
        <f t="shared" si="97"/>
        <v>#N/A</v>
      </c>
      <c r="W271" s="2" t="e">
        <f t="shared" si="98"/>
        <v>#N/A</v>
      </c>
      <c r="X271" s="2" t="e">
        <f t="shared" si="99"/>
        <v>#N/A</v>
      </c>
      <c r="Y271" s="2" t="e">
        <f t="shared" si="100"/>
        <v>#N/A</v>
      </c>
      <c r="Z271" s="0">
        <f t="shared" ca="1" si="102"/>
        <v>1130650</v>
      </c>
      <c r="AA271" s="0">
        <f t="shared" ca="1" si="101"/>
        <v>1053694.1000000001</v>
      </c>
      <c r="AB271" cm="1" s="0">
        <f t="array" ref="AB271">MAX(IF(ISNUMBER(J271:Y271),J271:Y271))</f>
        <v>1226706</v>
      </c>
      <c r="AC271" cm="1" s="0">
        <f t="array" ref="AC271">MIN(IF(ISNUMBER(J271:Y271),J271:Y271))</f>
        <v>843252</v>
      </c>
      <c r="AD271" s="0">
        <f t="shared" si="95"/>
        <v>383454</v>
      </c>
    </row>
    <row r="272" spans="1:30" x14ac:dyDescent="0.2">
      <c r="A272" t="s" s="0">
        <v>3725</v>
      </c>
      <c r="B272" s="3">
        <v>893587</v>
      </c>
      <c r="C272" s="3">
        <v>37339</v>
      </c>
      <c r="D272" s="3">
        <v>41752</v>
      </c>
      <c r="E272" s="3">
        <v>35056</v>
      </c>
      <c r="F272" s="3">
        <v>36495</v>
      </c>
      <c r="G272" s="3">
        <v>36643</v>
      </c>
      <c r="I272" t="str" s="0">
        <f t="shared" si="84"/>
        <v>09/26</v>
      </c>
      <c r="J272" s="2">
        <f t="shared" si="85"/>
        <v>855691</v>
      </c>
      <c r="K272" s="2">
        <f t="shared" si="86"/>
        <v>1169603</v>
      </c>
      <c r="L272" s="2">
        <f t="shared" si="87"/>
        <v>795523</v>
      </c>
      <c r="M272" s="2">
        <f t="shared" si="88"/>
        <v>1158141</v>
      </c>
      <c r="N272" s="2">
        <f t="shared" si="89"/>
        <v>1021691</v>
      </c>
      <c r="O272" s="2">
        <f t="shared" si="90"/>
        <v>1104741</v>
      </c>
      <c r="P272" s="2">
        <f t="shared" si="91"/>
        <v>1063532</v>
      </c>
      <c r="Q272" s="2">
        <f t="shared" si="92"/>
        <v>1130810</v>
      </c>
      <c r="R272" s="2">
        <f t="shared" si="93"/>
        <v>1143333</v>
      </c>
      <c r="S272" s="2">
        <f t="shared" si="94"/>
        <v>1255498</v>
      </c>
      <c r="T272" s="2" t="e">
        <f t="shared" si="83"/>
        <v>#N/A</v>
      </c>
      <c r="U272" s="2" t="e">
        <f t="shared" si="96"/>
        <v>#N/A</v>
      </c>
      <c r="V272" s="2" t="e">
        <f t="shared" si="97"/>
        <v>#N/A</v>
      </c>
      <c r="W272" s="2" t="e">
        <f t="shared" si="98"/>
        <v>#N/A</v>
      </c>
      <c r="X272" s="2" t="e">
        <f t="shared" si="99"/>
        <v>#N/A</v>
      </c>
      <c r="Y272" s="2" t="e">
        <f t="shared" si="100"/>
        <v>#N/A</v>
      </c>
      <c r="Z272" s="0">
        <f t="shared" ca="1" si="102"/>
        <v>1139582.8</v>
      </c>
      <c r="AA272" s="0">
        <f t="shared" ca="1" si="101"/>
        <v>1069856.3</v>
      </c>
      <c r="AB272" cm="1" s="0">
        <f t="array" ref="AB272">MAX(IF(ISNUMBER(J272:Y272),J272:Y272))</f>
        <v>1255498</v>
      </c>
      <c r="AC272" cm="1" s="0">
        <f t="array" ref="AC272">MIN(IF(ISNUMBER(J272:Y272),J272:Y272))</f>
        <v>795523</v>
      </c>
      <c r="AD272" s="0">
        <f t="shared" si="95"/>
        <v>459975</v>
      </c>
    </row>
    <row r="273" spans="1:30" x14ac:dyDescent="0.2">
      <c r="A273" t="s" s="0">
        <v>3724</v>
      </c>
      <c r="B273" s="3">
        <v>893587</v>
      </c>
      <c r="C273" s="3">
        <v>37339</v>
      </c>
      <c r="D273" s="3">
        <v>41752</v>
      </c>
      <c r="E273" s="3">
        <v>35056</v>
      </c>
      <c r="F273" s="3">
        <v>36495</v>
      </c>
      <c r="G273" s="3">
        <v>36643</v>
      </c>
      <c r="I273" t="str" s="0">
        <f t="shared" si="84"/>
        <v>09/27</v>
      </c>
      <c r="J273" s="2">
        <f t="shared" si="85"/>
        <v>813964</v>
      </c>
      <c r="K273" s="2">
        <f t="shared" si="86"/>
        <v>1152282</v>
      </c>
      <c r="L273" s="2">
        <f t="shared" si="87"/>
        <v>850474</v>
      </c>
      <c r="M273" s="2">
        <f t="shared" si="88"/>
        <v>1110322</v>
      </c>
      <c r="N273" s="2">
        <f t="shared" si="89"/>
        <v>1021691</v>
      </c>
      <c r="O273" s="2">
        <f t="shared" si="90"/>
        <v>1173488</v>
      </c>
      <c r="P273" s="2">
        <f t="shared" si="91"/>
        <v>995016</v>
      </c>
      <c r="Q273" s="2">
        <f t="shared" si="92"/>
        <v>1084230</v>
      </c>
      <c r="R273" s="2">
        <f t="shared" si="93"/>
        <v>1158707</v>
      </c>
      <c r="S273" s="2">
        <f t="shared" si="94"/>
        <v>1255498</v>
      </c>
      <c r="T273" s="2" t="e">
        <f t="shared" si="83"/>
        <v>#N/A</v>
      </c>
      <c r="U273" s="2" t="e">
        <f t="shared" si="96"/>
        <v>#N/A</v>
      </c>
      <c r="V273" s="2" t="e">
        <f t="shared" si="97"/>
        <v>#N/A</v>
      </c>
      <c r="W273" s="2" t="e">
        <f t="shared" si="98"/>
        <v>#N/A</v>
      </c>
      <c r="X273" s="2" t="e">
        <f t="shared" si="99"/>
        <v>#N/A</v>
      </c>
      <c r="Y273" s="2" t="e">
        <f t="shared" si="100"/>
        <v>#N/A</v>
      </c>
      <c r="Z273" s="0">
        <f t="shared" ca="1" si="102"/>
        <v>1133387.8</v>
      </c>
      <c r="AA273" s="0">
        <f t="shared" ca="1" si="101"/>
        <v>1061567.2</v>
      </c>
      <c r="AB273" cm="1" s="0">
        <f t="array" ref="AB273">MAX(IF(ISNUMBER(J273:Y273),J273:Y273))</f>
        <v>1255498</v>
      </c>
      <c r="AC273" cm="1" s="0">
        <f t="array" ref="AC273">MIN(IF(ISNUMBER(J273:Y273),J273:Y273))</f>
        <v>813964</v>
      </c>
      <c r="AD273" s="0">
        <f t="shared" si="95"/>
        <v>441534</v>
      </c>
    </row>
    <row r="274" spans="1:30" x14ac:dyDescent="0.2">
      <c r="A274" t="s" s="0">
        <v>3723</v>
      </c>
      <c r="B274" s="2">
        <v>806080</v>
      </c>
      <c r="C274" s="2">
        <v>21060</v>
      </c>
      <c r="D274" s="2">
        <v>39139</v>
      </c>
      <c r="E274" s="2">
        <v>35280</v>
      </c>
      <c r="F274" s="2">
        <v>11509</v>
      </c>
      <c r="G274" s="2">
        <v>35750</v>
      </c>
      <c r="I274" t="str" s="0">
        <f t="shared" si="84"/>
        <v>09/28</v>
      </c>
      <c r="J274" s="2">
        <f t="shared" si="85"/>
        <v>774941</v>
      </c>
      <c r="K274" s="2">
        <f t="shared" si="86"/>
        <v>1095953</v>
      </c>
      <c r="L274" s="2">
        <f t="shared" si="87"/>
        <v>849204</v>
      </c>
      <c r="M274" s="2">
        <f t="shared" si="88"/>
        <v>1110322</v>
      </c>
      <c r="N274" s="2">
        <f t="shared" si="89"/>
        <v>1021691</v>
      </c>
      <c r="O274" s="2">
        <f t="shared" si="90"/>
        <v>1155049</v>
      </c>
      <c r="P274" s="2">
        <f t="shared" si="91"/>
        <v>991580</v>
      </c>
      <c r="Q274" s="2">
        <f t="shared" si="92"/>
        <v>1051167</v>
      </c>
      <c r="R274" s="2">
        <f t="shared" si="93"/>
        <v>1234780</v>
      </c>
      <c r="S274" s="2">
        <f t="shared" si="94"/>
        <v>1255498</v>
      </c>
      <c r="T274" s="2" t="e">
        <f t="shared" ref="T274:T305" si="103">IF(B4101=0, NA(), B4101)</f>
        <v>#N/A</v>
      </c>
      <c r="U274" s="2" t="e">
        <f t="shared" si="96"/>
        <v>#N/A</v>
      </c>
      <c r="V274" s="2" t="e">
        <f t="shared" si="97"/>
        <v>#N/A</v>
      </c>
      <c r="W274" s="2" t="e">
        <f t="shared" si="98"/>
        <v>#N/A</v>
      </c>
      <c r="X274" s="2" t="e">
        <f t="shared" si="99"/>
        <v>#N/A</v>
      </c>
      <c r="Y274" s="2" t="e">
        <f t="shared" si="100"/>
        <v>#N/A</v>
      </c>
      <c r="Z274" s="0">
        <f t="shared" ca="1" si="102"/>
        <v>1137614.8</v>
      </c>
      <c r="AA274" s="0">
        <f t="shared" ca="1" si="101"/>
        <v>1054018.5</v>
      </c>
      <c r="AB274" cm="1" s="0">
        <f t="array" ref="AB274">MAX(IF(ISNUMBER(J274:Y274),J274:Y274))</f>
        <v>1255498</v>
      </c>
      <c r="AC274" cm="1" s="0">
        <f t="array" ref="AC274">MIN(IF(ISNUMBER(J274:Y274),J274:Y274))</f>
        <v>774941</v>
      </c>
      <c r="AD274" s="0">
        <f t="shared" si="95"/>
        <v>480557</v>
      </c>
    </row>
    <row r="275" spans="1:30" x14ac:dyDescent="0.2">
      <c r="A275" t="s" s="0">
        <v>3722</v>
      </c>
      <c r="B275" s="2">
        <v>888528</v>
      </c>
      <c r="C275" s="2">
        <v>37629</v>
      </c>
      <c r="D275" s="2">
        <v>40106</v>
      </c>
      <c r="E275" s="2">
        <v>35613</v>
      </c>
      <c r="F275" s="2">
        <v>25810</v>
      </c>
      <c r="G275" s="2">
        <v>36288</v>
      </c>
      <c r="I275" t="str" s="0">
        <f t="shared" si="84"/>
        <v>09/29</v>
      </c>
      <c r="J275" s="2">
        <f t="shared" si="85"/>
        <v>713860</v>
      </c>
      <c r="K275" s="2">
        <f t="shared" si="86"/>
        <v>1306884</v>
      </c>
      <c r="L275" s="2">
        <f t="shared" si="87"/>
        <v>849204</v>
      </c>
      <c r="M275" s="2">
        <f t="shared" si="88"/>
        <v>1110322</v>
      </c>
      <c r="N275" s="2">
        <f t="shared" si="89"/>
        <v>961146</v>
      </c>
      <c r="O275" s="2">
        <f t="shared" si="90"/>
        <v>1108301</v>
      </c>
      <c r="P275" s="2">
        <f t="shared" si="91"/>
        <v>1014409</v>
      </c>
      <c r="Q275" s="2">
        <f t="shared" si="92"/>
        <v>1028028</v>
      </c>
      <c r="R275" s="2">
        <f t="shared" si="93"/>
        <v>1234780</v>
      </c>
      <c r="S275" s="2">
        <f t="shared" si="94"/>
        <v>1172073</v>
      </c>
      <c r="T275" s="2" t="e">
        <f t="shared" si="103"/>
        <v>#N/A</v>
      </c>
      <c r="U275" s="2" t="e">
        <f t="shared" si="96"/>
        <v>#N/A</v>
      </c>
      <c r="V275" s="2" t="e">
        <f t="shared" si="97"/>
        <v>#N/A</v>
      </c>
      <c r="W275" s="2" t="e">
        <f t="shared" si="98"/>
        <v>#N/A</v>
      </c>
      <c r="X275" s="2" t="e">
        <f t="shared" si="99"/>
        <v>#N/A</v>
      </c>
      <c r="Y275" s="2" t="e">
        <f t="shared" si="100"/>
        <v>#N/A</v>
      </c>
      <c r="Z275" s="0">
        <f t="shared" ca="1" si="102"/>
        <v>1111518.2</v>
      </c>
      <c r="AA275" s="0">
        <f t="shared" ca="1" si="101"/>
        <v>1049900.7</v>
      </c>
      <c r="AB275" cm="1" s="0">
        <f t="array" ref="AB275">MAX(IF(ISNUMBER(J275:Y275),J275:Y275))</f>
        <v>1306884</v>
      </c>
      <c r="AC275" cm="1" s="0">
        <f t="array" ref="AC275">MIN(IF(ISNUMBER(J275:Y275),J275:Y275))</f>
        <v>713860</v>
      </c>
      <c r="AD275" s="0">
        <f t="shared" si="95"/>
        <v>593024</v>
      </c>
    </row>
    <row r="276" spans="1:30" x14ac:dyDescent="0.2">
      <c r="A276" t="s" s="0">
        <v>3721</v>
      </c>
      <c r="B276" s="2">
        <v>873372</v>
      </c>
      <c r="C276" s="2">
        <v>36602</v>
      </c>
      <c r="D276" s="2">
        <v>40524</v>
      </c>
      <c r="E276" s="2">
        <v>35485</v>
      </c>
      <c r="F276" s="2">
        <v>25803</v>
      </c>
      <c r="G276" s="2">
        <v>37182</v>
      </c>
      <c r="I276" t="str" s="0">
        <f t="shared" si="84"/>
        <v>09/30</v>
      </c>
      <c r="J276" s="2">
        <f t="shared" si="85"/>
        <v>715168</v>
      </c>
      <c r="K276" s="2">
        <f t="shared" si="86"/>
        <v>1306884</v>
      </c>
      <c r="L276" s="2">
        <f t="shared" si="87"/>
        <v>849204</v>
      </c>
      <c r="M276" s="2">
        <f t="shared" si="88"/>
        <v>1187839</v>
      </c>
      <c r="N276" s="2">
        <f t="shared" si="89"/>
        <v>900062</v>
      </c>
      <c r="O276" s="2">
        <f t="shared" si="90"/>
        <v>1066893</v>
      </c>
      <c r="P276" s="2">
        <f t="shared" si="91"/>
        <v>1110309</v>
      </c>
      <c r="Q276" s="2">
        <f t="shared" si="92"/>
        <v>1028028</v>
      </c>
      <c r="R276" s="2">
        <f t="shared" si="93"/>
        <v>1234780</v>
      </c>
      <c r="S276" s="2">
        <f t="shared" si="94"/>
        <v>1126588</v>
      </c>
      <c r="T276" s="2" t="e">
        <f t="shared" si="103"/>
        <v>#N/A</v>
      </c>
      <c r="U276" s="2" t="e">
        <f t="shared" si="96"/>
        <v>#N/A</v>
      </c>
      <c r="V276" s="2" t="e">
        <f t="shared" si="97"/>
        <v>#N/A</v>
      </c>
      <c r="W276" s="2" t="e">
        <f t="shared" si="98"/>
        <v>#N/A</v>
      </c>
      <c r="X276" s="2" t="e">
        <f t="shared" si="99"/>
        <v>#N/A</v>
      </c>
      <c r="Y276" s="2" t="e">
        <f t="shared" si="100"/>
        <v>#N/A</v>
      </c>
      <c r="Z276" s="0">
        <f t="shared" ca="1" si="102"/>
        <v>1113319.6000000001</v>
      </c>
      <c r="AA276" s="0">
        <f t="shared" ca="1" si="101"/>
        <v>1052575.5</v>
      </c>
      <c r="AB276" cm="1" s="0">
        <f t="array" ref="AB276">MAX(IF(ISNUMBER(J276:Y276),J276:Y276))</f>
        <v>1306884</v>
      </c>
      <c r="AC276" cm="1" s="0">
        <f t="array" ref="AC276">MIN(IF(ISNUMBER(J276:Y276),J276:Y276))</f>
        <v>715168</v>
      </c>
      <c r="AD276" s="0">
        <f t="shared" si="95"/>
        <v>591716</v>
      </c>
    </row>
    <row r="277" spans="1:30" x14ac:dyDescent="0.2">
      <c r="A277" t="s" s="0">
        <v>3720</v>
      </c>
      <c r="B277" s="2">
        <v>885047</v>
      </c>
      <c r="C277" s="2">
        <v>38764</v>
      </c>
      <c r="D277" s="2">
        <v>36536</v>
      </c>
      <c r="E277" s="2">
        <v>35986</v>
      </c>
      <c r="F277" s="2">
        <v>34889</v>
      </c>
      <c r="G277" s="2">
        <v>38962</v>
      </c>
      <c r="I277" t="str" s="0">
        <f t="shared" si="84"/>
        <v>10/01</v>
      </c>
      <c r="J277" s="2">
        <f t="shared" si="85"/>
        <v>677956</v>
      </c>
      <c r="K277" s="2">
        <f t="shared" si="86"/>
        <v>1306884</v>
      </c>
      <c r="L277" s="2">
        <f t="shared" si="87"/>
        <v>798286</v>
      </c>
      <c r="M277" s="2">
        <f t="shared" si="88"/>
        <v>1188016</v>
      </c>
      <c r="N277" s="2">
        <f t="shared" si="89"/>
        <v>1128120</v>
      </c>
      <c r="O277" s="2">
        <f t="shared" si="90"/>
        <v>1175232</v>
      </c>
      <c r="P277" s="2">
        <f t="shared" si="91"/>
        <v>1110309</v>
      </c>
      <c r="Q277" s="2">
        <f t="shared" si="92"/>
        <v>1028028</v>
      </c>
      <c r="R277" s="2">
        <f t="shared" si="93"/>
        <v>1147555</v>
      </c>
      <c r="S277" s="2">
        <f t="shared" si="94"/>
        <v>1074883</v>
      </c>
      <c r="T277" s="2" t="e">
        <f t="shared" si="103"/>
        <v>#N/A</v>
      </c>
      <c r="U277" s="2" t="e">
        <f t="shared" si="96"/>
        <v>#N/A</v>
      </c>
      <c r="V277" s="2" t="e">
        <f t="shared" si="97"/>
        <v>#N/A</v>
      </c>
      <c r="W277" s="2" t="e">
        <f t="shared" si="98"/>
        <v>#N/A</v>
      </c>
      <c r="X277" s="2" t="e">
        <f t="shared" si="99"/>
        <v>#N/A</v>
      </c>
      <c r="Y277" s="2" t="e">
        <f t="shared" si="100"/>
        <v>#N/A</v>
      </c>
      <c r="Z277" s="0">
        <f t="shared" ca="1" si="102"/>
        <v>1107201.3999999999</v>
      </c>
      <c r="AA277" s="0">
        <f t="shared" ca="1" si="101"/>
        <v>1063526.8999999999</v>
      </c>
      <c r="AB277" cm="1" s="0">
        <f t="array" ref="AB277">MAX(IF(ISNUMBER(J277:Y277),J277:Y277))</f>
        <v>1306884</v>
      </c>
      <c r="AC277" cm="1" s="0">
        <f t="array" ref="AC277">MIN(IF(ISNUMBER(J277:Y277),J277:Y277))</f>
        <v>677956</v>
      </c>
      <c r="AD277" s="0">
        <f t="shared" si="95"/>
        <v>628928</v>
      </c>
    </row>
    <row r="278" spans="1:30" x14ac:dyDescent="0.2">
      <c r="A278" t="s" s="0">
        <v>3719</v>
      </c>
      <c r="B278" s="2">
        <v>886674</v>
      </c>
      <c r="C278" s="2">
        <v>35474</v>
      </c>
      <c r="D278" s="2">
        <v>35268</v>
      </c>
      <c r="E278" s="2">
        <v>35864</v>
      </c>
      <c r="F278" s="2">
        <v>33551</v>
      </c>
      <c r="G278" s="2">
        <v>38959</v>
      </c>
      <c r="I278" t="str" s="0">
        <f t="shared" si="84"/>
        <v>10/02</v>
      </c>
      <c r="J278" s="2">
        <f t="shared" si="85"/>
        <v>677956</v>
      </c>
      <c r="K278" s="2">
        <f t="shared" si="86"/>
        <v>1298062</v>
      </c>
      <c r="L278" s="2">
        <f t="shared" si="87"/>
        <v>800582</v>
      </c>
      <c r="M278" s="2">
        <f t="shared" si="88"/>
        <v>1156357</v>
      </c>
      <c r="N278" s="2">
        <f t="shared" si="89"/>
        <v>1161967</v>
      </c>
      <c r="O278" s="2">
        <f t="shared" si="90"/>
        <v>1175232</v>
      </c>
      <c r="P278" s="2">
        <f t="shared" si="91"/>
        <v>1110309</v>
      </c>
      <c r="Q278" s="2">
        <f t="shared" si="92"/>
        <v>1043587</v>
      </c>
      <c r="R278" s="2">
        <f t="shared" si="93"/>
        <v>1145222</v>
      </c>
      <c r="S278" s="2">
        <f t="shared" si="94"/>
        <v>1052636</v>
      </c>
      <c r="T278" s="2" t="e">
        <f t="shared" si="103"/>
        <v>#N/A</v>
      </c>
      <c r="U278" s="2" t="e">
        <f t="shared" si="96"/>
        <v>#N/A</v>
      </c>
      <c r="V278" s="2" t="e">
        <f t="shared" si="97"/>
        <v>#N/A</v>
      </c>
      <c r="W278" s="2" t="e">
        <f t="shared" si="98"/>
        <v>#N/A</v>
      </c>
      <c r="X278" s="2" t="e">
        <f t="shared" si="99"/>
        <v>#N/A</v>
      </c>
      <c r="Y278" s="2" t="e">
        <f t="shared" si="100"/>
        <v>#N/A</v>
      </c>
      <c r="Z278" s="0">
        <f t="shared" ca="1" si="102"/>
        <v>1105397.2</v>
      </c>
      <c r="AA278" s="0">
        <f t="shared" ca="1" si="101"/>
        <v>1062191</v>
      </c>
      <c r="AB278" cm="1" s="0">
        <f t="array" ref="AB278">MAX(IF(ISNUMBER(J278:Y278),J278:Y278))</f>
        <v>1298062</v>
      </c>
      <c r="AC278" cm="1" s="0">
        <f t="array" ref="AC278">MIN(IF(ISNUMBER(J278:Y278),J278:Y278))</f>
        <v>677956</v>
      </c>
      <c r="AD278" s="0">
        <f t="shared" si="95"/>
        <v>620106</v>
      </c>
    </row>
    <row r="279" spans="1:30" x14ac:dyDescent="0.2">
      <c r="A279" t="s" s="0">
        <v>3718</v>
      </c>
      <c r="B279" s="3">
        <v>886674</v>
      </c>
      <c r="C279" s="3">
        <v>35474</v>
      </c>
      <c r="D279" s="3">
        <v>35268</v>
      </c>
      <c r="E279" s="3">
        <v>35864</v>
      </c>
      <c r="F279" s="3">
        <v>33551</v>
      </c>
      <c r="G279" s="3">
        <v>38959</v>
      </c>
      <c r="I279" t="str" s="0">
        <f t="shared" si="84"/>
        <v>10/03</v>
      </c>
      <c r="J279" s="2">
        <f t="shared" si="85"/>
        <v>677956</v>
      </c>
      <c r="K279" s="2">
        <f t="shared" si="86"/>
        <v>1273370</v>
      </c>
      <c r="L279" s="2">
        <f t="shared" si="87"/>
        <v>792882</v>
      </c>
      <c r="M279" s="2">
        <f t="shared" si="88"/>
        <v>1105995</v>
      </c>
      <c r="N279" s="2">
        <f t="shared" si="89"/>
        <v>1323399</v>
      </c>
      <c r="O279" s="2">
        <f t="shared" si="90"/>
        <v>1175232</v>
      </c>
      <c r="P279" s="2">
        <f t="shared" si="91"/>
        <v>1102898</v>
      </c>
      <c r="Q279" s="2">
        <f t="shared" si="92"/>
        <v>1059684</v>
      </c>
      <c r="R279" s="2">
        <f t="shared" si="93"/>
        <v>1135030</v>
      </c>
      <c r="S279" s="2">
        <f t="shared" si="94"/>
        <v>1094781</v>
      </c>
      <c r="T279" s="2" t="e">
        <f t="shared" si="103"/>
        <v>#N/A</v>
      </c>
      <c r="U279" s="2" t="e">
        <f t="shared" si="96"/>
        <v>#N/A</v>
      </c>
      <c r="V279" s="2" t="e">
        <f t="shared" si="97"/>
        <v>#N/A</v>
      </c>
      <c r="W279" s="2" t="e">
        <f t="shared" si="98"/>
        <v>#N/A</v>
      </c>
      <c r="X279" s="2" t="e">
        <f t="shared" si="99"/>
        <v>#N/A</v>
      </c>
      <c r="Y279" s="2" t="e">
        <f t="shared" si="100"/>
        <v>#N/A</v>
      </c>
      <c r="Z279" s="0">
        <f t="shared" ca="1" si="102"/>
        <v>1113525</v>
      </c>
      <c r="AA279" s="0">
        <f t="shared" ca="1" si="101"/>
        <v>1074122.7</v>
      </c>
      <c r="AB279" cm="1" s="0">
        <f t="array" ref="AB279">MAX(IF(ISNUMBER(J279:Y279),J279:Y279))</f>
        <v>1323399</v>
      </c>
      <c r="AC279" cm="1" s="0">
        <f t="array" ref="AC279">MIN(IF(ISNUMBER(J279:Y279),J279:Y279))</f>
        <v>677956</v>
      </c>
      <c r="AD279" s="0">
        <f t="shared" si="95"/>
        <v>645443</v>
      </c>
    </row>
    <row r="280" spans="1:30" x14ac:dyDescent="0.2">
      <c r="A280" t="s" s="0">
        <v>3717</v>
      </c>
      <c r="B280" s="3">
        <v>886674</v>
      </c>
      <c r="C280" s="3">
        <v>35474</v>
      </c>
      <c r="D280" s="3">
        <v>35268</v>
      </c>
      <c r="E280" s="3">
        <v>35864</v>
      </c>
      <c r="F280" s="3">
        <v>33551</v>
      </c>
      <c r="G280" s="3">
        <v>38959</v>
      </c>
      <c r="I280" t="str" s="0">
        <f t="shared" si="84"/>
        <v>10/04</v>
      </c>
      <c r="J280" s="2">
        <f t="shared" si="85"/>
        <v>801306</v>
      </c>
      <c r="K280" s="2">
        <f t="shared" si="86"/>
        <v>1249409</v>
      </c>
      <c r="L280" s="2">
        <f t="shared" si="87"/>
        <v>741382</v>
      </c>
      <c r="M280" s="2">
        <f t="shared" si="88"/>
        <v>1094819</v>
      </c>
      <c r="N280" s="2">
        <f t="shared" si="89"/>
        <v>1323399</v>
      </c>
      <c r="O280" s="2">
        <f t="shared" si="90"/>
        <v>1054714</v>
      </c>
      <c r="P280" s="2">
        <f t="shared" si="91"/>
        <v>1125290</v>
      </c>
      <c r="Q280" s="2">
        <f t="shared" si="92"/>
        <v>1028234</v>
      </c>
      <c r="R280" s="2">
        <f t="shared" si="93"/>
        <v>1172379</v>
      </c>
      <c r="S280" s="2">
        <f t="shared" si="94"/>
        <v>1094781</v>
      </c>
      <c r="T280" s="2" t="e">
        <f t="shared" si="103"/>
        <v>#N/A</v>
      </c>
      <c r="U280" s="2" t="e">
        <f t="shared" si="96"/>
        <v>#N/A</v>
      </c>
      <c r="V280" s="2" t="e">
        <f t="shared" si="97"/>
        <v>#N/A</v>
      </c>
      <c r="W280" s="2" t="e">
        <f t="shared" si="98"/>
        <v>#N/A</v>
      </c>
      <c r="X280" s="2" t="e">
        <f t="shared" si="99"/>
        <v>#N/A</v>
      </c>
      <c r="Y280" s="2" t="e">
        <f t="shared" si="100"/>
        <v>#N/A</v>
      </c>
      <c r="Z280" s="0">
        <f t="shared" ca="1" si="102"/>
        <v>1095079.6000000001</v>
      </c>
      <c r="AA280" s="0">
        <f t="shared" ca="1" si="101"/>
        <v>1068571.3</v>
      </c>
      <c r="AB280" cm="1" s="0">
        <f t="array" ref="AB280">MAX(IF(ISNUMBER(J280:Y280),J280:Y280))</f>
        <v>1323399</v>
      </c>
      <c r="AC280" cm="1" s="0">
        <f t="array" ref="AC280">MIN(IF(ISNUMBER(J280:Y280),J280:Y280))</f>
        <v>741382</v>
      </c>
      <c r="AD280" s="0">
        <f t="shared" si="95"/>
        <v>582017</v>
      </c>
    </row>
    <row r="281" spans="1:30" x14ac:dyDescent="0.2">
      <c r="A281" t="s" s="0">
        <v>3716</v>
      </c>
      <c r="B281" s="2">
        <v>943982</v>
      </c>
      <c r="C281" s="2">
        <v>23853</v>
      </c>
      <c r="D281" s="2">
        <v>38119</v>
      </c>
      <c r="E281" s="2">
        <v>36894</v>
      </c>
      <c r="F281" s="2">
        <v>57090</v>
      </c>
      <c r="G281" s="2">
        <v>38742</v>
      </c>
      <c r="I281" t="str" s="0">
        <f t="shared" si="84"/>
        <v>10/05</v>
      </c>
      <c r="J281" s="2">
        <f t="shared" si="85"/>
        <v>809272</v>
      </c>
      <c r="K281" s="2">
        <f t="shared" si="86"/>
        <v>1195342</v>
      </c>
      <c r="L281" s="2">
        <f t="shared" si="87"/>
        <v>729397</v>
      </c>
      <c r="M281" s="2">
        <f t="shared" si="88"/>
        <v>1094819</v>
      </c>
      <c r="N281" s="2">
        <f t="shared" si="89"/>
        <v>1323399</v>
      </c>
      <c r="O281" s="2">
        <f t="shared" si="90"/>
        <v>1022549</v>
      </c>
      <c r="P281" s="2">
        <f t="shared" si="91"/>
        <v>1064261</v>
      </c>
      <c r="Q281" s="2">
        <f t="shared" si="92"/>
        <v>1014698</v>
      </c>
      <c r="R281" s="2">
        <f t="shared" si="93"/>
        <v>1202133</v>
      </c>
      <c r="S281" s="2">
        <f t="shared" si="94"/>
        <v>1094781</v>
      </c>
      <c r="T281" s="2" t="e">
        <f t="shared" si="103"/>
        <v>#N/A</v>
      </c>
      <c r="U281" s="2" t="e">
        <f t="shared" si="96"/>
        <v>#N/A</v>
      </c>
      <c r="V281" s="2" t="e">
        <f t="shared" si="97"/>
        <v>#N/A</v>
      </c>
      <c r="W281" s="2" t="e">
        <f t="shared" si="98"/>
        <v>#N/A</v>
      </c>
      <c r="X281" s="2" t="e">
        <f t="shared" si="99"/>
        <v>#N/A</v>
      </c>
      <c r="Y281" s="2" t="e">
        <f t="shared" si="100"/>
        <v>#N/A</v>
      </c>
      <c r="Z281" s="0">
        <f t="shared" ca="1" si="102"/>
        <v>1079684.3999999999</v>
      </c>
      <c r="AA281" s="0">
        <f t="shared" ca="1" si="101"/>
        <v>1055065.1000000001</v>
      </c>
      <c r="AB281" cm="1" s="0">
        <f t="array" ref="AB281">MAX(IF(ISNUMBER(J281:Y281),J281:Y281))</f>
        <v>1323399</v>
      </c>
      <c r="AC281" cm="1" s="0">
        <f t="array" ref="AC281">MIN(IF(ISNUMBER(J281:Y281),J281:Y281))</f>
        <v>729397</v>
      </c>
      <c r="AD281" s="0">
        <f t="shared" si="95"/>
        <v>594002</v>
      </c>
    </row>
    <row r="282" spans="1:30" x14ac:dyDescent="0.2">
      <c r="A282" t="s" s="0">
        <v>3715</v>
      </c>
      <c r="B282" s="2">
        <v>931734</v>
      </c>
      <c r="C282" s="2">
        <v>42958</v>
      </c>
      <c r="D282" s="2">
        <v>38880</v>
      </c>
      <c r="E282" s="2">
        <v>37239</v>
      </c>
      <c r="F282" s="2">
        <v>44323</v>
      </c>
      <c r="G282" s="2">
        <v>38411</v>
      </c>
      <c r="I282" t="str" s="0">
        <f t="shared" si="84"/>
        <v>10/06</v>
      </c>
      <c r="J282" s="2">
        <f t="shared" si="85"/>
        <v>759364</v>
      </c>
      <c r="K282" s="2">
        <f t="shared" si="86"/>
        <v>1189235</v>
      </c>
      <c r="L282" s="2">
        <f t="shared" si="87"/>
        <v>729397</v>
      </c>
      <c r="M282" s="2">
        <f t="shared" si="88"/>
        <v>1094819</v>
      </c>
      <c r="N282" s="2">
        <f t="shared" si="89"/>
        <v>1229421</v>
      </c>
      <c r="O282" s="2">
        <f t="shared" si="90"/>
        <v>1078343</v>
      </c>
      <c r="P282" s="2">
        <f t="shared" si="91"/>
        <v>1019077</v>
      </c>
      <c r="Q282" s="2">
        <f t="shared" si="92"/>
        <v>1014290</v>
      </c>
      <c r="R282" s="2">
        <f t="shared" si="93"/>
        <v>1202133</v>
      </c>
      <c r="S282" s="2">
        <f t="shared" si="94"/>
        <v>1005426</v>
      </c>
      <c r="T282" s="2" t="e">
        <f t="shared" si="103"/>
        <v>#N/A</v>
      </c>
      <c r="U282" s="2" t="e">
        <f t="shared" si="96"/>
        <v>#N/A</v>
      </c>
      <c r="V282" s="2" t="e">
        <f t="shared" si="97"/>
        <v>#N/A</v>
      </c>
      <c r="W282" s="2" t="e">
        <f t="shared" si="98"/>
        <v>#N/A</v>
      </c>
      <c r="X282" s="2" t="e">
        <f t="shared" si="99"/>
        <v>#N/A</v>
      </c>
      <c r="Y282" s="2" t="e">
        <f t="shared" si="100"/>
        <v>#N/A</v>
      </c>
      <c r="Z282" s="0">
        <f t="shared" ca="1" si="102"/>
        <v>1063853.8</v>
      </c>
      <c r="AA282" s="0">
        <f t="shared" ca="1" si="101"/>
        <v>1032150.5</v>
      </c>
      <c r="AB282" cm="1" s="0">
        <f t="array" ref="AB282">MAX(IF(ISNUMBER(J282:Y282),J282:Y282))</f>
        <v>1229421</v>
      </c>
      <c r="AC282" cm="1" s="0">
        <f t="array" ref="AC282">MIN(IF(ISNUMBER(J282:Y282),J282:Y282))</f>
        <v>729397</v>
      </c>
      <c r="AD282" s="0">
        <f t="shared" si="95"/>
        <v>500024</v>
      </c>
    </row>
    <row r="283" spans="1:30" x14ac:dyDescent="0.2">
      <c r="A283" t="s" s="0">
        <v>3714</v>
      </c>
      <c r="B283" s="2">
        <v>967050</v>
      </c>
      <c r="C283" s="2">
        <v>36938</v>
      </c>
      <c r="D283" s="2">
        <v>41120</v>
      </c>
      <c r="E283" s="2">
        <v>38106</v>
      </c>
      <c r="F283" s="2">
        <v>53652</v>
      </c>
      <c r="G283" s="2">
        <v>40563</v>
      </c>
      <c r="I283" t="str" s="0">
        <f t="shared" si="84"/>
        <v>10/07</v>
      </c>
      <c r="J283" s="2">
        <f t="shared" si="85"/>
        <v>774318</v>
      </c>
      <c r="K283" s="2">
        <f t="shared" si="86"/>
        <v>1189235</v>
      </c>
      <c r="L283" s="2">
        <f t="shared" si="87"/>
        <v>729397</v>
      </c>
      <c r="M283" s="2">
        <f t="shared" si="88"/>
        <v>1115187</v>
      </c>
      <c r="N283" s="2">
        <f t="shared" si="89"/>
        <v>1133805</v>
      </c>
      <c r="O283" s="2">
        <f t="shared" si="90"/>
        <v>1056888</v>
      </c>
      <c r="P283" s="2">
        <f t="shared" si="91"/>
        <v>1042407</v>
      </c>
      <c r="Q283" s="2">
        <f t="shared" si="92"/>
        <v>1014290</v>
      </c>
      <c r="R283" s="2">
        <f t="shared" si="93"/>
        <v>1202133</v>
      </c>
      <c r="S283" s="2">
        <f t="shared" si="94"/>
        <v>1012866</v>
      </c>
      <c r="T283" s="2" t="e">
        <f t="shared" si="103"/>
        <v>#N/A</v>
      </c>
      <c r="U283" s="2" t="e">
        <f t="shared" si="96"/>
        <v>#N/A</v>
      </c>
      <c r="V283" s="2" t="e">
        <f t="shared" si="97"/>
        <v>#N/A</v>
      </c>
      <c r="W283" s="2" t="e">
        <f t="shared" si="98"/>
        <v>#N/A</v>
      </c>
      <c r="X283" s="2" t="e">
        <f t="shared" si="99"/>
        <v>#N/A</v>
      </c>
      <c r="Y283" s="2" t="e">
        <f t="shared" si="100"/>
        <v>#N/A</v>
      </c>
      <c r="Z283" s="0">
        <f t="shared" ca="1" si="102"/>
        <v>1065716.8</v>
      </c>
      <c r="AA283" s="0">
        <f t="shared" ca="1" si="101"/>
        <v>1027052.6</v>
      </c>
      <c r="AB283" cm="1" s="0">
        <f t="array" ref="AB283">MAX(IF(ISNUMBER(J283:Y283),J283:Y283))</f>
        <v>1202133</v>
      </c>
      <c r="AC283" cm="1" s="0">
        <f t="array" ref="AC283">MIN(IF(ISNUMBER(J283:Y283),J283:Y283))</f>
        <v>729397</v>
      </c>
      <c r="AD283" s="0">
        <f t="shared" si="95"/>
        <v>472736</v>
      </c>
    </row>
    <row r="284" spans="1:30" x14ac:dyDescent="0.2">
      <c r="A284" t="s" s="0">
        <v>3713</v>
      </c>
      <c r="B284" s="2">
        <v>930082</v>
      </c>
      <c r="C284" s="2">
        <v>36909</v>
      </c>
      <c r="D284" s="2">
        <v>40933</v>
      </c>
      <c r="E284" s="2">
        <v>38233</v>
      </c>
      <c r="F284" s="2">
        <v>46516</v>
      </c>
      <c r="G284" s="2">
        <v>40555</v>
      </c>
      <c r="I284" t="str" s="0">
        <f t="shared" si="84"/>
        <v>10/08</v>
      </c>
      <c r="J284" s="2">
        <f t="shared" si="85"/>
        <v>817929</v>
      </c>
      <c r="K284" s="2">
        <f t="shared" si="86"/>
        <v>1189235</v>
      </c>
      <c r="L284" s="2">
        <f t="shared" si="87"/>
        <v>890643</v>
      </c>
      <c r="M284" s="2">
        <f t="shared" si="88"/>
        <v>1077425</v>
      </c>
      <c r="N284" s="2">
        <f t="shared" si="89"/>
        <v>1131986</v>
      </c>
      <c r="O284" s="2">
        <f t="shared" si="90"/>
        <v>1068905</v>
      </c>
      <c r="P284" s="2">
        <f t="shared" si="91"/>
        <v>1042407</v>
      </c>
      <c r="Q284" s="2">
        <f t="shared" si="92"/>
        <v>1014290</v>
      </c>
      <c r="R284" s="2">
        <f t="shared" si="93"/>
        <v>1233386</v>
      </c>
      <c r="S284" s="2">
        <f t="shared" si="94"/>
        <v>1026301</v>
      </c>
      <c r="T284" s="2" t="e">
        <f t="shared" si="103"/>
        <v>#N/A</v>
      </c>
      <c r="U284" s="2" t="e">
        <f t="shared" si="96"/>
        <v>#N/A</v>
      </c>
      <c r="V284" s="2" t="e">
        <f t="shared" si="97"/>
        <v>#N/A</v>
      </c>
      <c r="W284" s="2" t="e">
        <f t="shared" si="98"/>
        <v>#N/A</v>
      </c>
      <c r="X284" s="2" t="e">
        <f t="shared" si="99"/>
        <v>#N/A</v>
      </c>
      <c r="Y284" s="2" t="e">
        <f t="shared" si="100"/>
        <v>#N/A</v>
      </c>
      <c r="Z284" s="0">
        <f t="shared" ca="1" si="102"/>
        <v>1077057.8</v>
      </c>
      <c r="AA284" s="0">
        <f t="shared" ca="1" si="101"/>
        <v>1049250.7</v>
      </c>
      <c r="AB284" cm="1" s="0">
        <f t="array" ref="AB284">MAX(IF(ISNUMBER(J284:Y284),J284:Y284))</f>
        <v>1233386</v>
      </c>
      <c r="AC284" cm="1" s="0">
        <f t="array" ref="AC284">MIN(IF(ISNUMBER(J284:Y284),J284:Y284))</f>
        <v>817929</v>
      </c>
      <c r="AD284" s="0">
        <f t="shared" si="95"/>
        <v>415457</v>
      </c>
    </row>
    <row r="285" spans="1:30" x14ac:dyDescent="0.2">
      <c r="A285" t="s" s="0">
        <v>3712</v>
      </c>
      <c r="B285" s="2">
        <v>968857</v>
      </c>
      <c r="C285" s="2">
        <v>43517</v>
      </c>
      <c r="D285" s="2">
        <v>41726</v>
      </c>
      <c r="E285" s="2">
        <v>38548</v>
      </c>
      <c r="F285" s="2">
        <v>51461</v>
      </c>
      <c r="G285" s="2">
        <v>42327</v>
      </c>
      <c r="I285" t="str" s="0">
        <f t="shared" si="84"/>
        <v>10/09</v>
      </c>
      <c r="J285" s="2">
        <f t="shared" si="85"/>
        <v>817929</v>
      </c>
      <c r="K285" s="2">
        <f t="shared" si="86"/>
        <v>1128953</v>
      </c>
      <c r="L285" s="2">
        <f t="shared" si="87"/>
        <v>1014245</v>
      </c>
      <c r="M285" s="2">
        <f t="shared" si="88"/>
        <v>1051979</v>
      </c>
      <c r="N285" s="2">
        <f t="shared" si="89"/>
        <v>1180032</v>
      </c>
      <c r="O285" s="2">
        <f t="shared" si="90"/>
        <v>1068905</v>
      </c>
      <c r="P285" s="2">
        <f t="shared" si="91"/>
        <v>1042407</v>
      </c>
      <c r="Q285" s="2">
        <f t="shared" si="92"/>
        <v>1000343</v>
      </c>
      <c r="R285" s="2">
        <f t="shared" si="93"/>
        <v>1248234</v>
      </c>
      <c r="S285" s="2">
        <f t="shared" si="94"/>
        <v>1019132</v>
      </c>
      <c r="T285" s="2" t="e">
        <f t="shared" si="103"/>
        <v>#N/A</v>
      </c>
      <c r="U285" s="2" t="e">
        <f t="shared" si="96"/>
        <v>#N/A</v>
      </c>
      <c r="V285" s="2" t="e">
        <f t="shared" si="97"/>
        <v>#N/A</v>
      </c>
      <c r="W285" s="2" t="e">
        <f t="shared" si="98"/>
        <v>#N/A</v>
      </c>
      <c r="X285" s="2" t="e">
        <f t="shared" si="99"/>
        <v>#N/A</v>
      </c>
      <c r="Y285" s="2" t="e">
        <f t="shared" si="100"/>
        <v>#N/A</v>
      </c>
      <c r="Z285" s="0">
        <f t="shared" ca="1" si="102"/>
        <v>1075804.2</v>
      </c>
      <c r="AA285" s="0">
        <f t="shared" ca="1" si="101"/>
        <v>1057215.8999999999</v>
      </c>
      <c r="AB285" cm="1" s="0">
        <f t="array" ref="AB285">MAX(IF(ISNUMBER(J285:Y285),J285:Y285))</f>
        <v>1248234</v>
      </c>
      <c r="AC285" cm="1" s="0">
        <f t="array" ref="AC285">MIN(IF(ISNUMBER(J285:Y285),J285:Y285))</f>
        <v>817929</v>
      </c>
      <c r="AD285" s="0">
        <f t="shared" si="95"/>
        <v>430305</v>
      </c>
    </row>
    <row r="286" spans="1:30" x14ac:dyDescent="0.2">
      <c r="A286" t="s" s="0">
        <v>3711</v>
      </c>
      <c r="B286" s="3">
        <v>968857</v>
      </c>
      <c r="C286" s="3">
        <v>43517</v>
      </c>
      <c r="D286" s="3">
        <v>41726</v>
      </c>
      <c r="E286" s="3">
        <v>38548</v>
      </c>
      <c r="F286" s="3">
        <v>51461</v>
      </c>
      <c r="G286" s="3">
        <v>42327</v>
      </c>
      <c r="I286" t="str" s="0">
        <f t="shared" si="84"/>
        <v>10/10</v>
      </c>
      <c r="J286" s="2">
        <f t="shared" si="85"/>
        <v>817929</v>
      </c>
      <c r="K286" s="2">
        <f t="shared" si="86"/>
        <v>1084084</v>
      </c>
      <c r="L286" s="2">
        <f t="shared" si="87"/>
        <v>1058707</v>
      </c>
      <c r="M286" s="2">
        <f t="shared" si="88"/>
        <v>1041050</v>
      </c>
      <c r="N286" s="2">
        <f t="shared" si="89"/>
        <v>1139224</v>
      </c>
      <c r="O286" s="2">
        <f t="shared" si="90"/>
        <v>1068905</v>
      </c>
      <c r="P286" s="2">
        <f t="shared" si="91"/>
        <v>1107552</v>
      </c>
      <c r="Q286" s="2">
        <f t="shared" si="92"/>
        <v>1039988</v>
      </c>
      <c r="R286" s="2">
        <f t="shared" si="93"/>
        <v>1188284</v>
      </c>
      <c r="S286" s="2">
        <f t="shared" si="94"/>
        <v>1029573</v>
      </c>
      <c r="T286" s="2" t="e">
        <f t="shared" si="103"/>
        <v>#N/A</v>
      </c>
      <c r="U286" s="2" t="e">
        <f t="shared" si="96"/>
        <v>#N/A</v>
      </c>
      <c r="V286" s="2" t="e">
        <f t="shared" si="97"/>
        <v>#N/A</v>
      </c>
      <c r="W286" s="2" t="e">
        <f t="shared" si="98"/>
        <v>#N/A</v>
      </c>
      <c r="X286" s="2" t="e">
        <f t="shared" si="99"/>
        <v>#N/A</v>
      </c>
      <c r="Y286" s="2" t="e">
        <f t="shared" si="100"/>
        <v>#N/A</v>
      </c>
      <c r="Z286" s="0">
        <f t="shared" ca="1" si="102"/>
        <v>1086860.3999999999</v>
      </c>
      <c r="AA286" s="0">
        <f t="shared" ca="1" si="101"/>
        <v>1057529.6000000001</v>
      </c>
      <c r="AB286" cm="1" s="0">
        <f t="array" ref="AB286">MAX(IF(ISNUMBER(J286:Y286),J286:Y286))</f>
        <v>1188284</v>
      </c>
      <c r="AC286" cm="1" s="0">
        <f t="array" ref="AC286">MIN(IF(ISNUMBER(J286:Y286),J286:Y286))</f>
        <v>817929</v>
      </c>
      <c r="AD286" s="0">
        <f t="shared" si="95"/>
        <v>370355</v>
      </c>
    </row>
    <row r="287" spans="1:30" x14ac:dyDescent="0.2">
      <c r="A287" t="s" s="0">
        <v>3710</v>
      </c>
      <c r="B287" s="3">
        <v>968857</v>
      </c>
      <c r="C287" s="3">
        <v>43517</v>
      </c>
      <c r="D287" s="3">
        <v>41726</v>
      </c>
      <c r="E287" s="3">
        <v>38548</v>
      </c>
      <c r="F287" s="3">
        <v>51461</v>
      </c>
      <c r="G287" s="3">
        <v>42327</v>
      </c>
      <c r="I287" t="str" s="0">
        <f t="shared" si="84"/>
        <v>10/11</v>
      </c>
      <c r="J287" s="2">
        <f t="shared" si="85"/>
        <v>814968</v>
      </c>
      <c r="K287" s="2">
        <f t="shared" si="86"/>
        <v>1036134</v>
      </c>
      <c r="L287" s="2">
        <f t="shared" si="87"/>
        <v>1070724</v>
      </c>
      <c r="M287" s="2">
        <f t="shared" si="88"/>
        <v>1003414</v>
      </c>
      <c r="N287" s="2">
        <f t="shared" si="89"/>
        <v>1139224</v>
      </c>
      <c r="O287" s="2">
        <f t="shared" si="90"/>
        <v>1060792</v>
      </c>
      <c r="P287" s="2">
        <f t="shared" si="91"/>
        <v>1110849</v>
      </c>
      <c r="Q287" s="2">
        <f t="shared" si="92"/>
        <v>999731</v>
      </c>
      <c r="R287" s="2">
        <f t="shared" si="93"/>
        <v>1200124</v>
      </c>
      <c r="S287" s="2">
        <f t="shared" si="94"/>
        <v>1029573</v>
      </c>
      <c r="T287" s="2" t="e">
        <f t="shared" si="103"/>
        <v>#N/A</v>
      </c>
      <c r="U287" s="2" t="e">
        <f t="shared" si="96"/>
        <v>#N/A</v>
      </c>
      <c r="V287" s="2" t="e">
        <f t="shared" si="97"/>
        <v>#N/A</v>
      </c>
      <c r="W287" s="2" t="e">
        <f t="shared" si="98"/>
        <v>#N/A</v>
      </c>
      <c r="X287" s="2" t="e">
        <f t="shared" si="99"/>
        <v>#N/A</v>
      </c>
      <c r="Y287" s="2" t="e">
        <f t="shared" si="100"/>
        <v>#N/A</v>
      </c>
      <c r="Z287" s="0">
        <f t="shared" ca="1" si="102"/>
        <v>1080213.8</v>
      </c>
      <c r="AA287" s="0">
        <f t="shared" ca="1" si="101"/>
        <v>1046553.3</v>
      </c>
      <c r="AB287" cm="1" s="0">
        <f t="array" ref="AB287">MAX(IF(ISNUMBER(J287:Y287),J287:Y287))</f>
        <v>1200124</v>
      </c>
      <c r="AC287" cm="1" s="0">
        <f t="array" ref="AC287">MIN(IF(ISNUMBER(J287:Y287),J287:Y287))</f>
        <v>814968</v>
      </c>
      <c r="AD287" s="0">
        <f t="shared" si="95"/>
        <v>385156</v>
      </c>
    </row>
    <row r="288" spans="1:30" x14ac:dyDescent="0.2">
      <c r="A288" t="s" s="0">
        <v>3709</v>
      </c>
      <c r="B288" s="2">
        <v>925239</v>
      </c>
      <c r="C288" s="2">
        <v>24164</v>
      </c>
      <c r="D288" s="2">
        <v>41173</v>
      </c>
      <c r="E288" s="2">
        <v>39163</v>
      </c>
      <c r="F288" s="2">
        <v>36490</v>
      </c>
      <c r="G288" s="2">
        <v>43402</v>
      </c>
      <c r="I288" t="str" s="0">
        <f t="shared" si="84"/>
        <v>10/12</v>
      </c>
      <c r="J288" s="2">
        <f t="shared" si="85"/>
        <v>894698</v>
      </c>
      <c r="K288" s="2">
        <f t="shared" si="86"/>
        <v>995237</v>
      </c>
      <c r="L288" s="2">
        <f t="shared" si="87"/>
        <v>1092295</v>
      </c>
      <c r="M288" s="2">
        <f t="shared" si="88"/>
        <v>1003414</v>
      </c>
      <c r="N288" s="2">
        <f t="shared" si="89"/>
        <v>1139224</v>
      </c>
      <c r="O288" s="2">
        <f t="shared" si="90"/>
        <v>1076408</v>
      </c>
      <c r="P288" s="2">
        <f t="shared" si="91"/>
        <v>1111324</v>
      </c>
      <c r="Q288" s="2">
        <f t="shared" si="92"/>
        <v>925535</v>
      </c>
      <c r="R288" s="2">
        <f t="shared" si="93"/>
        <v>1228684</v>
      </c>
      <c r="S288" s="2">
        <f t="shared" si="94"/>
        <v>1029573</v>
      </c>
      <c r="T288" s="2" t="e">
        <f t="shared" si="103"/>
        <v>#N/A</v>
      </c>
      <c r="U288" s="2" t="e">
        <f t="shared" si="96"/>
        <v>#N/A</v>
      </c>
      <c r="V288" s="2" t="e">
        <f t="shared" si="97"/>
        <v>#N/A</v>
      </c>
      <c r="W288" s="2" t="e">
        <f t="shared" si="98"/>
        <v>#N/A</v>
      </c>
      <c r="X288" s="2" t="e">
        <f t="shared" si="99"/>
        <v>#N/A</v>
      </c>
      <c r="Y288" s="2" t="e">
        <f t="shared" si="100"/>
        <v>#N/A</v>
      </c>
      <c r="Z288" s="0">
        <f t="shared" ca="1" si="102"/>
        <v>1074304.8</v>
      </c>
      <c r="AA288" s="0">
        <f t="shared" ca="1" si="101"/>
        <v>1049639.2</v>
      </c>
      <c r="AB288" cm="1" s="0">
        <f t="array" ref="AB288">MAX(IF(ISNUMBER(J288:Y288),J288:Y288))</f>
        <v>1228684</v>
      </c>
      <c r="AC288" cm="1" s="0">
        <f t="array" ref="AC288">MIN(IF(ISNUMBER(J288:Y288),J288:Y288))</f>
        <v>894698</v>
      </c>
      <c r="AD288" s="0">
        <f t="shared" si="95"/>
        <v>333986</v>
      </c>
    </row>
    <row r="289" spans="1:30" x14ac:dyDescent="0.2">
      <c r="A289" t="s" s="0">
        <v>3708</v>
      </c>
      <c r="B289" s="2">
        <v>957662</v>
      </c>
      <c r="C289" s="2">
        <v>42368</v>
      </c>
      <c r="D289" s="2">
        <v>42521</v>
      </c>
      <c r="E289" s="2">
        <v>39495</v>
      </c>
      <c r="F289" s="2">
        <v>44219</v>
      </c>
      <c r="G289" s="2">
        <v>39111</v>
      </c>
      <c r="I289" t="str" s="0">
        <f t="shared" si="84"/>
        <v>10/13</v>
      </c>
      <c r="J289" s="2">
        <f t="shared" si="85"/>
        <v>854248</v>
      </c>
      <c r="K289" s="2">
        <f t="shared" si="86"/>
        <v>961490</v>
      </c>
      <c r="L289" s="2">
        <f t="shared" si="87"/>
        <v>1092295</v>
      </c>
      <c r="M289" s="2">
        <f t="shared" si="88"/>
        <v>1003414</v>
      </c>
      <c r="N289" s="2">
        <f t="shared" si="89"/>
        <v>1201201</v>
      </c>
      <c r="O289" s="2">
        <f t="shared" si="90"/>
        <v>1105481</v>
      </c>
      <c r="P289" s="2">
        <f t="shared" si="91"/>
        <v>1115812</v>
      </c>
      <c r="Q289" s="2">
        <f t="shared" si="92"/>
        <v>1023679</v>
      </c>
      <c r="R289" s="2">
        <f t="shared" si="93"/>
        <v>1228684</v>
      </c>
      <c r="S289" s="2">
        <f t="shared" si="94"/>
        <v>1036143</v>
      </c>
      <c r="T289" s="2" t="e">
        <f t="shared" si="103"/>
        <v>#N/A</v>
      </c>
      <c r="U289" s="2" t="e">
        <f t="shared" si="96"/>
        <v>#N/A</v>
      </c>
      <c r="V289" s="2" t="e">
        <f t="shared" si="97"/>
        <v>#N/A</v>
      </c>
      <c r="W289" s="2" t="e">
        <f t="shared" si="98"/>
        <v>#N/A</v>
      </c>
      <c r="X289" s="2" t="e">
        <f t="shared" si="99"/>
        <v>#N/A</v>
      </c>
      <c r="Y289" s="2" t="e">
        <f t="shared" si="100"/>
        <v>#N/A</v>
      </c>
      <c r="Z289" s="0">
        <f t="shared" ca="1" si="102"/>
        <v>1101959.8</v>
      </c>
      <c r="AA289" s="0">
        <f t="shared" ca="1" si="101"/>
        <v>1062244.7</v>
      </c>
      <c r="AB289" cm="1" s="0">
        <f t="array" ref="AB289">MAX(IF(ISNUMBER(J289:Y289),J289:Y289))</f>
        <v>1228684</v>
      </c>
      <c r="AC289" cm="1" s="0">
        <f t="array" ref="AC289">MIN(IF(ISNUMBER(J289:Y289),J289:Y289))</f>
        <v>854248</v>
      </c>
      <c r="AD289" s="0">
        <f t="shared" si="95"/>
        <v>374436</v>
      </c>
    </row>
    <row r="290" spans="1:30" x14ac:dyDescent="0.2">
      <c r="A290" t="s" s="0">
        <v>3707</v>
      </c>
      <c r="B290" s="2">
        <v>901744</v>
      </c>
      <c r="C290" s="2">
        <v>44535</v>
      </c>
      <c r="D290" s="2">
        <v>42658</v>
      </c>
      <c r="E290" s="2">
        <v>40061</v>
      </c>
      <c r="F290" s="2">
        <v>31323</v>
      </c>
      <c r="G290" s="2">
        <v>38386</v>
      </c>
      <c r="I290" t="str" s="0">
        <f t="shared" si="84"/>
        <v>10/14</v>
      </c>
      <c r="J290" s="2">
        <f t="shared" si="85"/>
        <v>924313</v>
      </c>
      <c r="K290" s="2">
        <f t="shared" si="86"/>
        <v>961490</v>
      </c>
      <c r="L290" s="2">
        <f t="shared" si="87"/>
        <v>1092295</v>
      </c>
      <c r="M290" s="2">
        <f t="shared" si="88"/>
        <v>926012</v>
      </c>
      <c r="N290" s="2">
        <f t="shared" si="89"/>
        <v>1169164</v>
      </c>
      <c r="O290" s="2">
        <f t="shared" si="90"/>
        <v>1048131</v>
      </c>
      <c r="P290" s="2">
        <f t="shared" si="91"/>
        <v>1222440</v>
      </c>
      <c r="Q290" s="2">
        <f t="shared" si="92"/>
        <v>1023679</v>
      </c>
      <c r="R290" s="2">
        <f t="shared" si="93"/>
        <v>1228684</v>
      </c>
      <c r="S290" s="2">
        <f t="shared" si="94"/>
        <v>1068840</v>
      </c>
      <c r="T290" s="2" t="e">
        <f t="shared" si="103"/>
        <v>#N/A</v>
      </c>
      <c r="U290" s="2" t="e">
        <f t="shared" si="96"/>
        <v>#N/A</v>
      </c>
      <c r="V290" s="2" t="e">
        <f t="shared" si="97"/>
        <v>#N/A</v>
      </c>
      <c r="W290" s="2" t="e">
        <f t="shared" si="98"/>
        <v>#N/A</v>
      </c>
      <c r="X290" s="2" t="e">
        <f t="shared" si="99"/>
        <v>#N/A</v>
      </c>
      <c r="Y290" s="2" t="e">
        <f t="shared" si="100"/>
        <v>#N/A</v>
      </c>
      <c r="Z290" s="0">
        <f t="shared" ca="1" si="102"/>
        <v>1118354.8</v>
      </c>
      <c r="AA290" s="0">
        <f t="shared" ca="1" si="101"/>
        <v>1066504.8</v>
      </c>
      <c r="AB290" cm="1" s="0">
        <f t="array" ref="AB290">MAX(IF(ISNUMBER(J290:Y290),J290:Y290))</f>
        <v>1228684</v>
      </c>
      <c r="AC290" cm="1" s="0">
        <f t="array" ref="AC290">MIN(IF(ISNUMBER(J290:Y290),J290:Y290))</f>
        <v>924313</v>
      </c>
      <c r="AD290" s="0">
        <f t="shared" si="95"/>
        <v>304371</v>
      </c>
    </row>
    <row r="291" spans="1:30" x14ac:dyDescent="0.2">
      <c r="A291" t="s" s="0">
        <v>3706</v>
      </c>
      <c r="B291" s="2">
        <v>872410</v>
      </c>
      <c r="C291" s="2">
        <v>42308</v>
      </c>
      <c r="D291" s="2">
        <v>45574</v>
      </c>
      <c r="E291" s="2">
        <v>40737</v>
      </c>
      <c r="F291" s="2">
        <v>35330</v>
      </c>
      <c r="G291" s="2">
        <v>37600</v>
      </c>
      <c r="I291" t="str" s="0">
        <f t="shared" si="84"/>
        <v>10/15</v>
      </c>
      <c r="J291" s="2">
        <f t="shared" si="85"/>
        <v>914967</v>
      </c>
      <c r="K291" s="2">
        <f t="shared" si="86"/>
        <v>961490</v>
      </c>
      <c r="L291" s="2">
        <f t="shared" si="87"/>
        <v>1111044</v>
      </c>
      <c r="M291" s="2">
        <f t="shared" si="88"/>
        <v>908322</v>
      </c>
      <c r="N291" s="2">
        <f t="shared" si="89"/>
        <v>1183440</v>
      </c>
      <c r="O291" s="2">
        <f t="shared" si="90"/>
        <v>1020975</v>
      </c>
      <c r="P291" s="2">
        <f t="shared" si="91"/>
        <v>1222440</v>
      </c>
      <c r="Q291" s="2">
        <f t="shared" si="92"/>
        <v>1023679</v>
      </c>
      <c r="R291" s="2">
        <f t="shared" si="93"/>
        <v>1208871</v>
      </c>
      <c r="S291" s="2">
        <f t="shared" si="94"/>
        <v>1029058</v>
      </c>
      <c r="T291" s="2" t="e">
        <f t="shared" si="103"/>
        <v>#N/A</v>
      </c>
      <c r="U291" s="2" t="e">
        <f t="shared" si="96"/>
        <v>#N/A</v>
      </c>
      <c r="V291" s="2" t="e">
        <f t="shared" si="97"/>
        <v>#N/A</v>
      </c>
      <c r="W291" s="2" t="e">
        <f t="shared" si="98"/>
        <v>#N/A</v>
      </c>
      <c r="X291" s="2" t="e">
        <f t="shared" si="99"/>
        <v>#N/A</v>
      </c>
      <c r="Y291" s="2" t="e">
        <f t="shared" si="100"/>
        <v>#N/A</v>
      </c>
      <c r="Z291" s="0">
        <f t="shared" ca="1" si="102"/>
        <v>1101004.6000000001</v>
      </c>
      <c r="AA291" s="0">
        <f t="shared" ca="1" si="101"/>
        <v>1058428.6000000001</v>
      </c>
      <c r="AB291" cm="1" s="0">
        <f t="array" ref="AB291">MAX(IF(ISNUMBER(J291:Y291),J291:Y291))</f>
        <v>1222440</v>
      </c>
      <c r="AC291" cm="1" s="0">
        <f t="array" ref="AC291">MIN(IF(ISNUMBER(J291:Y291),J291:Y291))</f>
        <v>908322</v>
      </c>
      <c r="AD291" s="0">
        <f t="shared" si="95"/>
        <v>314118</v>
      </c>
    </row>
    <row r="292" spans="1:30" x14ac:dyDescent="0.2">
      <c r="A292" t="s" s="0">
        <v>3705</v>
      </c>
      <c r="B292" s="2">
        <v>839306</v>
      </c>
      <c r="C292" s="2">
        <v>35496</v>
      </c>
      <c r="D292" s="2">
        <v>45052</v>
      </c>
      <c r="E292" s="2">
        <v>40950</v>
      </c>
      <c r="F292" s="2">
        <v>25399</v>
      </c>
      <c r="G292" s="2">
        <v>36726</v>
      </c>
      <c r="I292" t="str" s="0">
        <f t="shared" si="84"/>
        <v>10/16</v>
      </c>
      <c r="J292" s="2">
        <f t="shared" si="85"/>
        <v>914967</v>
      </c>
      <c r="K292" s="2">
        <f t="shared" si="86"/>
        <v>938246</v>
      </c>
      <c r="L292" s="2">
        <f t="shared" si="87"/>
        <v>1104355</v>
      </c>
      <c r="M292" s="2">
        <f t="shared" si="88"/>
        <v>877541</v>
      </c>
      <c r="N292" s="2">
        <f t="shared" si="89"/>
        <v>1180172</v>
      </c>
      <c r="O292" s="2">
        <f t="shared" si="90"/>
        <v>1020975</v>
      </c>
      <c r="P292" s="2">
        <f t="shared" si="91"/>
        <v>1222440</v>
      </c>
      <c r="Q292" s="2">
        <f t="shared" si="92"/>
        <v>1019997</v>
      </c>
      <c r="R292" s="2">
        <f t="shared" si="93"/>
        <v>1178438</v>
      </c>
      <c r="S292" s="2">
        <f t="shared" si="94"/>
        <v>1044592</v>
      </c>
      <c r="T292" s="2" t="e">
        <f t="shared" si="103"/>
        <v>#N/A</v>
      </c>
      <c r="U292" s="2" t="e">
        <f t="shared" si="96"/>
        <v>#N/A</v>
      </c>
      <c r="V292" s="2" t="e">
        <f t="shared" si="97"/>
        <v>#N/A</v>
      </c>
      <c r="W292" s="2" t="e">
        <f t="shared" si="98"/>
        <v>#N/A</v>
      </c>
      <c r="X292" s="2" t="e">
        <f t="shared" si="99"/>
        <v>#N/A</v>
      </c>
      <c r="Y292" s="2" t="e">
        <f t="shared" si="100"/>
        <v>#N/A</v>
      </c>
      <c r="Z292" s="0">
        <f t="shared" ca="1" si="102"/>
        <v>1097288.3999999999</v>
      </c>
      <c r="AA292" s="0">
        <f t="shared" ca="1" si="101"/>
        <v>1050172.3</v>
      </c>
      <c r="AB292" cm="1" s="0">
        <f t="array" ref="AB292">MAX(IF(ISNUMBER(J292:Y292),J292:Y292))</f>
        <v>1222440</v>
      </c>
      <c r="AC292" cm="1" s="0">
        <f t="array" ref="AC292">MIN(IF(ISNUMBER(J292:Y292),J292:Y292))</f>
        <v>877541</v>
      </c>
      <c r="AD292" s="0">
        <f t="shared" si="95"/>
        <v>344899</v>
      </c>
    </row>
    <row r="293" spans="1:30" x14ac:dyDescent="0.2">
      <c r="A293" t="s" s="0">
        <v>3704</v>
      </c>
      <c r="B293" s="3">
        <v>839306</v>
      </c>
      <c r="C293" s="3">
        <v>35496</v>
      </c>
      <c r="D293" s="3">
        <v>45052</v>
      </c>
      <c r="E293" s="3">
        <v>40950</v>
      </c>
      <c r="F293" s="3">
        <v>25399</v>
      </c>
      <c r="G293" s="3">
        <v>36726</v>
      </c>
      <c r="I293" t="str" s="0">
        <f t="shared" si="84"/>
        <v>10/17</v>
      </c>
      <c r="J293" s="2">
        <f t="shared" si="85"/>
        <v>914967</v>
      </c>
      <c r="K293" s="2">
        <f t="shared" si="86"/>
        <v>1050012</v>
      </c>
      <c r="L293" s="2">
        <f t="shared" si="87"/>
        <v>1069913</v>
      </c>
      <c r="M293" s="2">
        <f t="shared" si="88"/>
        <v>935588</v>
      </c>
      <c r="N293" s="2">
        <f t="shared" si="89"/>
        <v>1142584</v>
      </c>
      <c r="O293" s="2">
        <f t="shared" si="90"/>
        <v>1020975</v>
      </c>
      <c r="P293" s="2">
        <f t="shared" si="91"/>
        <v>1166343</v>
      </c>
      <c r="Q293" s="2">
        <f t="shared" si="92"/>
        <v>997965</v>
      </c>
      <c r="R293" s="2">
        <f t="shared" si="93"/>
        <v>1176697</v>
      </c>
      <c r="S293" s="2">
        <f t="shared" si="94"/>
        <v>1150326</v>
      </c>
      <c r="T293" s="2" t="e">
        <f t="shared" si="103"/>
        <v>#N/A</v>
      </c>
      <c r="U293" s="2" t="e">
        <f t="shared" si="96"/>
        <v>#N/A</v>
      </c>
      <c r="V293" s="2" t="e">
        <f t="shared" si="97"/>
        <v>#N/A</v>
      </c>
      <c r="W293" s="2" t="e">
        <f t="shared" si="98"/>
        <v>#N/A</v>
      </c>
      <c r="X293" s="2" t="e">
        <f t="shared" si="99"/>
        <v>#N/A</v>
      </c>
      <c r="Y293" s="2" t="e">
        <f t="shared" si="100"/>
        <v>#N/A</v>
      </c>
      <c r="Z293" s="0">
        <f t="shared" ca="1" si="102"/>
        <v>1102461.2</v>
      </c>
      <c r="AA293" s="0">
        <f t="shared" ca="1" si="101"/>
        <v>1062537</v>
      </c>
      <c r="AB293" cm="1" s="0">
        <f t="array" ref="AB293">MAX(IF(ISNUMBER(J293:Y293),J293:Y293))</f>
        <v>1176697</v>
      </c>
      <c r="AC293" cm="1" s="0">
        <f t="array" ref="AC293">MIN(IF(ISNUMBER(J293:Y293),J293:Y293))</f>
        <v>914967</v>
      </c>
      <c r="AD293" s="0">
        <f t="shared" si="95"/>
        <v>261730</v>
      </c>
    </row>
    <row r="294" spans="1:30" x14ac:dyDescent="0.2">
      <c r="A294" t="s" s="0">
        <v>3703</v>
      </c>
      <c r="B294" s="3">
        <v>839306</v>
      </c>
      <c r="C294" s="3">
        <v>35496</v>
      </c>
      <c r="D294" s="3">
        <v>45052</v>
      </c>
      <c r="E294" s="3">
        <v>40950</v>
      </c>
      <c r="F294" s="3">
        <v>25399</v>
      </c>
      <c r="G294" s="3">
        <v>36726</v>
      </c>
      <c r="I294" t="str" s="0">
        <f t="shared" si="84"/>
        <v>10/18</v>
      </c>
      <c r="J294" s="2">
        <f t="shared" si="85"/>
        <v>894383</v>
      </c>
      <c r="K294" s="2">
        <f t="shared" si="86"/>
        <v>1002861</v>
      </c>
      <c r="L294" s="2">
        <f t="shared" si="87"/>
        <v>1057971</v>
      </c>
      <c r="M294" s="2">
        <f t="shared" si="88"/>
        <v>904289</v>
      </c>
      <c r="N294" s="2">
        <f t="shared" si="89"/>
        <v>1142584</v>
      </c>
      <c r="O294" s="2">
        <f t="shared" si="90"/>
        <v>1065537</v>
      </c>
      <c r="P294" s="2">
        <f t="shared" si="91"/>
        <v>1120706</v>
      </c>
      <c r="Q294" s="2">
        <f t="shared" si="92"/>
        <v>1027883</v>
      </c>
      <c r="R294" s="2">
        <f t="shared" si="93"/>
        <v>1196487</v>
      </c>
      <c r="S294" s="2">
        <f t="shared" si="94"/>
        <v>1150326</v>
      </c>
      <c r="T294" s="2" t="e">
        <f t="shared" si="103"/>
        <v>#N/A</v>
      </c>
      <c r="U294" s="2" t="e">
        <f t="shared" si="96"/>
        <v>#N/A</v>
      </c>
      <c r="V294" s="2" t="e">
        <f t="shared" si="97"/>
        <v>#N/A</v>
      </c>
      <c r="W294" s="2" t="e">
        <f t="shared" si="98"/>
        <v>#N/A</v>
      </c>
      <c r="X294" s="2" t="e">
        <f t="shared" si="99"/>
        <v>#N/A</v>
      </c>
      <c r="Y294" s="2" t="e">
        <f t="shared" si="100"/>
        <v>#N/A</v>
      </c>
      <c r="Z294" s="0">
        <f t="shared" ca="1" si="102"/>
        <v>1112187.8</v>
      </c>
      <c r="AA294" s="0">
        <f t="shared" ca="1" si="101"/>
        <v>1056302.7</v>
      </c>
      <c r="AB294" cm="1" s="0">
        <f t="array" ref="AB294">MAX(IF(ISNUMBER(J294:Y294),J294:Y294))</f>
        <v>1196487</v>
      </c>
      <c r="AC294" cm="1" s="0">
        <f t="array" ref="AC294">MIN(IF(ISNUMBER(J294:Y294),J294:Y294))</f>
        <v>894383</v>
      </c>
      <c r="AD294" s="0">
        <f t="shared" si="95"/>
        <v>302104</v>
      </c>
    </row>
    <row r="295" spans="1:30" x14ac:dyDescent="0.2">
      <c r="A295" t="s" s="0">
        <v>3702</v>
      </c>
      <c r="B295" s="2">
        <v>788587</v>
      </c>
      <c r="C295" s="2">
        <v>21482</v>
      </c>
      <c r="D295" s="2">
        <v>45340</v>
      </c>
      <c r="E295" s="2">
        <v>40943</v>
      </c>
      <c r="F295" s="2">
        <v>24673</v>
      </c>
      <c r="G295" s="2">
        <v>32440</v>
      </c>
      <c r="I295" t="str" s="0">
        <f t="shared" si="84"/>
        <v>10/19</v>
      </c>
      <c r="J295" s="2">
        <f t="shared" si="85"/>
        <v>1088612</v>
      </c>
      <c r="K295" s="2">
        <f t="shared" si="86"/>
        <v>1031261</v>
      </c>
      <c r="L295" s="2">
        <f t="shared" si="87"/>
        <v>1093291</v>
      </c>
      <c r="M295" s="2">
        <f t="shared" si="88"/>
        <v>904289</v>
      </c>
      <c r="N295" s="2">
        <f t="shared" si="89"/>
        <v>1142584</v>
      </c>
      <c r="O295" s="2">
        <f t="shared" si="90"/>
        <v>1106317</v>
      </c>
      <c r="P295" s="2">
        <f t="shared" si="91"/>
        <v>1117666</v>
      </c>
      <c r="Q295" s="2">
        <f t="shared" si="92"/>
        <v>1041897</v>
      </c>
      <c r="R295" s="2">
        <f t="shared" si="93"/>
        <v>1153115</v>
      </c>
      <c r="S295" s="2">
        <f t="shared" si="94"/>
        <v>1150326</v>
      </c>
      <c r="T295" s="2" t="e">
        <f t="shared" si="103"/>
        <v>#N/A</v>
      </c>
      <c r="U295" s="2" t="e">
        <f t="shared" si="96"/>
        <v>#N/A</v>
      </c>
      <c r="V295" s="2" t="e">
        <f t="shared" si="97"/>
        <v>#N/A</v>
      </c>
      <c r="W295" s="2" t="e">
        <f t="shared" si="98"/>
        <v>#N/A</v>
      </c>
      <c r="X295" s="2" t="e">
        <f t="shared" si="99"/>
        <v>#N/A</v>
      </c>
      <c r="Y295" s="2" t="e">
        <f t="shared" si="100"/>
        <v>#N/A</v>
      </c>
      <c r="Z295" s="0">
        <f t="shared" ca="1" si="102"/>
        <v>1113864.2</v>
      </c>
      <c r="AA295" s="0">
        <f t="shared" ca="1" si="101"/>
        <v>1082935.8</v>
      </c>
      <c r="AB295" cm="1" s="0">
        <f t="array" ref="AB295">MAX(IF(ISNUMBER(J295:Y295),J295:Y295))</f>
        <v>1153115</v>
      </c>
      <c r="AC295" cm="1" s="0">
        <f t="array" ref="AC295">MIN(IF(ISNUMBER(J295:Y295),J295:Y295))</f>
        <v>904289</v>
      </c>
      <c r="AD295" s="0">
        <f t="shared" si="95"/>
        <v>248826</v>
      </c>
    </row>
    <row r="296" spans="1:30" x14ac:dyDescent="0.2">
      <c r="A296" t="s" s="0">
        <v>3701</v>
      </c>
      <c r="B296" s="2">
        <v>846740</v>
      </c>
      <c r="C296" s="2">
        <v>41612</v>
      </c>
      <c r="D296" s="2">
        <v>43800</v>
      </c>
      <c r="E296" s="2">
        <v>41327</v>
      </c>
      <c r="F296" s="2">
        <v>26808</v>
      </c>
      <c r="G296" s="2">
        <v>35290</v>
      </c>
      <c r="I296" t="str" s="0">
        <f t="shared" si="84"/>
        <v>10/20</v>
      </c>
      <c r="J296" s="2">
        <f t="shared" si="85"/>
        <v>1044829</v>
      </c>
      <c r="K296" s="2">
        <f t="shared" si="86"/>
        <v>987678</v>
      </c>
      <c r="L296" s="2">
        <f t="shared" si="87"/>
        <v>1093291</v>
      </c>
      <c r="M296" s="2">
        <f t="shared" si="88"/>
        <v>904289</v>
      </c>
      <c r="N296" s="2">
        <f t="shared" si="89"/>
        <v>1280585</v>
      </c>
      <c r="O296" s="2">
        <f t="shared" si="90"/>
        <v>1118575</v>
      </c>
      <c r="P296" s="2">
        <f t="shared" si="91"/>
        <v>1125404</v>
      </c>
      <c r="Q296" s="2">
        <f t="shared" si="92"/>
        <v>1003463</v>
      </c>
      <c r="R296" s="2">
        <f t="shared" si="93"/>
        <v>1153115</v>
      </c>
      <c r="S296" s="2">
        <f t="shared" si="94"/>
        <v>1130275</v>
      </c>
      <c r="T296" s="2" t="e">
        <f t="shared" si="103"/>
        <v>#N/A</v>
      </c>
      <c r="U296" s="2" t="e">
        <f t="shared" si="96"/>
        <v>#N/A</v>
      </c>
      <c r="V296" s="2" t="e">
        <f t="shared" si="97"/>
        <v>#N/A</v>
      </c>
      <c r="W296" s="2" t="e">
        <f t="shared" si="98"/>
        <v>#N/A</v>
      </c>
      <c r="X296" s="2" t="e">
        <f t="shared" si="99"/>
        <v>#N/A</v>
      </c>
      <c r="Y296" s="2" t="e">
        <f t="shared" si="100"/>
        <v>#N/A</v>
      </c>
      <c r="Z296" s="0">
        <f t="shared" ca="1" si="102"/>
        <v>1106166.3999999999</v>
      </c>
      <c r="AA296" s="0">
        <f t="shared" ca="1" si="101"/>
        <v>1084150.3999999999</v>
      </c>
      <c r="AB296" cm="1" s="0">
        <f t="array" ref="AB296">MAX(IF(ISNUMBER(J296:Y296),J296:Y296))</f>
        <v>1280585</v>
      </c>
      <c r="AC296" cm="1" s="0">
        <f t="array" ref="AC296">MIN(IF(ISNUMBER(J296:Y296),J296:Y296))</f>
        <v>904289</v>
      </c>
      <c r="AD296" s="0">
        <f t="shared" si="95"/>
        <v>376296</v>
      </c>
    </row>
    <row r="297" spans="1:30" x14ac:dyDescent="0.2">
      <c r="A297" t="s" s="0">
        <v>3700</v>
      </c>
      <c r="B297" s="2">
        <v>824284</v>
      </c>
      <c r="C297" s="2">
        <v>37427</v>
      </c>
      <c r="D297" s="2">
        <v>41160</v>
      </c>
      <c r="E297" s="2">
        <v>41365</v>
      </c>
      <c r="F297" s="2">
        <v>28949</v>
      </c>
      <c r="G297" s="2">
        <v>34932</v>
      </c>
      <c r="I297" t="str" s="0">
        <f t="shared" si="84"/>
        <v>10/21</v>
      </c>
      <c r="J297" s="2">
        <f t="shared" si="85"/>
        <v>1020548</v>
      </c>
      <c r="K297" s="2">
        <f t="shared" si="86"/>
        <v>987678</v>
      </c>
      <c r="L297" s="2">
        <f t="shared" si="87"/>
        <v>1093291</v>
      </c>
      <c r="M297" s="2">
        <f t="shared" si="88"/>
        <v>853029</v>
      </c>
      <c r="N297" s="2">
        <f t="shared" si="89"/>
        <v>1308825</v>
      </c>
      <c r="O297" s="2">
        <f t="shared" si="90"/>
        <v>1158480</v>
      </c>
      <c r="P297" s="2">
        <f t="shared" si="91"/>
        <v>1161838</v>
      </c>
      <c r="Q297" s="2">
        <f t="shared" si="92"/>
        <v>1003463</v>
      </c>
      <c r="R297" s="2">
        <f t="shared" si="93"/>
        <v>1153115</v>
      </c>
      <c r="S297" s="2">
        <f t="shared" si="94"/>
        <v>1186904</v>
      </c>
      <c r="T297" s="2" t="e">
        <f t="shared" si="103"/>
        <v>#N/A</v>
      </c>
      <c r="U297" s="2" t="e">
        <f t="shared" si="96"/>
        <v>#N/A</v>
      </c>
      <c r="V297" s="2" t="e">
        <f t="shared" si="97"/>
        <v>#N/A</v>
      </c>
      <c r="W297" s="2" t="e">
        <f t="shared" si="98"/>
        <v>#N/A</v>
      </c>
      <c r="X297" s="2" t="e">
        <f t="shared" si="99"/>
        <v>#N/A</v>
      </c>
      <c r="Y297" s="2" t="e">
        <f t="shared" si="100"/>
        <v>#N/A</v>
      </c>
      <c r="Z297" s="0">
        <f t="shared" ca="1" si="102"/>
        <v>1132760</v>
      </c>
      <c r="AA297" s="0">
        <f t="shared" ca="1" si="101"/>
        <v>1092717.1000000001</v>
      </c>
      <c r="AB297" cm="1" s="0">
        <f t="array" ref="AB297">MAX(IF(ISNUMBER(J297:Y297),J297:Y297))</f>
        <v>1308825</v>
      </c>
      <c r="AC297" cm="1" s="0">
        <f t="array" ref="AC297">MIN(IF(ISNUMBER(J297:Y297),J297:Y297))</f>
        <v>853029</v>
      </c>
      <c r="AD297" s="0">
        <f t="shared" si="95"/>
        <v>455796</v>
      </c>
    </row>
    <row r="298" spans="1:30" x14ac:dyDescent="0.2">
      <c r="A298" t="s" s="0">
        <v>3699</v>
      </c>
      <c r="B298" s="2">
        <v>764917</v>
      </c>
      <c r="C298" s="2">
        <v>42404</v>
      </c>
      <c r="D298" s="2">
        <v>41451</v>
      </c>
      <c r="E298" s="2">
        <v>41124</v>
      </c>
      <c r="F298" s="2">
        <v>24950</v>
      </c>
      <c r="G298" s="2">
        <v>35421</v>
      </c>
      <c r="I298" t="str" s="0">
        <f t="shared" si="84"/>
        <v>10/22</v>
      </c>
      <c r="J298" s="2">
        <f t="shared" si="85"/>
        <v>1054286</v>
      </c>
      <c r="K298" s="2">
        <f t="shared" si="86"/>
        <v>987678</v>
      </c>
      <c r="L298" s="2">
        <f t="shared" si="87"/>
        <v>948935</v>
      </c>
      <c r="M298" s="2">
        <f t="shared" si="88"/>
        <v>933296</v>
      </c>
      <c r="N298" s="2">
        <f t="shared" si="89"/>
        <v>1249076</v>
      </c>
      <c r="O298" s="2">
        <f t="shared" si="90"/>
        <v>1114116</v>
      </c>
      <c r="P298" s="2">
        <f t="shared" si="91"/>
        <v>1161838</v>
      </c>
      <c r="Q298" s="2">
        <f t="shared" si="92"/>
        <v>1003463</v>
      </c>
      <c r="R298" s="2">
        <f t="shared" si="93"/>
        <v>1186098</v>
      </c>
      <c r="S298" s="2">
        <f t="shared" si="94"/>
        <v>1142086</v>
      </c>
      <c r="T298" s="2" t="e">
        <f t="shared" si="103"/>
        <v>#N/A</v>
      </c>
      <c r="U298" s="2" t="e">
        <f t="shared" si="96"/>
        <v>#N/A</v>
      </c>
      <c r="V298" s="2" t="e">
        <f t="shared" si="97"/>
        <v>#N/A</v>
      </c>
      <c r="W298" s="2" t="e">
        <f t="shared" si="98"/>
        <v>#N/A</v>
      </c>
      <c r="X298" s="2" t="e">
        <f t="shared" si="99"/>
        <v>#N/A</v>
      </c>
      <c r="Y298" s="2" t="e">
        <f t="shared" si="100"/>
        <v>#N/A</v>
      </c>
      <c r="Z298" s="0">
        <f t="shared" ca="1" si="102"/>
        <v>1121520.2</v>
      </c>
      <c r="AA298" s="0">
        <f t="shared" ca="1" si="101"/>
        <v>1078087.2</v>
      </c>
      <c r="AB298" cm="1" s="0">
        <f t="array" ref="AB298">MAX(IF(ISNUMBER(J298:Y298),J298:Y298))</f>
        <v>1249076</v>
      </c>
      <c r="AC298" cm="1" s="0">
        <f t="array" ref="AC298">MIN(IF(ISNUMBER(J298:Y298),J298:Y298))</f>
        <v>933296</v>
      </c>
      <c r="AD298" s="0">
        <f t="shared" si="95"/>
        <v>315780</v>
      </c>
    </row>
    <row r="299" spans="1:30" x14ac:dyDescent="0.2">
      <c r="A299" t="s" s="0">
        <v>3698</v>
      </c>
      <c r="B299" s="2">
        <v>721580</v>
      </c>
      <c r="C299" s="2">
        <v>44269</v>
      </c>
      <c r="D299" s="2">
        <v>42906</v>
      </c>
      <c r="E299" s="2">
        <v>41238</v>
      </c>
      <c r="F299" s="2">
        <v>24949</v>
      </c>
      <c r="G299" s="2">
        <v>33840</v>
      </c>
      <c r="I299" t="str" s="0">
        <f t="shared" si="84"/>
        <v>10/23</v>
      </c>
      <c r="J299" s="2">
        <f t="shared" si="85"/>
        <v>1054286</v>
      </c>
      <c r="K299" s="2">
        <f t="shared" si="86"/>
        <v>863006</v>
      </c>
      <c r="L299" s="2">
        <f t="shared" si="87"/>
        <v>906398</v>
      </c>
      <c r="M299" s="2">
        <f t="shared" si="88"/>
        <v>904636</v>
      </c>
      <c r="N299" s="2">
        <f t="shared" si="89"/>
        <v>1278570</v>
      </c>
      <c r="O299" s="2">
        <f t="shared" si="90"/>
        <v>1114116</v>
      </c>
      <c r="P299" s="2">
        <f t="shared" si="91"/>
        <v>1161838</v>
      </c>
      <c r="Q299" s="2">
        <f t="shared" si="92"/>
        <v>1017873</v>
      </c>
      <c r="R299" s="2">
        <f t="shared" si="93"/>
        <v>1220780</v>
      </c>
      <c r="S299" s="2">
        <f t="shared" si="94"/>
        <v>1126352</v>
      </c>
      <c r="T299" s="2" t="e">
        <f t="shared" si="103"/>
        <v>#N/A</v>
      </c>
      <c r="U299" s="2" t="e">
        <f t="shared" si="96"/>
        <v>#N/A</v>
      </c>
      <c r="V299" s="2" t="e">
        <f t="shared" si="97"/>
        <v>#N/A</v>
      </c>
      <c r="W299" s="2" t="e">
        <f t="shared" si="98"/>
        <v>#N/A</v>
      </c>
      <c r="X299" s="2" t="e">
        <f t="shared" si="99"/>
        <v>#N/A</v>
      </c>
      <c r="Y299" s="2" t="e">
        <f t="shared" si="100"/>
        <v>#N/A</v>
      </c>
      <c r="Z299" s="0">
        <f t="shared" ca="1" si="102"/>
        <v>1128191.8</v>
      </c>
      <c r="AA299" s="0">
        <f t="shared" ca="1" si="101"/>
        <v>1064785.5</v>
      </c>
      <c r="AB299" cm="1" s="0">
        <f t="array" ref="AB299">MAX(IF(ISNUMBER(J299:Y299),J299:Y299))</f>
        <v>1278570</v>
      </c>
      <c r="AC299" cm="1" s="0">
        <f t="array" ref="AC299">MIN(IF(ISNUMBER(J299:Y299),J299:Y299))</f>
        <v>863006</v>
      </c>
      <c r="AD299" s="0">
        <f t="shared" si="95"/>
        <v>415564</v>
      </c>
    </row>
    <row r="300" spans="1:30" x14ac:dyDescent="0.2">
      <c r="A300" t="s" s="0">
        <v>3697</v>
      </c>
      <c r="B300" s="3">
        <v>721580</v>
      </c>
      <c r="C300" s="3">
        <v>44269</v>
      </c>
      <c r="D300" s="3">
        <v>42906</v>
      </c>
      <c r="E300" s="3">
        <v>41238</v>
      </c>
      <c r="F300" s="3">
        <v>24949</v>
      </c>
      <c r="G300" s="3">
        <v>33840</v>
      </c>
      <c r="I300" t="str" s="0">
        <f t="shared" si="84"/>
        <v>10/24</v>
      </c>
      <c r="J300" s="2">
        <f t="shared" si="85"/>
        <v>1054286</v>
      </c>
      <c r="K300" s="2">
        <f t="shared" si="86"/>
        <v>828133</v>
      </c>
      <c r="L300" s="2">
        <f t="shared" si="87"/>
        <v>866642</v>
      </c>
      <c r="M300" s="2">
        <f t="shared" si="88"/>
        <v>872140</v>
      </c>
      <c r="N300" s="2">
        <f t="shared" si="89"/>
        <v>1279161</v>
      </c>
      <c r="O300" s="2">
        <f t="shared" si="90"/>
        <v>1114116</v>
      </c>
      <c r="P300" s="2">
        <f t="shared" si="91"/>
        <v>1143193</v>
      </c>
      <c r="Q300" s="2">
        <f t="shared" si="92"/>
        <v>1116625</v>
      </c>
      <c r="R300" s="2">
        <f t="shared" si="93"/>
        <v>1192914</v>
      </c>
      <c r="S300" s="2">
        <f t="shared" si="94"/>
        <v>1229508</v>
      </c>
      <c r="T300" s="2" t="e">
        <f t="shared" si="103"/>
        <v>#N/A</v>
      </c>
      <c r="U300" s="2" t="e">
        <f t="shared" si="96"/>
        <v>#N/A</v>
      </c>
      <c r="V300" s="2" t="e">
        <f t="shared" si="97"/>
        <v>#N/A</v>
      </c>
      <c r="W300" s="2" t="e">
        <f t="shared" si="98"/>
        <v>#N/A</v>
      </c>
      <c r="X300" s="2" t="e">
        <f t="shared" si="99"/>
        <v>#N/A</v>
      </c>
      <c r="Y300" s="2" t="e">
        <f t="shared" si="100"/>
        <v>#N/A</v>
      </c>
      <c r="Z300" s="0">
        <f t="shared" ca="1" si="102"/>
        <v>1159271.2</v>
      </c>
      <c r="AA300" s="0">
        <f t="shared" ca="1" si="101"/>
        <v>1069671.8</v>
      </c>
      <c r="AB300" cm="1" s="0">
        <f t="array" ref="AB300">MAX(IF(ISNUMBER(J300:Y300),J300:Y300))</f>
        <v>1279161</v>
      </c>
      <c r="AC300" cm="1" s="0">
        <f t="array" ref="AC300">MIN(IF(ISNUMBER(J300:Y300),J300:Y300))</f>
        <v>828133</v>
      </c>
      <c r="AD300" s="0">
        <f t="shared" si="95"/>
        <v>451028</v>
      </c>
    </row>
    <row r="301" spans="1:30" x14ac:dyDescent="0.2">
      <c r="A301" t="s" s="0">
        <v>3696</v>
      </c>
      <c r="B301" s="3">
        <v>721580</v>
      </c>
      <c r="C301" s="3">
        <v>44269</v>
      </c>
      <c r="D301" s="3">
        <v>42906</v>
      </c>
      <c r="E301" s="3">
        <v>41238</v>
      </c>
      <c r="F301" s="3">
        <v>24949</v>
      </c>
      <c r="G301" s="3">
        <v>33840</v>
      </c>
      <c r="I301" t="str" s="0">
        <f t="shared" si="84"/>
        <v>10/25</v>
      </c>
      <c r="J301" s="2">
        <f t="shared" si="85"/>
        <v>1026816</v>
      </c>
      <c r="K301" s="2">
        <f t="shared" si="86"/>
        <v>815965</v>
      </c>
      <c r="L301" s="2">
        <f t="shared" si="87"/>
        <v>885895</v>
      </c>
      <c r="M301" s="2">
        <f t="shared" si="88"/>
        <v>832399</v>
      </c>
      <c r="N301" s="2">
        <f t="shared" si="89"/>
        <v>1279161</v>
      </c>
      <c r="O301" s="2">
        <f t="shared" si="90"/>
        <v>1151197</v>
      </c>
      <c r="P301" s="2">
        <f t="shared" si="91"/>
        <v>1166855</v>
      </c>
      <c r="Q301" s="2">
        <f t="shared" si="92"/>
        <v>1064548</v>
      </c>
      <c r="R301" s="2">
        <f t="shared" si="93"/>
        <v>1181716</v>
      </c>
      <c r="S301" s="2">
        <f t="shared" si="94"/>
        <v>1229508</v>
      </c>
      <c r="T301" s="2" t="e">
        <f t="shared" si="103"/>
        <v>#N/A</v>
      </c>
      <c r="U301" s="2" t="e">
        <f t="shared" si="96"/>
        <v>#N/A</v>
      </c>
      <c r="V301" s="2" t="e">
        <f t="shared" si="97"/>
        <v>#N/A</v>
      </c>
      <c r="W301" s="2" t="e">
        <f t="shared" si="98"/>
        <v>#N/A</v>
      </c>
      <c r="X301" s="2" t="e">
        <f t="shared" si="99"/>
        <v>#N/A</v>
      </c>
      <c r="Y301" s="2" t="e">
        <f t="shared" si="100"/>
        <v>#N/A</v>
      </c>
      <c r="Z301" s="0">
        <f t="shared" ca="1" si="102"/>
        <v>1158764.8</v>
      </c>
      <c r="AA301" s="0">
        <f t="shared" ca="1" si="101"/>
        <v>1063406</v>
      </c>
      <c r="AB301" cm="1" s="0">
        <f t="array" ref="AB301">MAX(IF(ISNUMBER(J301:Y301),J301:Y301))</f>
        <v>1279161</v>
      </c>
      <c r="AC301" cm="1" s="0">
        <f t="array" ref="AC301">MIN(IF(ISNUMBER(J301:Y301),J301:Y301))</f>
        <v>815965</v>
      </c>
      <c r="AD301" s="0">
        <f t="shared" si="95"/>
        <v>463196</v>
      </c>
    </row>
    <row r="302" spans="1:30" x14ac:dyDescent="0.2">
      <c r="A302" t="s" s="0">
        <v>3695</v>
      </c>
      <c r="B302" s="2">
        <v>783087</v>
      </c>
      <c r="C302" s="2">
        <v>20637</v>
      </c>
      <c r="D302" s="2">
        <v>39928</v>
      </c>
      <c r="E302" s="2">
        <v>41140</v>
      </c>
      <c r="F302" s="2">
        <v>38003</v>
      </c>
      <c r="G302" s="2">
        <v>39064</v>
      </c>
      <c r="I302" t="str" s="0">
        <f t="shared" si="84"/>
        <v>10/26</v>
      </c>
      <c r="J302" s="2">
        <f t="shared" si="85"/>
        <v>1001365</v>
      </c>
      <c r="K302" s="2">
        <f t="shared" si="86"/>
        <v>834731</v>
      </c>
      <c r="L302" s="2">
        <f t="shared" si="87"/>
        <v>852269</v>
      </c>
      <c r="M302" s="2">
        <f t="shared" si="88"/>
        <v>832399</v>
      </c>
      <c r="N302" s="2">
        <f t="shared" si="89"/>
        <v>1279161</v>
      </c>
      <c r="O302" s="2">
        <f t="shared" si="90"/>
        <v>1239067</v>
      </c>
      <c r="P302" s="2">
        <f t="shared" si="91"/>
        <v>1114712</v>
      </c>
      <c r="Q302" s="2">
        <f t="shared" si="92"/>
        <v>1084726</v>
      </c>
      <c r="R302" s="2">
        <f t="shared" si="93"/>
        <v>1207054</v>
      </c>
      <c r="S302" s="2">
        <f t="shared" si="94"/>
        <v>1229508</v>
      </c>
      <c r="T302" s="2" t="e">
        <f t="shared" si="103"/>
        <v>#N/A</v>
      </c>
      <c r="U302" s="2" t="e">
        <f t="shared" si="96"/>
        <v>#N/A</v>
      </c>
      <c r="V302" s="2" t="e">
        <f t="shared" si="97"/>
        <v>#N/A</v>
      </c>
      <c r="W302" s="2" t="e">
        <f t="shared" si="98"/>
        <v>#N/A</v>
      </c>
      <c r="X302" s="2" t="e">
        <f t="shared" si="99"/>
        <v>#N/A</v>
      </c>
      <c r="Y302" s="2" t="e">
        <f t="shared" si="100"/>
        <v>#N/A</v>
      </c>
      <c r="Z302" s="0">
        <f t="shared" ca="1" si="102"/>
        <v>1175013.3999999999</v>
      </c>
      <c r="AA302" s="0">
        <f t="shared" ca="1" si="101"/>
        <v>1067499.2</v>
      </c>
      <c r="AB302" cm="1" s="0">
        <f t="array" ref="AB302">MAX(IF(ISNUMBER(J302:Y302),J302:Y302))</f>
        <v>1279161</v>
      </c>
      <c r="AC302" cm="1" s="0">
        <f t="array" ref="AC302">MIN(IF(ISNUMBER(J302:Y302),J302:Y302))</f>
        <v>832399</v>
      </c>
      <c r="AD302" s="0">
        <f t="shared" si="95"/>
        <v>446762</v>
      </c>
    </row>
    <row r="303" spans="1:30" x14ac:dyDescent="0.2">
      <c r="A303" t="s" s="0">
        <v>3694</v>
      </c>
      <c r="B303" s="2">
        <v>837161</v>
      </c>
      <c r="C303" s="2">
        <v>40886</v>
      </c>
      <c r="D303" s="2">
        <v>39824</v>
      </c>
      <c r="E303" s="2">
        <v>41256</v>
      </c>
      <c r="F303" s="2">
        <v>37316</v>
      </c>
      <c r="G303" s="2">
        <v>38167</v>
      </c>
      <c r="I303" t="str" s="0">
        <f t="shared" si="84"/>
        <v>10/27</v>
      </c>
      <c r="J303" s="2">
        <f t="shared" si="85"/>
        <v>984491</v>
      </c>
      <c r="K303" s="2">
        <f t="shared" si="86"/>
        <v>837742</v>
      </c>
      <c r="L303" s="2">
        <f t="shared" si="87"/>
        <v>852269</v>
      </c>
      <c r="M303" s="2">
        <f t="shared" si="88"/>
        <v>832399</v>
      </c>
      <c r="N303" s="2">
        <f t="shared" si="89"/>
        <v>1174736</v>
      </c>
      <c r="O303" s="2">
        <f t="shared" si="90"/>
        <v>1189293</v>
      </c>
      <c r="P303" s="2">
        <f t="shared" si="91"/>
        <v>1090559</v>
      </c>
      <c r="Q303" s="2">
        <f t="shared" si="92"/>
        <v>1074257</v>
      </c>
      <c r="R303" s="2">
        <f t="shared" si="93"/>
        <v>1207054</v>
      </c>
      <c r="S303" s="2">
        <f t="shared" si="94"/>
        <v>1226908</v>
      </c>
      <c r="T303" s="2" t="e">
        <f t="shared" si="103"/>
        <v>#N/A</v>
      </c>
      <c r="U303" s="2" t="e">
        <f t="shared" si="96"/>
        <v>#N/A</v>
      </c>
      <c r="V303" s="2" t="e">
        <f t="shared" si="97"/>
        <v>#N/A</v>
      </c>
      <c r="W303" s="2" t="e">
        <f t="shared" si="98"/>
        <v>#N/A</v>
      </c>
      <c r="X303" s="2" t="e">
        <f t="shared" si="99"/>
        <v>#N/A</v>
      </c>
      <c r="Y303" s="2" t="e">
        <f t="shared" si="100"/>
        <v>#N/A</v>
      </c>
      <c r="Z303" s="0">
        <f t="shared" ca="1" si="102"/>
        <v>1157614.2</v>
      </c>
      <c r="AA303" s="0">
        <f t="shared" ca="1" si="101"/>
        <v>1046970.8</v>
      </c>
      <c r="AB303" cm="1" s="0">
        <f t="array" ref="AB303">MAX(IF(ISNUMBER(J303:Y303),J303:Y303))</f>
        <v>1226908</v>
      </c>
      <c r="AC303" cm="1" s="0">
        <f t="array" ref="AC303">MIN(IF(ISNUMBER(J303:Y303),J303:Y303))</f>
        <v>832399</v>
      </c>
      <c r="AD303" s="0">
        <f t="shared" si="95"/>
        <v>394509</v>
      </c>
    </row>
    <row r="304" spans="1:30" x14ac:dyDescent="0.2">
      <c r="A304" t="s" s="0">
        <v>3693</v>
      </c>
      <c r="B304" s="2">
        <v>800027</v>
      </c>
      <c r="C304" s="2">
        <v>38056</v>
      </c>
      <c r="D304" s="2">
        <v>39914</v>
      </c>
      <c r="E304" s="2">
        <v>41213</v>
      </c>
      <c r="F304" s="2">
        <v>35309</v>
      </c>
      <c r="G304" s="2">
        <v>37308</v>
      </c>
      <c r="I304" t="str" s="0">
        <f t="shared" si="84"/>
        <v>10/28</v>
      </c>
      <c r="J304" s="2">
        <f t="shared" si="85"/>
        <v>1012775</v>
      </c>
      <c r="K304" s="2">
        <f t="shared" si="86"/>
        <v>837742</v>
      </c>
      <c r="L304" s="2">
        <f t="shared" si="87"/>
        <v>852269</v>
      </c>
      <c r="M304" s="2">
        <f t="shared" si="88"/>
        <v>783754</v>
      </c>
      <c r="N304" s="2">
        <f t="shared" si="89"/>
        <v>1159616</v>
      </c>
      <c r="O304" s="2">
        <f t="shared" si="90"/>
        <v>1239076</v>
      </c>
      <c r="P304" s="2">
        <f t="shared" si="91"/>
        <v>1120399</v>
      </c>
      <c r="Q304" s="2">
        <f t="shared" si="92"/>
        <v>1074257</v>
      </c>
      <c r="R304" s="2">
        <f t="shared" si="93"/>
        <v>1207054</v>
      </c>
      <c r="S304" s="2">
        <f t="shared" si="94"/>
        <v>1192319</v>
      </c>
      <c r="T304" s="2" t="e">
        <f t="shared" si="103"/>
        <v>#N/A</v>
      </c>
      <c r="U304" s="2" t="e">
        <f t="shared" si="96"/>
        <v>#N/A</v>
      </c>
      <c r="V304" s="2" t="e">
        <f t="shared" si="97"/>
        <v>#N/A</v>
      </c>
      <c r="W304" s="2" t="e">
        <f t="shared" si="98"/>
        <v>#N/A</v>
      </c>
      <c r="X304" s="2" t="e">
        <f t="shared" si="99"/>
        <v>#N/A</v>
      </c>
      <c r="Y304" s="2" t="e">
        <f t="shared" si="100"/>
        <v>#N/A</v>
      </c>
      <c r="Z304" s="0">
        <f t="shared" ca="1" si="102"/>
        <v>1166621</v>
      </c>
      <c r="AA304" s="0">
        <f t="shared" ca="1" si="101"/>
        <v>1047926.1</v>
      </c>
      <c r="AB304" cm="1" s="0">
        <f t="array" ref="AB304">MAX(IF(ISNUMBER(J304:Y304),J304:Y304))</f>
        <v>1239076</v>
      </c>
      <c r="AC304" cm="1" s="0">
        <f t="array" ref="AC304">MIN(IF(ISNUMBER(J304:Y304),J304:Y304))</f>
        <v>783754</v>
      </c>
      <c r="AD304" s="0">
        <f t="shared" si="95"/>
        <v>455322</v>
      </c>
    </row>
    <row r="305" spans="1:30" x14ac:dyDescent="0.2">
      <c r="A305" t="s" s="0">
        <v>3692</v>
      </c>
      <c r="B305" s="2">
        <v>856248</v>
      </c>
      <c r="C305" s="2">
        <v>43625</v>
      </c>
      <c r="D305" s="2">
        <v>39094</v>
      </c>
      <c r="E305" s="2">
        <v>41763</v>
      </c>
      <c r="F305" s="2">
        <v>51002</v>
      </c>
      <c r="G305" s="2">
        <v>39449</v>
      </c>
      <c r="I305" t="str" s="0">
        <f t="shared" si="84"/>
        <v>10/29</v>
      </c>
      <c r="J305" s="2">
        <f t="shared" si="85"/>
        <v>967237</v>
      </c>
      <c r="K305" s="2">
        <f t="shared" si="86"/>
        <v>837742</v>
      </c>
      <c r="L305" s="2">
        <f t="shared" si="87"/>
        <v>882869</v>
      </c>
      <c r="M305" s="2">
        <f t="shared" si="88"/>
        <v>792486</v>
      </c>
      <c r="N305" s="2">
        <f t="shared" si="89"/>
        <v>1084044</v>
      </c>
      <c r="O305" s="2">
        <f t="shared" si="90"/>
        <v>1288290</v>
      </c>
      <c r="P305" s="2">
        <f t="shared" si="91"/>
        <v>1120399</v>
      </c>
      <c r="Q305" s="2">
        <f t="shared" si="92"/>
        <v>1074257</v>
      </c>
      <c r="R305" s="2">
        <f t="shared" si="93"/>
        <v>1181081</v>
      </c>
      <c r="S305" s="2">
        <f t="shared" si="94"/>
        <v>1129841</v>
      </c>
      <c r="T305" s="2" t="e">
        <f t="shared" si="103"/>
        <v>#N/A</v>
      </c>
      <c r="U305" s="2" t="e">
        <f t="shared" si="96"/>
        <v>#N/A</v>
      </c>
      <c r="V305" s="2" t="e">
        <f t="shared" si="97"/>
        <v>#N/A</v>
      </c>
      <c r="W305" s="2" t="e">
        <f t="shared" si="98"/>
        <v>#N/A</v>
      </c>
      <c r="X305" s="2" t="e">
        <f t="shared" si="99"/>
        <v>#N/A</v>
      </c>
      <c r="Y305" s="2" t="e">
        <f t="shared" si="100"/>
        <v>#N/A</v>
      </c>
      <c r="Z305" s="0">
        <f t="shared" ca="1" si="102"/>
        <v>1158773.6000000001</v>
      </c>
      <c r="AA305" s="0">
        <f t="shared" ca="1" si="101"/>
        <v>1035824.6</v>
      </c>
      <c r="AB305" cm="1" s="0">
        <f t="array" ref="AB305">MAX(IF(ISNUMBER(J305:Y305),J305:Y305))</f>
        <v>1288290</v>
      </c>
      <c r="AC305" cm="1" s="0">
        <f t="array" ref="AC305">MIN(IF(ISNUMBER(J305:Y305),J305:Y305))</f>
        <v>792486</v>
      </c>
      <c r="AD305" s="0">
        <f t="shared" si="95"/>
        <v>495804</v>
      </c>
    </row>
    <row r="306" spans="1:30" x14ac:dyDescent="0.2">
      <c r="A306" t="s" s="0">
        <v>3691</v>
      </c>
      <c r="B306" s="2">
        <v>794123</v>
      </c>
      <c r="C306" s="2">
        <v>42994</v>
      </c>
      <c r="D306" s="2">
        <v>41049</v>
      </c>
      <c r="E306" s="2">
        <v>42683</v>
      </c>
      <c r="F306" s="2">
        <v>51002</v>
      </c>
      <c r="G306" s="2">
        <v>38203</v>
      </c>
      <c r="I306" t="str" s="0">
        <f t="shared" si="84"/>
        <v>10/30</v>
      </c>
      <c r="J306" s="2">
        <f t="shared" si="85"/>
        <v>967237</v>
      </c>
      <c r="K306" s="2">
        <f t="shared" si="86"/>
        <v>807601</v>
      </c>
      <c r="L306" s="2">
        <f t="shared" si="87"/>
        <v>888116</v>
      </c>
      <c r="M306" s="2">
        <f t="shared" si="88"/>
        <v>880426</v>
      </c>
      <c r="N306" s="2">
        <f t="shared" si="89"/>
        <v>994241</v>
      </c>
      <c r="O306" s="2">
        <f t="shared" si="90"/>
        <v>1288290</v>
      </c>
      <c r="P306" s="2">
        <f t="shared" si="91"/>
        <v>1120399</v>
      </c>
      <c r="Q306" s="2">
        <f t="shared" si="92"/>
        <v>1051496</v>
      </c>
      <c r="R306" s="2">
        <f t="shared" si="93"/>
        <v>1198208</v>
      </c>
      <c r="S306" s="2">
        <f t="shared" si="94"/>
        <v>1096651</v>
      </c>
      <c r="T306" s="2" t="e">
        <f t="shared" ref="T306:T337" si="104">IF(B4133=0, NA(), B4133)</f>
        <v>#N/A</v>
      </c>
      <c r="U306" s="2" t="e">
        <f t="shared" si="96"/>
        <v>#N/A</v>
      </c>
      <c r="V306" s="2" t="e">
        <f t="shared" si="97"/>
        <v>#N/A</v>
      </c>
      <c r="W306" s="2" t="e">
        <f t="shared" si="98"/>
        <v>#N/A</v>
      </c>
      <c r="X306" s="2" t="e">
        <f t="shared" si="99"/>
        <v>#N/A</v>
      </c>
      <c r="Y306" s="2" t="e">
        <f t="shared" si="100"/>
        <v>#N/A</v>
      </c>
      <c r="Z306" s="0">
        <f t="shared" ca="1" si="102"/>
        <v>1151008.8</v>
      </c>
      <c r="AA306" s="0">
        <f t="shared" ca="1" si="101"/>
        <v>1029266.5</v>
      </c>
      <c r="AB306" cm="1" s="0">
        <f t="array" ref="AB306">MAX(IF(ISNUMBER(J306:Y306),J306:Y306))</f>
        <v>1288290</v>
      </c>
      <c r="AC306" cm="1" s="0">
        <f t="array" ref="AC306">MIN(IF(ISNUMBER(J306:Y306),J306:Y306))</f>
        <v>807601</v>
      </c>
      <c r="AD306" s="0">
        <f t="shared" si="95"/>
        <v>480689</v>
      </c>
    </row>
    <row r="307" spans="1:30" x14ac:dyDescent="0.2">
      <c r="A307" t="s" s="0">
        <v>3690</v>
      </c>
      <c r="B307" s="3">
        <v>794123</v>
      </c>
      <c r="C307" s="3">
        <v>42994</v>
      </c>
      <c r="D307" s="3">
        <v>41049</v>
      </c>
      <c r="E307" s="3">
        <v>42683</v>
      </c>
      <c r="F307" s="3">
        <v>51002</v>
      </c>
      <c r="G307" s="3">
        <v>38203</v>
      </c>
      <c r="I307" t="str" s="0">
        <f t="shared" si="84"/>
        <v>10/31</v>
      </c>
      <c r="J307" s="2">
        <f t="shared" si="85"/>
        <v>967237</v>
      </c>
      <c r="K307" s="2">
        <f t="shared" si="86"/>
        <v>789929</v>
      </c>
      <c r="L307" s="2">
        <f t="shared" si="87"/>
        <v>886258</v>
      </c>
      <c r="M307" s="2">
        <f t="shared" si="88"/>
        <v>903255</v>
      </c>
      <c r="N307" s="2">
        <f t="shared" si="89"/>
        <v>1024425</v>
      </c>
      <c r="O307" s="2">
        <f t="shared" si="90"/>
        <v>1288290</v>
      </c>
      <c r="P307" s="2">
        <f t="shared" si="91"/>
        <v>1098466</v>
      </c>
      <c r="Q307" s="2">
        <f t="shared" si="92"/>
        <v>1168274</v>
      </c>
      <c r="R307" s="2">
        <f t="shared" si="93"/>
        <v>1160998</v>
      </c>
      <c r="S307" s="2">
        <f t="shared" si="94"/>
        <v>1152811</v>
      </c>
      <c r="T307" s="2" t="e">
        <f t="shared" si="104"/>
        <v>#N/A</v>
      </c>
      <c r="U307" s="2" t="e">
        <f t="shared" si="96"/>
        <v>#N/A</v>
      </c>
      <c r="V307" s="2" t="e">
        <f t="shared" si="97"/>
        <v>#N/A</v>
      </c>
      <c r="W307" s="2" t="e">
        <f t="shared" si="98"/>
        <v>#N/A</v>
      </c>
      <c r="X307" s="2" t="e">
        <f t="shared" si="99"/>
        <v>#N/A</v>
      </c>
      <c r="Y307" s="2" t="e">
        <f t="shared" si="100"/>
        <v>#N/A</v>
      </c>
      <c r="Z307" s="0">
        <f t="shared" ca="1" si="102"/>
        <v>1173767.8</v>
      </c>
      <c r="AA307" s="0">
        <f t="shared" ca="1" si="101"/>
        <v>1043994.3</v>
      </c>
      <c r="AB307" cm="1" s="0">
        <f t="array" ref="AB307">MAX(IF(ISNUMBER(J307:Y307),J307:Y307))</f>
        <v>1288290</v>
      </c>
      <c r="AC307" cm="1" s="0">
        <f t="array" ref="AC307">MIN(IF(ISNUMBER(J307:Y307),J307:Y307))</f>
        <v>789929</v>
      </c>
      <c r="AD307" s="0">
        <f t="shared" si="95"/>
        <v>498361</v>
      </c>
    </row>
    <row r="308" spans="1:30" x14ac:dyDescent="0.2">
      <c r="A308" t="s" s="0">
        <v>3689</v>
      </c>
      <c r="B308" s="3">
        <v>794123</v>
      </c>
      <c r="C308" s="3">
        <v>42994</v>
      </c>
      <c r="D308" s="3">
        <v>41049</v>
      </c>
      <c r="E308" s="3">
        <v>42683</v>
      </c>
      <c r="F308" s="3">
        <v>51002</v>
      </c>
      <c r="G308" s="3">
        <v>38203</v>
      </c>
      <c r="I308" t="str" s="0">
        <f t="shared" si="84"/>
        <v>11/01</v>
      </c>
      <c r="J308" s="2">
        <f t="shared" si="85"/>
        <v>966184</v>
      </c>
      <c r="K308" s="2">
        <f t="shared" si="86"/>
        <v>743605</v>
      </c>
      <c r="L308" s="2">
        <f t="shared" si="87"/>
        <v>917067</v>
      </c>
      <c r="M308" s="2">
        <f t="shared" si="88"/>
        <v>897590</v>
      </c>
      <c r="N308" s="2">
        <f t="shared" si="89"/>
        <v>1024425</v>
      </c>
      <c r="O308" s="2">
        <f t="shared" si="90"/>
        <v>1261739</v>
      </c>
      <c r="P308" s="2">
        <f t="shared" si="91"/>
        <v>1067966</v>
      </c>
      <c r="Q308" s="2">
        <f t="shared" si="92"/>
        <v>1128846</v>
      </c>
      <c r="R308" s="2">
        <f t="shared" si="93"/>
        <v>1188046</v>
      </c>
      <c r="S308" s="2">
        <f t="shared" si="94"/>
        <v>1152811</v>
      </c>
      <c r="T308" s="2" t="e">
        <f t="shared" si="104"/>
        <v>#N/A</v>
      </c>
      <c r="U308" s="2" t="e">
        <f t="shared" si="96"/>
        <v>#N/A</v>
      </c>
      <c r="V308" s="2" t="e">
        <f t="shared" si="97"/>
        <v>#N/A</v>
      </c>
      <c r="W308" s="2" t="e">
        <f t="shared" si="98"/>
        <v>#N/A</v>
      </c>
      <c r="X308" s="2" t="e">
        <f t="shared" si="99"/>
        <v>#N/A</v>
      </c>
      <c r="Y308" s="2" t="e">
        <f t="shared" si="100"/>
        <v>#N/A</v>
      </c>
      <c r="Z308" s="0">
        <f t="shared" ca="1" si="102"/>
        <v>1159881.6000000001</v>
      </c>
      <c r="AA308" s="0">
        <f t="shared" ca="1" si="101"/>
        <v>1034827.9</v>
      </c>
      <c r="AB308" cm="1" s="0">
        <f t="array" ref="AB308">MAX(IF(ISNUMBER(J308:Y308),J308:Y308))</f>
        <v>1261739</v>
      </c>
      <c r="AC308" cm="1" s="0">
        <f t="array" ref="AC308">MIN(IF(ISNUMBER(J308:Y308),J308:Y308))</f>
        <v>743605</v>
      </c>
      <c r="AD308" s="0">
        <f t="shared" si="95"/>
        <v>518134</v>
      </c>
    </row>
    <row r="309" spans="1:30" x14ac:dyDescent="0.2">
      <c r="A309" t="s" s="0">
        <v>3688</v>
      </c>
      <c r="B309" s="2">
        <v>822886</v>
      </c>
      <c r="C309" s="2">
        <v>22892</v>
      </c>
      <c r="D309" s="2">
        <v>41899</v>
      </c>
      <c r="E309" s="2">
        <v>42085</v>
      </c>
      <c r="F309" s="2">
        <v>47174</v>
      </c>
      <c r="G309" s="2">
        <v>36585</v>
      </c>
      <c r="I309" t="str" s="0">
        <f t="shared" si="84"/>
        <v>11/02</v>
      </c>
      <c r="J309" s="2">
        <f t="shared" si="85"/>
        <v>1065841</v>
      </c>
      <c r="K309" s="2">
        <f t="shared" si="86"/>
        <v>767540</v>
      </c>
      <c r="L309" s="2">
        <f t="shared" si="87"/>
        <v>998489</v>
      </c>
      <c r="M309" s="2">
        <f t="shared" si="88"/>
        <v>897590</v>
      </c>
      <c r="N309" s="2">
        <f t="shared" si="89"/>
        <v>1024425</v>
      </c>
      <c r="O309" s="2">
        <f t="shared" si="90"/>
        <v>1305712</v>
      </c>
      <c r="P309" s="2">
        <f t="shared" si="91"/>
        <v>1021639</v>
      </c>
      <c r="Q309" s="2">
        <f t="shared" si="92"/>
        <v>1138162</v>
      </c>
      <c r="R309" s="2">
        <f t="shared" si="93"/>
        <v>1196818</v>
      </c>
      <c r="S309" s="2">
        <f t="shared" si="94"/>
        <v>1152811</v>
      </c>
      <c r="T309" s="2" t="e">
        <f t="shared" si="104"/>
        <v>#N/A</v>
      </c>
      <c r="U309" s="2" t="e">
        <f t="shared" si="96"/>
        <v>#N/A</v>
      </c>
      <c r="V309" s="2" t="e">
        <f t="shared" si="97"/>
        <v>#N/A</v>
      </c>
      <c r="W309" s="2" t="e">
        <f t="shared" si="98"/>
        <v>#N/A</v>
      </c>
      <c r="X309" s="2" t="e">
        <f t="shared" si="99"/>
        <v>#N/A</v>
      </c>
      <c r="Y309" s="2" t="e">
        <f t="shared" si="100"/>
        <v>#N/A</v>
      </c>
      <c r="Z309" s="0">
        <f t="shared" ca="1" si="102"/>
        <v>1163028.3999999999</v>
      </c>
      <c r="AA309" s="0">
        <f t="shared" ca="1" si="101"/>
        <v>1056902.7</v>
      </c>
      <c r="AB309" cm="1" s="0">
        <f t="array" ref="AB309">MAX(IF(ISNUMBER(J309:Y309),J309:Y309))</f>
        <v>1305712</v>
      </c>
      <c r="AC309" cm="1" s="0">
        <f t="array" ref="AC309">MIN(IF(ISNUMBER(J309:Y309),J309:Y309))</f>
        <v>767540</v>
      </c>
      <c r="AD309" s="0">
        <f t="shared" si="95"/>
        <v>538172</v>
      </c>
    </row>
    <row r="310" spans="1:30" x14ac:dyDescent="0.2">
      <c r="A310" t="s" s="0">
        <v>3687</v>
      </c>
      <c r="B310" s="2">
        <v>850156</v>
      </c>
      <c r="C310" s="2">
        <v>40076</v>
      </c>
      <c r="D310" s="2">
        <v>41889</v>
      </c>
      <c r="E310" s="2">
        <v>42009</v>
      </c>
      <c r="F310" s="2">
        <v>43336</v>
      </c>
      <c r="G310" s="2">
        <v>37920</v>
      </c>
      <c r="I310" t="str" s="0">
        <f t="shared" si="84"/>
        <v>11/03</v>
      </c>
      <c r="J310" s="2">
        <f t="shared" si="85"/>
        <v>1041805</v>
      </c>
      <c r="K310" s="2">
        <f t="shared" si="86"/>
        <v>796600</v>
      </c>
      <c r="L310" s="2">
        <f t="shared" si="87"/>
        <v>998489</v>
      </c>
      <c r="M310" s="2">
        <f t="shared" si="88"/>
        <v>897590</v>
      </c>
      <c r="N310" s="2">
        <f t="shared" si="89"/>
        <v>991257</v>
      </c>
      <c r="O310" s="2">
        <f t="shared" si="90"/>
        <v>1242344</v>
      </c>
      <c r="P310" s="2">
        <f t="shared" si="91"/>
        <v>1027800</v>
      </c>
      <c r="Q310" s="2">
        <f t="shared" si="92"/>
        <v>1136911</v>
      </c>
      <c r="R310" s="2">
        <f t="shared" si="93"/>
        <v>1196818</v>
      </c>
      <c r="S310" s="2">
        <f t="shared" si="94"/>
        <v>1134002</v>
      </c>
      <c r="T310" s="2" t="e">
        <f t="shared" si="104"/>
        <v>#N/A</v>
      </c>
      <c r="U310" s="2" t="e">
        <f t="shared" si="96"/>
        <v>#N/A</v>
      </c>
      <c r="V310" s="2" t="e">
        <f t="shared" si="97"/>
        <v>#N/A</v>
      </c>
      <c r="W310" s="2" t="e">
        <f t="shared" si="98"/>
        <v>#N/A</v>
      </c>
      <c r="X310" s="2" t="e">
        <f t="shared" si="99"/>
        <v>#N/A</v>
      </c>
      <c r="Y310" s="2" t="e">
        <f t="shared" si="100"/>
        <v>#N/A</v>
      </c>
      <c r="Z310" s="0">
        <f t="shared" ca="1" si="102"/>
        <v>1147575</v>
      </c>
      <c r="AA310" s="0">
        <f t="shared" ca="1" si="101"/>
        <v>1046361.6</v>
      </c>
      <c r="AB310" cm="1" s="0">
        <f t="array" ref="AB310">MAX(IF(ISNUMBER(J310:Y310),J310:Y310))</f>
        <v>1242344</v>
      </c>
      <c r="AC310" cm="1" s="0">
        <f t="array" ref="AC310">MIN(IF(ISNUMBER(J310:Y310),J310:Y310))</f>
        <v>796600</v>
      </c>
      <c r="AD310" s="0">
        <f t="shared" si="95"/>
        <v>445744</v>
      </c>
    </row>
    <row r="311" spans="1:30" x14ac:dyDescent="0.2">
      <c r="A311" t="s" s="0">
        <v>3686</v>
      </c>
      <c r="B311" s="2">
        <v>830470</v>
      </c>
      <c r="C311" s="2">
        <v>51721</v>
      </c>
      <c r="D311" s="2">
        <v>43841</v>
      </c>
      <c r="E311" s="2">
        <v>41893</v>
      </c>
      <c r="F311" s="2">
        <v>47780</v>
      </c>
      <c r="G311" s="2">
        <v>35840</v>
      </c>
      <c r="I311" t="str" s="0">
        <f t="shared" si="84"/>
        <v>11/04</v>
      </c>
      <c r="J311" s="2">
        <f t="shared" si="85"/>
        <v>1013968</v>
      </c>
      <c r="K311" s="2">
        <f t="shared" si="86"/>
        <v>796600</v>
      </c>
      <c r="L311" s="2">
        <f t="shared" si="87"/>
        <v>998489</v>
      </c>
      <c r="M311" s="2">
        <f t="shared" si="88"/>
        <v>886424</v>
      </c>
      <c r="N311" s="2">
        <f t="shared" si="89"/>
        <v>969392</v>
      </c>
      <c r="O311" s="2">
        <f t="shared" si="90"/>
        <v>1262453</v>
      </c>
      <c r="P311" s="2">
        <f t="shared" si="91"/>
        <v>1066803</v>
      </c>
      <c r="Q311" s="2">
        <f t="shared" si="92"/>
        <v>1136911</v>
      </c>
      <c r="R311" s="2">
        <f t="shared" si="93"/>
        <v>1196818</v>
      </c>
      <c r="S311" s="2">
        <f t="shared" si="94"/>
        <v>1090964</v>
      </c>
      <c r="T311" s="2" t="e">
        <f t="shared" si="104"/>
        <v>#N/A</v>
      </c>
      <c r="U311" s="2" t="e">
        <f t="shared" si="96"/>
        <v>#N/A</v>
      </c>
      <c r="V311" s="2" t="e">
        <f t="shared" si="97"/>
        <v>#N/A</v>
      </c>
      <c r="W311" s="2" t="e">
        <f t="shared" si="98"/>
        <v>#N/A</v>
      </c>
      <c r="X311" s="2" t="e">
        <f t="shared" si="99"/>
        <v>#N/A</v>
      </c>
      <c r="Y311" s="2" t="e">
        <f t="shared" si="100"/>
        <v>#N/A</v>
      </c>
      <c r="Z311" s="0">
        <f t="shared" ca="1" si="102"/>
        <v>1150789.8</v>
      </c>
      <c r="AA311" s="0">
        <f t="shared" ca="1" si="101"/>
        <v>1041882.2</v>
      </c>
      <c r="AB311" cm="1" s="0">
        <f t="array" ref="AB311">MAX(IF(ISNUMBER(J311:Y311),J311:Y311))</f>
        <v>1262453</v>
      </c>
      <c r="AC311" cm="1" s="0">
        <f t="array" ref="AC311">MIN(IF(ISNUMBER(J311:Y311),J311:Y311))</f>
        <v>796600</v>
      </c>
      <c r="AD311" s="0">
        <f t="shared" si="95"/>
        <v>465853</v>
      </c>
    </row>
    <row r="312" spans="1:30" x14ac:dyDescent="0.2">
      <c r="A312" t="s" s="0">
        <v>3685</v>
      </c>
      <c r="B312" s="2">
        <v>807264</v>
      </c>
      <c r="C312" s="2">
        <v>41145</v>
      </c>
      <c r="D312" s="2">
        <v>46640</v>
      </c>
      <c r="E312" s="2">
        <v>43190</v>
      </c>
      <c r="F312" s="2">
        <v>39232</v>
      </c>
      <c r="G312" s="2">
        <v>37628</v>
      </c>
      <c r="I312" t="str" s="0">
        <f t="shared" si="84"/>
        <v>11/05</v>
      </c>
      <c r="J312" s="2">
        <f t="shared" si="85"/>
        <v>992268</v>
      </c>
      <c r="K312" s="2">
        <f t="shared" si="86"/>
        <v>796600</v>
      </c>
      <c r="L312" s="2">
        <f t="shared" si="87"/>
        <v>1033199</v>
      </c>
      <c r="M312" s="2">
        <f t="shared" si="88"/>
        <v>849993</v>
      </c>
      <c r="N312" s="2">
        <f t="shared" si="89"/>
        <v>928550</v>
      </c>
      <c r="O312" s="2">
        <f t="shared" si="90"/>
        <v>1248625</v>
      </c>
      <c r="P312" s="2">
        <f t="shared" si="91"/>
        <v>1066803</v>
      </c>
      <c r="Q312" s="2">
        <f t="shared" si="92"/>
        <v>1136911</v>
      </c>
      <c r="R312" s="2">
        <f t="shared" si="93"/>
        <v>1185415</v>
      </c>
      <c r="S312" s="2">
        <f t="shared" si="94"/>
        <v>1095012</v>
      </c>
      <c r="T312" s="2" t="e">
        <f t="shared" si="104"/>
        <v>#N/A</v>
      </c>
      <c r="U312" s="2" t="e">
        <f t="shared" si="96"/>
        <v>#N/A</v>
      </c>
      <c r="V312" s="2" t="e">
        <f t="shared" si="97"/>
        <v>#N/A</v>
      </c>
      <c r="W312" s="2" t="e">
        <f t="shared" si="98"/>
        <v>#N/A</v>
      </c>
      <c r="X312" s="2" t="e">
        <f t="shared" si="99"/>
        <v>#N/A</v>
      </c>
      <c r="Y312" s="2" t="e">
        <f t="shared" si="100"/>
        <v>#N/A</v>
      </c>
      <c r="Z312" s="0">
        <f t="shared" ca="1" si="102"/>
        <v>1146553.2</v>
      </c>
      <c r="AA312" s="0">
        <f t="shared" ca="1" si="101"/>
        <v>1033337.6</v>
      </c>
      <c r="AB312" cm="1" s="0">
        <f t="array" ref="AB312">MAX(IF(ISNUMBER(J312:Y312),J312:Y312))</f>
        <v>1248625</v>
      </c>
      <c r="AC312" cm="1" s="0">
        <f t="array" ref="AC312">MIN(IF(ISNUMBER(J312:Y312),J312:Y312))</f>
        <v>796600</v>
      </c>
      <c r="AD312" s="0">
        <f t="shared" si="95"/>
        <v>452025</v>
      </c>
    </row>
    <row r="313" spans="1:30" x14ac:dyDescent="0.2">
      <c r="A313" t="s" s="0">
        <v>3684</v>
      </c>
      <c r="B313" s="2">
        <v>849646</v>
      </c>
      <c r="C313" s="2">
        <v>40991</v>
      </c>
      <c r="D313" s="2">
        <v>43211</v>
      </c>
      <c r="E313" s="2">
        <v>43055</v>
      </c>
      <c r="F313" s="2">
        <v>51077</v>
      </c>
      <c r="G313" s="2">
        <v>38107</v>
      </c>
      <c r="I313" t="str" s="0">
        <f t="shared" si="84"/>
        <v>11/06</v>
      </c>
      <c r="J313" s="2">
        <f t="shared" si="85"/>
        <v>992268</v>
      </c>
      <c r="K313" s="2">
        <f t="shared" si="86"/>
        <v>915331</v>
      </c>
      <c r="L313" s="2">
        <f t="shared" si="87"/>
        <v>1059604</v>
      </c>
      <c r="M313" s="2">
        <f t="shared" si="88"/>
        <v>773375</v>
      </c>
      <c r="N313" s="2">
        <f t="shared" si="89"/>
        <v>926476</v>
      </c>
      <c r="O313" s="2">
        <f t="shared" si="90"/>
        <v>1248625</v>
      </c>
      <c r="P313" s="2">
        <f t="shared" si="91"/>
        <v>1066803</v>
      </c>
      <c r="Q313" s="2">
        <f t="shared" si="92"/>
        <v>1161829</v>
      </c>
      <c r="R313" s="2">
        <f t="shared" si="93"/>
        <v>1161075</v>
      </c>
      <c r="S313" s="2">
        <f t="shared" si="94"/>
        <v>1081232</v>
      </c>
      <c r="T313" s="2" t="e">
        <f t="shared" si="104"/>
        <v>#N/A</v>
      </c>
      <c r="U313" s="2" t="e">
        <f t="shared" si="96"/>
        <v>#N/A</v>
      </c>
      <c r="V313" s="2" t="e">
        <f t="shared" si="97"/>
        <v>#N/A</v>
      </c>
      <c r="W313" s="2" t="e">
        <f t="shared" si="98"/>
        <v>#N/A</v>
      </c>
      <c r="X313" s="2" t="e">
        <f t="shared" si="99"/>
        <v>#N/A</v>
      </c>
      <c r="Y313" s="2" t="e">
        <f t="shared" si="100"/>
        <v>#N/A</v>
      </c>
      <c r="Z313" s="0">
        <f t="shared" ca="1" si="102"/>
        <v>1143912.8</v>
      </c>
      <c r="AA313" s="0">
        <f t="shared" ca="1" si="101"/>
        <v>1038661.8</v>
      </c>
      <c r="AB313" cm="1" s="0">
        <f t="array" ref="AB313">MAX(IF(ISNUMBER(J313:Y313),J313:Y313))</f>
        <v>1248625</v>
      </c>
      <c r="AC313" cm="1" s="0">
        <f t="array" ref="AC313">MIN(IF(ISNUMBER(J313:Y313),J313:Y313))</f>
        <v>773375</v>
      </c>
      <c r="AD313" s="0">
        <f t="shared" si="95"/>
        <v>475250</v>
      </c>
    </row>
    <row r="314" spans="1:30" x14ac:dyDescent="0.2">
      <c r="A314" t="s" s="0">
        <v>3683</v>
      </c>
      <c r="B314" s="3">
        <v>849646</v>
      </c>
      <c r="C314" s="3">
        <v>40991</v>
      </c>
      <c r="D314" s="3">
        <v>43211</v>
      </c>
      <c r="E314" s="3">
        <v>43055</v>
      </c>
      <c r="F314" s="3">
        <v>51077</v>
      </c>
      <c r="G314" s="3">
        <v>38107</v>
      </c>
      <c r="I314" t="str" s="0">
        <f t="shared" si="84"/>
        <v>11/07</v>
      </c>
      <c r="J314" s="2">
        <f t="shared" si="85"/>
        <v>992268</v>
      </c>
      <c r="K314" s="2">
        <f t="shared" si="86"/>
        <v>915105</v>
      </c>
      <c r="L314" s="2">
        <f t="shared" si="87"/>
        <v>1005732</v>
      </c>
      <c r="M314" s="2">
        <f t="shared" si="88"/>
        <v>918336</v>
      </c>
      <c r="N314" s="2">
        <f t="shared" si="89"/>
        <v>990962</v>
      </c>
      <c r="O314" s="2">
        <f t="shared" si="90"/>
        <v>1248625</v>
      </c>
      <c r="P314" s="2">
        <f t="shared" si="91"/>
        <v>1119190</v>
      </c>
      <c r="Q314" s="2">
        <f t="shared" si="92"/>
        <v>1188224</v>
      </c>
      <c r="R314" s="2">
        <f t="shared" si="93"/>
        <v>1180653</v>
      </c>
      <c r="S314" s="2">
        <f t="shared" si="94"/>
        <v>1121508</v>
      </c>
      <c r="T314" s="2" t="e">
        <f t="shared" si="104"/>
        <v>#N/A</v>
      </c>
      <c r="U314" s="2" t="e">
        <f t="shared" si="96"/>
        <v>#N/A</v>
      </c>
      <c r="V314" s="2" t="e">
        <f t="shared" si="97"/>
        <v>#N/A</v>
      </c>
      <c r="W314" s="2" t="e">
        <f t="shared" si="98"/>
        <v>#N/A</v>
      </c>
      <c r="X314" s="2" t="e">
        <f t="shared" si="99"/>
        <v>#N/A</v>
      </c>
      <c r="Y314" s="2" t="e">
        <f t="shared" si="100"/>
        <v>#N/A</v>
      </c>
      <c r="Z314" s="0">
        <f t="shared" ca="1" si="102"/>
        <v>1171640</v>
      </c>
      <c r="AA314" s="0">
        <f t="shared" ca="1" si="101"/>
        <v>1068060.3</v>
      </c>
      <c r="AB314" cm="1" s="0">
        <f t="array" ref="AB314">MAX(IF(ISNUMBER(J314:Y314),J314:Y314))</f>
        <v>1248625</v>
      </c>
      <c r="AC314" cm="1" s="0">
        <f t="array" ref="AC314">MIN(IF(ISNUMBER(J314:Y314),J314:Y314))</f>
        <v>915105</v>
      </c>
      <c r="AD314" s="0">
        <f t="shared" si="95"/>
        <v>333520</v>
      </c>
    </row>
    <row r="315" spans="1:30" x14ac:dyDescent="0.2">
      <c r="A315" t="s" s="0">
        <v>3682</v>
      </c>
      <c r="B315" s="3">
        <v>849646</v>
      </c>
      <c r="C315" s="3">
        <v>40991</v>
      </c>
      <c r="D315" s="3">
        <v>43211</v>
      </c>
      <c r="E315" s="3">
        <v>43055</v>
      </c>
      <c r="F315" s="3">
        <v>51077</v>
      </c>
      <c r="G315" s="3">
        <v>38107</v>
      </c>
      <c r="I315" t="str" s="0">
        <f t="shared" si="84"/>
        <v>11/08</v>
      </c>
      <c r="J315" s="2">
        <f t="shared" si="85"/>
        <v>917797</v>
      </c>
      <c r="K315" s="2">
        <f t="shared" si="86"/>
        <v>878151</v>
      </c>
      <c r="L315" s="2">
        <f t="shared" si="87"/>
        <v>998212</v>
      </c>
      <c r="M315" s="2">
        <f t="shared" si="88"/>
        <v>1156267</v>
      </c>
      <c r="N315" s="2">
        <f t="shared" si="89"/>
        <v>990962</v>
      </c>
      <c r="O315" s="2">
        <f t="shared" si="90"/>
        <v>1281024</v>
      </c>
      <c r="P315" s="2">
        <f t="shared" si="91"/>
        <v>1094338</v>
      </c>
      <c r="Q315" s="2">
        <f t="shared" si="92"/>
        <v>1153592</v>
      </c>
      <c r="R315" s="2">
        <f t="shared" si="93"/>
        <v>1182333</v>
      </c>
      <c r="S315" s="2">
        <f t="shared" si="94"/>
        <v>1121508</v>
      </c>
      <c r="T315" s="2" t="e">
        <f t="shared" si="104"/>
        <v>#N/A</v>
      </c>
      <c r="U315" s="2" t="e">
        <f t="shared" si="96"/>
        <v>#N/A</v>
      </c>
      <c r="V315" s="2" t="e">
        <f t="shared" si="97"/>
        <v>#N/A</v>
      </c>
      <c r="W315" s="2" t="e">
        <f t="shared" si="98"/>
        <v>#N/A</v>
      </c>
      <c r="X315" s="2" t="e">
        <f t="shared" si="99"/>
        <v>#N/A</v>
      </c>
      <c r="Y315" s="2" t="e">
        <f t="shared" si="100"/>
        <v>#N/A</v>
      </c>
      <c r="Z315" s="0">
        <f t="shared" ca="1" si="102"/>
        <v>1166559</v>
      </c>
      <c r="AA315" s="0">
        <f t="shared" ca="1" si="101"/>
        <v>1077418.3999999999</v>
      </c>
      <c r="AB315" cm="1" s="0">
        <f t="array" ref="AB315">MAX(IF(ISNUMBER(J315:Y315),J315:Y315))</f>
        <v>1281024</v>
      </c>
      <c r="AC315" cm="1" s="0">
        <f t="array" ref="AC315">MIN(IF(ISNUMBER(J315:Y315),J315:Y315))</f>
        <v>878151</v>
      </c>
      <c r="AD315" s="0">
        <f t="shared" si="95"/>
        <v>402873</v>
      </c>
    </row>
    <row r="316" spans="1:30" x14ac:dyDescent="0.2">
      <c r="A316" t="s" s="0">
        <v>3681</v>
      </c>
      <c r="B316" s="2">
        <v>903390</v>
      </c>
      <c r="C316" s="2">
        <v>21650</v>
      </c>
      <c r="D316" s="2">
        <v>47063</v>
      </c>
      <c r="E316" s="2">
        <v>43557</v>
      </c>
      <c r="F316" s="2">
        <v>58497</v>
      </c>
      <c r="G316" s="2">
        <v>42087</v>
      </c>
      <c r="I316" t="str" s="0">
        <f t="shared" si="84"/>
        <v>11/09</v>
      </c>
      <c r="J316" s="2">
        <f t="shared" si="85"/>
        <v>910454</v>
      </c>
      <c r="K316" s="2">
        <f t="shared" si="86"/>
        <v>940536</v>
      </c>
      <c r="L316" s="2">
        <f t="shared" si="87"/>
        <v>1009065</v>
      </c>
      <c r="M316" s="2">
        <f t="shared" si="88"/>
        <v>1156267</v>
      </c>
      <c r="N316" s="2">
        <f t="shared" si="89"/>
        <v>990962</v>
      </c>
      <c r="O316" s="2">
        <f t="shared" si="90"/>
        <v>1232572</v>
      </c>
      <c r="P316" s="2">
        <f t="shared" si="91"/>
        <v>1053828</v>
      </c>
      <c r="Q316" s="2">
        <f t="shared" si="92"/>
        <v>1102761</v>
      </c>
      <c r="R316" s="2">
        <f t="shared" si="93"/>
        <v>1178153</v>
      </c>
      <c r="S316" s="2">
        <f t="shared" si="94"/>
        <v>1121508</v>
      </c>
      <c r="T316" s="2" t="e">
        <f t="shared" si="104"/>
        <v>#N/A</v>
      </c>
      <c r="U316" s="2" t="e">
        <f t="shared" si="96"/>
        <v>#N/A</v>
      </c>
      <c r="V316" s="2" t="e">
        <f t="shared" si="97"/>
        <v>#N/A</v>
      </c>
      <c r="W316" s="2" t="e">
        <f t="shared" si="98"/>
        <v>#N/A</v>
      </c>
      <c r="X316" s="2" t="e">
        <f t="shared" si="99"/>
        <v>#N/A</v>
      </c>
      <c r="Y316" s="2" t="e">
        <f t="shared" si="100"/>
        <v>#N/A</v>
      </c>
      <c r="Z316" s="0">
        <f t="shared" ca="1" si="102"/>
        <v>1137764.3999999999</v>
      </c>
      <c r="AA316" s="0">
        <f t="shared" ca="1" si="101"/>
        <v>1069610.6000000001</v>
      </c>
      <c r="AB316" cm="1" s="0">
        <f t="array" ref="AB316">MAX(IF(ISNUMBER(J316:Y316),J316:Y316))</f>
        <v>1232572</v>
      </c>
      <c r="AC316" cm="1" s="0">
        <f t="array" ref="AC316">MIN(IF(ISNUMBER(J316:Y316),J316:Y316))</f>
        <v>910454</v>
      </c>
      <c r="AD316" s="0">
        <f t="shared" si="95"/>
        <v>322118</v>
      </c>
    </row>
    <row r="317" spans="1:30" x14ac:dyDescent="0.2">
      <c r="A317" t="s" s="0">
        <v>3680</v>
      </c>
      <c r="B317" s="2">
        <v>910024</v>
      </c>
      <c r="C317" s="2">
        <v>38596</v>
      </c>
      <c r="D317" s="2">
        <v>46745</v>
      </c>
      <c r="E317" s="2">
        <v>43065</v>
      </c>
      <c r="F317" s="2">
        <v>55232</v>
      </c>
      <c r="G317" s="2">
        <v>40673</v>
      </c>
      <c r="I317" t="str" s="0">
        <f t="shared" si="84"/>
        <v>11/10</v>
      </c>
      <c r="J317" s="2">
        <f t="shared" si="85"/>
        <v>906752</v>
      </c>
      <c r="K317" s="2">
        <f t="shared" si="86"/>
        <v>900531</v>
      </c>
      <c r="L317" s="2">
        <f t="shared" si="87"/>
        <v>1009065</v>
      </c>
      <c r="M317" s="2">
        <f t="shared" si="88"/>
        <v>1156267</v>
      </c>
      <c r="N317" s="2">
        <f t="shared" si="89"/>
        <v>935172</v>
      </c>
      <c r="O317" s="2">
        <f t="shared" si="90"/>
        <v>1356929</v>
      </c>
      <c r="P317" s="2">
        <f t="shared" si="91"/>
        <v>1143323</v>
      </c>
      <c r="Q317" s="2">
        <f t="shared" si="92"/>
        <v>1099927</v>
      </c>
      <c r="R317" s="2">
        <f t="shared" si="93"/>
        <v>1178153</v>
      </c>
      <c r="S317" s="2">
        <f t="shared" si="94"/>
        <v>1144657</v>
      </c>
      <c r="T317" s="2" t="e">
        <f t="shared" si="104"/>
        <v>#N/A</v>
      </c>
      <c r="U317" s="2" t="e">
        <f t="shared" si="96"/>
        <v>#N/A</v>
      </c>
      <c r="V317" s="2" t="e">
        <f t="shared" si="97"/>
        <v>#N/A</v>
      </c>
      <c r="W317" s="2" t="e">
        <f t="shared" si="98"/>
        <v>#N/A</v>
      </c>
      <c r="X317" s="2" t="e">
        <f t="shared" si="99"/>
        <v>#N/A</v>
      </c>
      <c r="Y317" s="2" t="e">
        <f t="shared" si="100"/>
        <v>#N/A</v>
      </c>
      <c r="Z317" s="0">
        <f t="shared" ca="1" si="102"/>
        <v>1184597.8</v>
      </c>
      <c r="AA317" s="0">
        <f t="shared" ca="1" si="101"/>
        <v>1083077.6000000001</v>
      </c>
      <c r="AB317" cm="1" s="0">
        <f t="array" ref="AB317">MAX(IF(ISNUMBER(J317:Y317),J317:Y317))</f>
        <v>1356929</v>
      </c>
      <c r="AC317" cm="1" s="0">
        <f t="array" ref="AC317">MIN(IF(ISNUMBER(J317:Y317),J317:Y317))</f>
        <v>900531</v>
      </c>
      <c r="AD317" s="0">
        <f t="shared" si="95"/>
        <v>456398</v>
      </c>
    </row>
    <row r="318" spans="1:30" x14ac:dyDescent="0.2">
      <c r="A318" t="s" s="0">
        <v>3679</v>
      </c>
      <c r="B318" s="2">
        <v>894016</v>
      </c>
      <c r="C318" s="2">
        <v>50495</v>
      </c>
      <c r="D318" s="2">
        <v>46570</v>
      </c>
      <c r="E318" s="2">
        <v>42871</v>
      </c>
      <c r="F318" s="2">
        <v>55508</v>
      </c>
      <c r="G318" s="2">
        <v>41886</v>
      </c>
      <c r="I318" t="str" s="0">
        <f t="shared" si="84"/>
        <v>11/11</v>
      </c>
      <c r="J318" s="2">
        <f t="shared" si="85"/>
        <v>876437</v>
      </c>
      <c r="K318" s="2">
        <f t="shared" si="86"/>
        <v>900531</v>
      </c>
      <c r="L318" s="2">
        <f t="shared" si="87"/>
        <v>1009065</v>
      </c>
      <c r="M318" s="2">
        <f t="shared" si="88"/>
        <v>1089429</v>
      </c>
      <c r="N318" s="2">
        <f t="shared" si="89"/>
        <v>902710</v>
      </c>
      <c r="O318" s="2">
        <f t="shared" si="90"/>
        <v>1369093</v>
      </c>
      <c r="P318" s="2">
        <f t="shared" si="91"/>
        <v>1221020</v>
      </c>
      <c r="Q318" s="2">
        <f t="shared" si="92"/>
        <v>1099927</v>
      </c>
      <c r="R318" s="2">
        <f t="shared" si="93"/>
        <v>1178153</v>
      </c>
      <c r="S318" s="2">
        <f t="shared" si="94"/>
        <v>1107839</v>
      </c>
      <c r="T318" s="2" t="e">
        <f t="shared" si="104"/>
        <v>#N/A</v>
      </c>
      <c r="U318" s="2" t="e">
        <f t="shared" si="96"/>
        <v>#N/A</v>
      </c>
      <c r="V318" s="2" t="e">
        <f t="shared" si="97"/>
        <v>#N/A</v>
      </c>
      <c r="W318" s="2" t="e">
        <f t="shared" si="98"/>
        <v>#N/A</v>
      </c>
      <c r="X318" s="2" t="e">
        <f t="shared" si="99"/>
        <v>#N/A</v>
      </c>
      <c r="Y318" s="2" t="e">
        <f t="shared" si="100"/>
        <v>#N/A</v>
      </c>
      <c r="Z318" s="0">
        <f t="shared" ca="1" si="102"/>
        <v>1195206.3999999999</v>
      </c>
      <c r="AA318" s="0">
        <f t="shared" ca="1" si="101"/>
        <v>1075420.3999999999</v>
      </c>
      <c r="AB318" cm="1" s="0">
        <f t="array" ref="AB318">MAX(IF(ISNUMBER(J318:Y318),J318:Y318))</f>
        <v>1369093</v>
      </c>
      <c r="AC318" cm="1" s="0">
        <f t="array" ref="AC318">MIN(IF(ISNUMBER(J318:Y318),J318:Y318))</f>
        <v>876437</v>
      </c>
      <c r="AD318" s="0">
        <f t="shared" si="95"/>
        <v>492656</v>
      </c>
    </row>
    <row r="319" spans="1:30" x14ac:dyDescent="0.2">
      <c r="A319" t="s" s="0">
        <v>3678</v>
      </c>
      <c r="B319" s="2">
        <v>929722</v>
      </c>
      <c r="C319" s="2">
        <v>37221</v>
      </c>
      <c r="D319" s="2">
        <v>41428</v>
      </c>
      <c r="E319" s="2">
        <v>42153</v>
      </c>
      <c r="F319" s="2">
        <v>58782</v>
      </c>
      <c r="G319" s="2">
        <v>43491</v>
      </c>
      <c r="I319" t="str" s="0">
        <f t="shared" si="84"/>
        <v>11/12</v>
      </c>
      <c r="J319" s="2">
        <f t="shared" si="85"/>
        <v>832528</v>
      </c>
      <c r="K319" s="2">
        <f t="shared" si="86"/>
        <v>900531</v>
      </c>
      <c r="L319" s="2">
        <f t="shared" si="87"/>
        <v>1030347</v>
      </c>
      <c r="M319" s="2">
        <f t="shared" si="88"/>
        <v>1059175</v>
      </c>
      <c r="N319" s="2">
        <f t="shared" si="89"/>
        <v>911796</v>
      </c>
      <c r="O319" s="2">
        <f t="shared" si="90"/>
        <v>1318581</v>
      </c>
      <c r="P319" s="2">
        <f t="shared" si="91"/>
        <v>1221020</v>
      </c>
      <c r="Q319" s="2">
        <f t="shared" si="92"/>
        <v>1099927</v>
      </c>
      <c r="R319" s="2">
        <f t="shared" si="93"/>
        <v>1198296</v>
      </c>
      <c r="S319" s="2">
        <f t="shared" si="94"/>
        <v>1075863</v>
      </c>
      <c r="T319" s="2" t="e">
        <f t="shared" si="104"/>
        <v>#N/A</v>
      </c>
      <c r="U319" s="2" t="e">
        <f t="shared" si="96"/>
        <v>#N/A</v>
      </c>
      <c r="V319" s="2" t="e">
        <f t="shared" si="97"/>
        <v>#N/A</v>
      </c>
      <c r="W319" s="2" t="e">
        <f t="shared" si="98"/>
        <v>#N/A</v>
      </c>
      <c r="X319" s="2" t="e">
        <f t="shared" si="99"/>
        <v>#N/A</v>
      </c>
      <c r="Y319" s="2" t="e">
        <f t="shared" si="100"/>
        <v>#N/A</v>
      </c>
      <c r="Z319" s="0">
        <f t="shared" ca="1" si="102"/>
        <v>1182737.3999999999</v>
      </c>
      <c r="AA319" s="0">
        <f t="shared" ca="1" si="101"/>
        <v>1064806.3999999999</v>
      </c>
      <c r="AB319" cm="1" s="0">
        <f t="array" ref="AB319">MAX(IF(ISNUMBER(J319:Y319),J319:Y319))</f>
        <v>1318581</v>
      </c>
      <c r="AC319" cm="1" s="0">
        <f t="array" ref="AC319">MIN(IF(ISNUMBER(J319:Y319),J319:Y319))</f>
        <v>832528</v>
      </c>
      <c r="AD319" s="0">
        <f t="shared" si="95"/>
        <v>486053</v>
      </c>
    </row>
    <row r="320" spans="1:30" x14ac:dyDescent="0.2">
      <c r="A320" t="s" s="0">
        <v>3677</v>
      </c>
      <c r="B320" s="2">
        <v>884270</v>
      </c>
      <c r="C320" s="2">
        <v>45452</v>
      </c>
      <c r="D320" s="2">
        <v>42066</v>
      </c>
      <c r="E320" s="2">
        <v>42308</v>
      </c>
      <c r="F320" s="2">
        <v>46937</v>
      </c>
      <c r="G320" s="2">
        <v>43491</v>
      </c>
      <c r="I320" t="str" s="0">
        <f t="shared" si="84"/>
        <v>11/13</v>
      </c>
      <c r="J320" s="2">
        <f t="shared" si="85"/>
        <v>832528</v>
      </c>
      <c r="K320" s="2">
        <f t="shared" si="86"/>
        <v>941276</v>
      </c>
      <c r="L320" s="2">
        <f t="shared" si="87"/>
        <v>1045052</v>
      </c>
      <c r="M320" s="2">
        <f t="shared" si="88"/>
        <v>1053956</v>
      </c>
      <c r="N320" s="2">
        <f t="shared" si="89"/>
        <v>864302</v>
      </c>
      <c r="O320" s="2">
        <f t="shared" si="90"/>
        <v>1318581</v>
      </c>
      <c r="P320" s="2">
        <f t="shared" si="91"/>
        <v>1221020</v>
      </c>
      <c r="Q320" s="2">
        <f t="shared" si="92"/>
        <v>1166749</v>
      </c>
      <c r="R320" s="2">
        <f t="shared" si="93"/>
        <v>1191413</v>
      </c>
      <c r="S320" s="2">
        <f t="shared" si="94"/>
        <v>1088163</v>
      </c>
      <c r="T320" s="2" t="e">
        <f t="shared" si="104"/>
        <v>#N/A</v>
      </c>
      <c r="U320" s="2" t="e">
        <f t="shared" si="96"/>
        <v>#N/A</v>
      </c>
      <c r="V320" s="2" t="e">
        <f t="shared" si="97"/>
        <v>#N/A</v>
      </c>
      <c r="W320" s="2" t="e">
        <f t="shared" si="98"/>
        <v>#N/A</v>
      </c>
      <c r="X320" s="2" t="e">
        <f t="shared" si="99"/>
        <v>#N/A</v>
      </c>
      <c r="Y320" s="2" t="e">
        <f t="shared" si="100"/>
        <v>#N/A</v>
      </c>
      <c r="Z320" s="0">
        <f t="shared" ca="1" si="102"/>
        <v>1197185.2</v>
      </c>
      <c r="AA320" s="0">
        <f t="shared" ca="1" si="101"/>
        <v>1072304</v>
      </c>
      <c r="AB320" cm="1" s="0">
        <f t="array" ref="AB320">MAX(IF(ISNUMBER(J320:Y320),J320:Y320))</f>
        <v>1318581</v>
      </c>
      <c r="AC320" cm="1" s="0">
        <f t="array" ref="AC320">MIN(IF(ISNUMBER(J320:Y320),J320:Y320))</f>
        <v>832528</v>
      </c>
      <c r="AD320" s="0">
        <f t="shared" si="95"/>
        <v>486053</v>
      </c>
    </row>
    <row r="321" spans="1:30" x14ac:dyDescent="0.2">
      <c r="A321" t="s" s="0">
        <v>3676</v>
      </c>
      <c r="B321" s="3">
        <v>884270</v>
      </c>
      <c r="C321" s="3">
        <v>45452</v>
      </c>
      <c r="D321" s="3">
        <v>42066</v>
      </c>
      <c r="E321" s="3">
        <v>42308</v>
      </c>
      <c r="F321" s="3">
        <v>46937</v>
      </c>
      <c r="G321" s="3">
        <v>43491</v>
      </c>
      <c r="I321" t="str" s="0">
        <f t="shared" si="84"/>
        <v>11/14</v>
      </c>
      <c r="J321" s="2">
        <f t="shared" si="85"/>
        <v>832528</v>
      </c>
      <c r="K321" s="2">
        <f t="shared" si="86"/>
        <v>1062836</v>
      </c>
      <c r="L321" s="2">
        <f t="shared" si="87"/>
        <v>1055775</v>
      </c>
      <c r="M321" s="2">
        <f t="shared" si="88"/>
        <v>1072154</v>
      </c>
      <c r="N321" s="2">
        <f t="shared" si="89"/>
        <v>851443</v>
      </c>
      <c r="O321" s="2">
        <f t="shared" si="90"/>
        <v>1318581</v>
      </c>
      <c r="P321" s="2">
        <f t="shared" si="91"/>
        <v>1211962</v>
      </c>
      <c r="Q321" s="2">
        <f t="shared" si="92"/>
        <v>1185942</v>
      </c>
      <c r="R321" s="2">
        <f t="shared" si="93"/>
        <v>1148757</v>
      </c>
      <c r="S321" s="2">
        <f t="shared" si="94"/>
        <v>1126408</v>
      </c>
      <c r="T321" s="2" t="e">
        <f t="shared" si="104"/>
        <v>#N/A</v>
      </c>
      <c r="U321" s="2" t="e">
        <f t="shared" si="96"/>
        <v>#N/A</v>
      </c>
      <c r="V321" s="2" t="e">
        <f t="shared" si="97"/>
        <v>#N/A</v>
      </c>
      <c r="W321" s="2" t="e">
        <f t="shared" si="98"/>
        <v>#N/A</v>
      </c>
      <c r="X321" s="2" t="e">
        <f t="shared" si="99"/>
        <v>#N/A</v>
      </c>
      <c r="Y321" s="2" t="e">
        <f t="shared" si="100"/>
        <v>#N/A</v>
      </c>
      <c r="Z321" s="0">
        <f t="shared" ca="1" si="102"/>
        <v>1198330</v>
      </c>
      <c r="AA321" s="0">
        <f t="shared" ca="1" si="101"/>
        <v>1086638.6000000001</v>
      </c>
      <c r="AB321" cm="1" s="0">
        <f t="array" ref="AB321">MAX(IF(ISNUMBER(J321:Y321),J321:Y321))</f>
        <v>1318581</v>
      </c>
      <c r="AC321" cm="1" s="0">
        <f t="array" ref="AC321">MIN(IF(ISNUMBER(J321:Y321),J321:Y321))</f>
        <v>832528</v>
      </c>
      <c r="AD321" s="0">
        <f t="shared" si="95"/>
        <v>486053</v>
      </c>
    </row>
    <row r="322" spans="1:30" x14ac:dyDescent="0.2">
      <c r="A322" t="s" s="0">
        <v>3675</v>
      </c>
      <c r="B322" s="3">
        <v>884270</v>
      </c>
      <c r="C322" s="3">
        <v>45452</v>
      </c>
      <c r="D322" s="3">
        <v>42066</v>
      </c>
      <c r="E322" s="3">
        <v>42308</v>
      </c>
      <c r="F322" s="3">
        <v>46937</v>
      </c>
      <c r="G322" s="3">
        <v>43491</v>
      </c>
      <c r="I322" t="str" s="0">
        <f t="shared" si="84"/>
        <v>11/15</v>
      </c>
      <c r="J322" s="2">
        <f t="shared" si="85"/>
        <v>817699</v>
      </c>
      <c r="K322" s="2">
        <f t="shared" si="86"/>
        <v>1052314</v>
      </c>
      <c r="L322" s="2">
        <f t="shared" si="87"/>
        <v>1047950</v>
      </c>
      <c r="M322" s="2">
        <f t="shared" si="88"/>
        <v>1072400</v>
      </c>
      <c r="N322" s="2">
        <f t="shared" si="89"/>
        <v>851443</v>
      </c>
      <c r="O322" s="2">
        <f t="shared" si="90"/>
        <v>1341460</v>
      </c>
      <c r="P322" s="2">
        <f t="shared" si="91"/>
        <v>1265269</v>
      </c>
      <c r="Q322" s="2">
        <f t="shared" si="92"/>
        <v>1215014</v>
      </c>
      <c r="R322" s="2">
        <f t="shared" si="93"/>
        <v>1116052</v>
      </c>
      <c r="S322" s="2">
        <f t="shared" si="94"/>
        <v>1126408</v>
      </c>
      <c r="T322" s="2" t="e">
        <f t="shared" si="104"/>
        <v>#N/A</v>
      </c>
      <c r="U322" s="2" t="e">
        <f t="shared" si="96"/>
        <v>#N/A</v>
      </c>
      <c r="V322" s="2" t="e">
        <f t="shared" si="97"/>
        <v>#N/A</v>
      </c>
      <c r="W322" s="2" t="e">
        <f t="shared" si="98"/>
        <v>#N/A</v>
      </c>
      <c r="X322" s="2" t="e">
        <f t="shared" si="99"/>
        <v>#N/A</v>
      </c>
      <c r="Y322" s="2" t="e">
        <f t="shared" si="100"/>
        <v>#N/A</v>
      </c>
      <c r="Z322" s="0">
        <f t="shared" ca="1" si="102"/>
        <v>1212840.6000000001</v>
      </c>
      <c r="AA322" s="0">
        <f t="shared" ca="1" si="101"/>
        <v>1090600.8999999999</v>
      </c>
      <c r="AB322" cm="1" s="0">
        <f t="array" ref="AB322">MAX(IF(ISNUMBER(J322:Y322),J322:Y322))</f>
        <v>1341460</v>
      </c>
      <c r="AC322" cm="1" s="0">
        <f t="array" ref="AC322">MIN(IF(ISNUMBER(J322:Y322),J322:Y322))</f>
        <v>817699</v>
      </c>
      <c r="AD322" s="0">
        <f t="shared" si="95"/>
        <v>523761</v>
      </c>
    </row>
    <row r="323" spans="1:30" x14ac:dyDescent="0.2">
      <c r="A323" t="s" s="0">
        <v>3674</v>
      </c>
      <c r="B323" s="2">
        <v>852489</v>
      </c>
      <c r="C323" s="2">
        <v>23913</v>
      </c>
      <c r="D323" s="2">
        <v>40506</v>
      </c>
      <c r="E323" s="2">
        <v>42349</v>
      </c>
      <c r="F323" s="2">
        <v>33160</v>
      </c>
      <c r="G323" s="2">
        <v>44209</v>
      </c>
      <c r="I323" t="str" s="0">
        <f t="shared" si="84"/>
        <v>11/16</v>
      </c>
      <c r="J323" s="2">
        <f t="shared" si="85"/>
        <v>776772</v>
      </c>
      <c r="K323" s="2">
        <f t="shared" si="86"/>
        <v>1181328</v>
      </c>
      <c r="L323" s="2">
        <f t="shared" si="87"/>
        <v>1111327</v>
      </c>
      <c r="M323" s="2">
        <f t="shared" si="88"/>
        <v>1072400</v>
      </c>
      <c r="N323" s="2">
        <f t="shared" si="89"/>
        <v>851443</v>
      </c>
      <c r="O323" s="2">
        <f t="shared" si="90"/>
        <v>1425494</v>
      </c>
      <c r="P323" s="2">
        <f t="shared" si="91"/>
        <v>1278202</v>
      </c>
      <c r="Q323" s="2">
        <f t="shared" si="92"/>
        <v>1209928</v>
      </c>
      <c r="R323" s="2">
        <f t="shared" si="93"/>
        <v>1125274</v>
      </c>
      <c r="S323" s="2">
        <f t="shared" si="94"/>
        <v>1126408</v>
      </c>
      <c r="T323" s="2" t="e">
        <f t="shared" si="104"/>
        <v>#N/A</v>
      </c>
      <c r="U323" s="2" t="e">
        <f t="shared" si="96"/>
        <v>#N/A</v>
      </c>
      <c r="V323" s="2" t="e">
        <f t="shared" si="97"/>
        <v>#N/A</v>
      </c>
      <c r="W323" s="2" t="e">
        <f t="shared" si="98"/>
        <v>#N/A</v>
      </c>
      <c r="X323" s="2" t="e">
        <f t="shared" si="99"/>
        <v>#N/A</v>
      </c>
      <c r="Y323" s="2" t="e">
        <f t="shared" si="100"/>
        <v>#N/A</v>
      </c>
      <c r="Z323" s="0">
        <f t="shared" ca="1" si="102"/>
        <v>1233061.2</v>
      </c>
      <c r="AA323" s="0">
        <f t="shared" ca="1" si="101"/>
        <v>1115857.6000000001</v>
      </c>
      <c r="AB323" cm="1" s="0">
        <f t="array" ref="AB323">MAX(IF(ISNUMBER(J323:Y323),J323:Y323))</f>
        <v>1425494</v>
      </c>
      <c r="AC323" cm="1" s="0">
        <f t="array" ref="AC323">MIN(IF(ISNUMBER(J323:Y323),J323:Y323))</f>
        <v>776772</v>
      </c>
      <c r="AD323" s="0">
        <f t="shared" si="95"/>
        <v>648722</v>
      </c>
    </row>
    <row r="324" spans="1:30" x14ac:dyDescent="0.2">
      <c r="A324" t="s" s="0">
        <v>3673</v>
      </c>
      <c r="B324" s="2">
        <v>839358</v>
      </c>
      <c r="C324" s="2">
        <v>38123</v>
      </c>
      <c r="D324" s="2">
        <v>40439</v>
      </c>
      <c r="E324" s="2">
        <v>42224</v>
      </c>
      <c r="F324" s="2">
        <v>30269</v>
      </c>
      <c r="G324" s="2">
        <v>41538</v>
      </c>
      <c r="I324" t="str" s="0">
        <f t="shared" ref="I324:I368" si="105">LEFT(A507, 5)</f>
        <v>11/17</v>
      </c>
      <c r="J324" s="2">
        <f t="shared" ref="J324:J368" si="106">B507</f>
        <v>796786</v>
      </c>
      <c r="K324" s="2">
        <f t="shared" ref="K324:K368" si="107">B872</f>
        <v>1122386</v>
      </c>
      <c r="L324" s="2">
        <f t="shared" ref="L324:L368" si="108">B1237</f>
        <v>1111327</v>
      </c>
      <c r="M324" s="2">
        <f t="shared" ref="M324:M368" si="109">B1602</f>
        <v>1072400</v>
      </c>
      <c r="N324" s="2">
        <f t="shared" ref="N324:N368" si="110">B1967</f>
        <v>919871</v>
      </c>
      <c r="O324" s="2">
        <f t="shared" ref="O324:O368" si="111">B2332</f>
        <v>1388448</v>
      </c>
      <c r="P324" s="2">
        <f t="shared" ref="P324:P368" si="112">B2697</f>
        <v>1328114</v>
      </c>
      <c r="Q324" s="2">
        <f t="shared" ref="Q324:Q368" si="113">B3062</f>
        <v>1262961</v>
      </c>
      <c r="R324" s="2">
        <f t="shared" ref="R324:R368" si="114">B3427</f>
        <v>1125274</v>
      </c>
      <c r="S324" s="2">
        <f t="shared" ref="S324:S368" si="115">B3792</f>
        <v>1067847</v>
      </c>
      <c r="T324" s="2" t="e">
        <f t="shared" si="104"/>
        <v>#N/A</v>
      </c>
      <c r="U324" s="2" t="e">
        <f t="shared" si="96"/>
        <v>#N/A</v>
      </c>
      <c r="V324" s="2" t="e">
        <f t="shared" si="97"/>
        <v>#N/A</v>
      </c>
      <c r="W324" s="2" t="e">
        <f t="shared" si="98"/>
        <v>#N/A</v>
      </c>
      <c r="X324" s="2" t="e">
        <f t="shared" si="99"/>
        <v>#N/A</v>
      </c>
      <c r="Y324" s="2" t="e">
        <f t="shared" si="100"/>
        <v>#N/A</v>
      </c>
      <c r="Z324" s="0">
        <f t="shared" ca="1" si="102"/>
        <v>1234528.8</v>
      </c>
      <c r="AA324" s="0">
        <f t="shared" ca="1" si="101"/>
        <v>1119541.3999999999</v>
      </c>
      <c r="AB324" cm="1" s="0">
        <f t="array" ref="AB324">MAX(IF(ISNUMBER(J324:Y324),J324:Y324))</f>
        <v>1388448</v>
      </c>
      <c r="AC324" cm="1" s="0">
        <f t="array" ref="AC324">MIN(IF(ISNUMBER(J324:Y324),J324:Y324))</f>
        <v>796786</v>
      </c>
      <c r="AD324" s="0">
        <f t="shared" ref="AD324:AD368" si="116">AB324-AC324</f>
        <v>591662</v>
      </c>
    </row>
    <row r="325" spans="1:30" x14ac:dyDescent="0.2">
      <c r="A325" t="s" s="0">
        <v>3672</v>
      </c>
      <c r="B325" s="2">
        <v>852246</v>
      </c>
      <c r="C325" s="2">
        <v>46200</v>
      </c>
      <c r="D325" s="2">
        <v>41134</v>
      </c>
      <c r="E325" s="2">
        <v>42865</v>
      </c>
      <c r="F325" s="2">
        <v>35167</v>
      </c>
      <c r="G325" s="2">
        <v>43441</v>
      </c>
      <c r="I325" t="str" s="0">
        <f t="shared" si="105"/>
        <v>11/18</v>
      </c>
      <c r="J325" s="2">
        <f t="shared" si="106"/>
        <v>750887</v>
      </c>
      <c r="K325" s="2">
        <f t="shared" si="107"/>
        <v>1122386</v>
      </c>
      <c r="L325" s="2">
        <f t="shared" si="108"/>
        <v>1111327</v>
      </c>
      <c r="M325" s="2">
        <f t="shared" si="109"/>
        <v>1018960</v>
      </c>
      <c r="N325" s="2">
        <f t="shared" si="110"/>
        <v>922503</v>
      </c>
      <c r="O325" s="2">
        <f t="shared" si="111"/>
        <v>1382067</v>
      </c>
      <c r="P325" s="2">
        <f t="shared" si="112"/>
        <v>1263025</v>
      </c>
      <c r="Q325" s="2">
        <f t="shared" si="113"/>
        <v>1262961</v>
      </c>
      <c r="R325" s="2">
        <f t="shared" si="114"/>
        <v>1125274</v>
      </c>
      <c r="S325" s="2">
        <f t="shared" si="115"/>
        <v>1101524</v>
      </c>
      <c r="T325" s="2" t="e">
        <f t="shared" si="104"/>
        <v>#N/A</v>
      </c>
      <c r="U325" s="2" t="e">
        <f t="shared" ref="U325:U368" si="117">IF(B4517=0, NA(), B4517)</f>
        <v>#N/A</v>
      </c>
      <c r="V325" s="2" t="e">
        <f t="shared" ref="V325:V368" si="118">IF(B4882=0, NA(), B4882)</f>
        <v>#N/A</v>
      </c>
      <c r="W325" s="2" t="e">
        <f t="shared" ref="W325:W368" si="119">IF(B5247=0, NA(), B5247)</f>
        <v>#N/A</v>
      </c>
      <c r="X325" s="2" t="e">
        <f t="shared" ref="X325:X368" si="120">IF(B5612=0, NA(), B5612)</f>
        <v>#N/A</v>
      </c>
      <c r="Y325" s="2" t="e">
        <f t="shared" ref="Y325:Y368" si="121">IF(B5977=0, NA(), B5977)</f>
        <v>#N/A</v>
      </c>
      <c r="Z325" s="0">
        <f t="shared" ca="1" si="102"/>
        <v>1226970.2</v>
      </c>
      <c r="AA325" s="0">
        <f t="shared" ca="1" si="101"/>
        <v>1106091.3999999999</v>
      </c>
      <c r="AB325" cm="1" s="0">
        <f t="array" ref="AB325">MAX(IF(ISNUMBER(J325:Y325),J325:Y325))</f>
        <v>1382067</v>
      </c>
      <c r="AC325" cm="1" s="0">
        <f t="array" ref="AC325">MIN(IF(ISNUMBER(J325:Y325),J325:Y325))</f>
        <v>750887</v>
      </c>
      <c r="AD325" s="0">
        <f t="shared" si="116"/>
        <v>631180</v>
      </c>
    </row>
    <row r="326" spans="1:30" x14ac:dyDescent="0.2">
      <c r="A326" t="s" s="0">
        <v>3671</v>
      </c>
      <c r="B326" s="2">
        <v>808439</v>
      </c>
      <c r="C326" s="2">
        <v>54848</v>
      </c>
      <c r="D326" s="2">
        <v>46628</v>
      </c>
      <c r="E326" s="2">
        <v>43448</v>
      </c>
      <c r="F326" s="2">
        <v>29302</v>
      </c>
      <c r="G326" s="2">
        <v>44580</v>
      </c>
      <c r="I326" t="str" s="0">
        <f t="shared" si="105"/>
        <v>11/19</v>
      </c>
      <c r="J326" s="2">
        <f t="shared" si="106"/>
        <v>748669</v>
      </c>
      <c r="K326" s="2">
        <f t="shared" si="107"/>
        <v>1122386</v>
      </c>
      <c r="L326" s="2">
        <f t="shared" si="108"/>
        <v>1092524</v>
      </c>
      <c r="M326" s="2">
        <f t="shared" si="109"/>
        <v>972799</v>
      </c>
      <c r="N326" s="2">
        <f t="shared" si="110"/>
        <v>879326</v>
      </c>
      <c r="O326" s="2">
        <f t="shared" si="111"/>
        <v>1449370</v>
      </c>
      <c r="P326" s="2">
        <f t="shared" si="112"/>
        <v>1263025</v>
      </c>
      <c r="Q326" s="2">
        <f t="shared" si="113"/>
        <v>1262961</v>
      </c>
      <c r="R326" s="2">
        <f t="shared" si="114"/>
        <v>1194388</v>
      </c>
      <c r="S326" s="2">
        <f t="shared" si="115"/>
        <v>1128855</v>
      </c>
      <c r="T326" s="2" t="e">
        <f t="shared" si="104"/>
        <v>#N/A</v>
      </c>
      <c r="U326" s="2" t="e">
        <f t="shared" si="117"/>
        <v>#N/A</v>
      </c>
      <c r="V326" s="2" t="e">
        <f t="shared" si="118"/>
        <v>#N/A</v>
      </c>
      <c r="W326" s="2" t="e">
        <f t="shared" si="119"/>
        <v>#N/A</v>
      </c>
      <c r="X326" s="2" t="e">
        <f t="shared" si="120"/>
        <v>#N/A</v>
      </c>
      <c r="Y326" s="2" t="e">
        <f t="shared" si="121"/>
        <v>#N/A</v>
      </c>
      <c r="Z326" s="0">
        <f t="shared" ca="1" si="102"/>
        <v>1259719.8</v>
      </c>
      <c r="AA326" s="0">
        <f t="shared" ref="AA326:AA368" ca="1" si="122">AVERAGE(OFFSET(J326,0,YEAR(TODAY())-2015-10,1,10))</f>
        <v>1111430.3</v>
      </c>
      <c r="AB326" cm="1" s="0">
        <f t="array" ref="AB326">MAX(IF(ISNUMBER(J326:Y326),J326:Y326))</f>
        <v>1449370</v>
      </c>
      <c r="AC326" cm="1" s="0">
        <f t="array" ref="AC326">MIN(IF(ISNUMBER(J326:Y326),J326:Y326))</f>
        <v>748669</v>
      </c>
      <c r="AD326" s="0">
        <f t="shared" si="116"/>
        <v>700701</v>
      </c>
    </row>
    <row r="327" spans="1:30" x14ac:dyDescent="0.2">
      <c r="A327" t="s" s="0">
        <v>3670</v>
      </c>
      <c r="B327" s="2">
        <v>762549</v>
      </c>
      <c r="C327" s="2">
        <v>50608</v>
      </c>
      <c r="D327" s="2">
        <v>46932</v>
      </c>
      <c r="E327" s="2">
        <v>43315</v>
      </c>
      <c r="F327" s="2">
        <v>29302</v>
      </c>
      <c r="G327" s="2">
        <v>44580</v>
      </c>
      <c r="I327" t="str" s="0">
        <f t="shared" si="105"/>
        <v>11/20</v>
      </c>
      <c r="J327" s="2">
        <f t="shared" si="106"/>
        <v>748669</v>
      </c>
      <c r="K327" s="2">
        <f t="shared" si="107"/>
        <v>1199301</v>
      </c>
      <c r="L327" s="2">
        <f t="shared" si="108"/>
        <v>1090521</v>
      </c>
      <c r="M327" s="2">
        <f t="shared" si="109"/>
        <v>1023905</v>
      </c>
      <c r="N327" s="2">
        <f t="shared" si="110"/>
        <v>852060</v>
      </c>
      <c r="O327" s="2">
        <f t="shared" si="111"/>
        <v>1449370</v>
      </c>
      <c r="P327" s="2">
        <f t="shared" si="112"/>
        <v>1263025</v>
      </c>
      <c r="Q327" s="2">
        <f t="shared" si="113"/>
        <v>1284858</v>
      </c>
      <c r="R327" s="2">
        <f t="shared" si="114"/>
        <v>1210346</v>
      </c>
      <c r="S327" s="2">
        <f t="shared" si="115"/>
        <v>1117220</v>
      </c>
      <c r="T327" s="2" t="e">
        <f t="shared" si="104"/>
        <v>#N/A</v>
      </c>
      <c r="U327" s="2" t="e">
        <f t="shared" si="117"/>
        <v>#N/A</v>
      </c>
      <c r="V327" s="2" t="e">
        <f t="shared" si="118"/>
        <v>#N/A</v>
      </c>
      <c r="W327" s="2" t="e">
        <f t="shared" si="119"/>
        <v>#N/A</v>
      </c>
      <c r="X327" s="2" t="e">
        <f t="shared" si="120"/>
        <v>#N/A</v>
      </c>
      <c r="Y327" s="2" t="e">
        <f t="shared" si="121"/>
        <v>#N/A</v>
      </c>
      <c r="Z327" s="0">
        <f t="shared" ca="1" si="102"/>
        <v>1264963.8</v>
      </c>
      <c r="AA327" s="0">
        <f t="shared" ca="1" si="122"/>
        <v>1123927.5</v>
      </c>
      <c r="AB327" cm="1" s="0">
        <f t="array" ref="AB327">MAX(IF(ISNUMBER(J327:Y327),J327:Y327))</f>
        <v>1449370</v>
      </c>
      <c r="AC327" cm="1" s="0">
        <f t="array" ref="AC327">MIN(IF(ISNUMBER(J327:Y327),J327:Y327))</f>
        <v>748669</v>
      </c>
      <c r="AD327" s="0">
        <f t="shared" si="116"/>
        <v>700701</v>
      </c>
    </row>
    <row r="328" spans="1:30" x14ac:dyDescent="0.2">
      <c r="A328" t="s" s="0">
        <v>3669</v>
      </c>
      <c r="B328" s="3">
        <v>762549</v>
      </c>
      <c r="C328" s="3">
        <v>50608</v>
      </c>
      <c r="D328" s="3">
        <v>46932</v>
      </c>
      <c r="E328" s="3">
        <v>43315</v>
      </c>
      <c r="F328" s="3">
        <v>29302</v>
      </c>
      <c r="G328" s="3">
        <v>44580</v>
      </c>
      <c r="I328" t="str" s="0">
        <f t="shared" si="105"/>
        <v>11/21</v>
      </c>
      <c r="J328" s="2">
        <f t="shared" si="106"/>
        <v>748669</v>
      </c>
      <c r="K328" s="2">
        <f t="shared" si="107"/>
        <v>1263243</v>
      </c>
      <c r="L328" s="2">
        <f t="shared" si="108"/>
        <v>1068669</v>
      </c>
      <c r="M328" s="2">
        <f t="shared" si="109"/>
        <v>1044042</v>
      </c>
      <c r="N328" s="2">
        <f t="shared" si="110"/>
        <v>876368</v>
      </c>
      <c r="O328" s="2">
        <f t="shared" si="111"/>
        <v>1449370</v>
      </c>
      <c r="P328" s="2">
        <f t="shared" si="112"/>
        <v>1350146</v>
      </c>
      <c r="Q328" s="2">
        <f t="shared" si="113"/>
        <v>1301613</v>
      </c>
      <c r="R328" s="2">
        <f t="shared" si="114"/>
        <v>1212354</v>
      </c>
      <c r="S328" s="2">
        <f t="shared" si="115"/>
        <v>1107311</v>
      </c>
      <c r="T328" s="2" t="e">
        <f t="shared" si="104"/>
        <v>#N/A</v>
      </c>
      <c r="U328" s="2" t="e">
        <f t="shared" si="117"/>
        <v>#N/A</v>
      </c>
      <c r="V328" s="2" t="e">
        <f t="shared" si="118"/>
        <v>#N/A</v>
      </c>
      <c r="W328" s="2" t="e">
        <f t="shared" si="119"/>
        <v>#N/A</v>
      </c>
      <c r="X328" s="2" t="e">
        <f t="shared" si="120"/>
        <v>#N/A</v>
      </c>
      <c r="Y328" s="2" t="e">
        <f t="shared" si="121"/>
        <v>#N/A</v>
      </c>
      <c r="Z328" s="0">
        <f t="shared" ref="Z328:Z368" ca="1" si="123">AVERAGE(OFFSET(J328,0,YEAR(TODAY())-2015-5,1,5))</f>
        <v>1284158.8</v>
      </c>
      <c r="AA328" s="0">
        <f t="shared" ca="1" si="122"/>
        <v>1142178.5</v>
      </c>
      <c r="AB328" cm="1" s="0">
        <f t="array" ref="AB328">MAX(IF(ISNUMBER(J328:Y328),J328:Y328))</f>
        <v>1449370</v>
      </c>
      <c r="AC328" cm="1" s="0">
        <f t="array" ref="AC328">MIN(IF(ISNUMBER(J328:Y328),J328:Y328))</f>
        <v>748669</v>
      </c>
      <c r="AD328" s="0">
        <f t="shared" si="116"/>
        <v>700701</v>
      </c>
    </row>
    <row r="329" spans="1:30" x14ac:dyDescent="0.2">
      <c r="A329" t="s" s="0">
        <v>3668</v>
      </c>
      <c r="B329" s="3">
        <v>762549</v>
      </c>
      <c r="C329" s="3">
        <v>50608</v>
      </c>
      <c r="D329" s="3">
        <v>46932</v>
      </c>
      <c r="E329" s="3">
        <v>43315</v>
      </c>
      <c r="F329" s="3">
        <v>29302</v>
      </c>
      <c r="G329" s="3">
        <v>44580</v>
      </c>
      <c r="I329" t="str" s="0">
        <f t="shared" si="105"/>
        <v>11/22</v>
      </c>
      <c r="J329" s="2">
        <f t="shared" si="106"/>
        <v>735523</v>
      </c>
      <c r="K329" s="2">
        <f t="shared" si="107"/>
        <v>1221332</v>
      </c>
      <c r="L329" s="2">
        <f t="shared" si="108"/>
        <v>1063560</v>
      </c>
      <c r="M329" s="2">
        <f t="shared" si="109"/>
        <v>1104461</v>
      </c>
      <c r="N329" s="2">
        <f t="shared" si="110"/>
        <v>876368</v>
      </c>
      <c r="O329" s="2">
        <f t="shared" si="111"/>
        <v>1486046</v>
      </c>
      <c r="P329" s="2">
        <f t="shared" si="112"/>
        <v>1406156</v>
      </c>
      <c r="Q329" s="2">
        <f t="shared" si="113"/>
        <v>1239994</v>
      </c>
      <c r="R329" s="2">
        <f t="shared" si="114"/>
        <v>1235217</v>
      </c>
      <c r="S329" s="2">
        <f t="shared" si="115"/>
        <v>1107311</v>
      </c>
      <c r="T329" s="2" t="e">
        <f t="shared" si="104"/>
        <v>#N/A</v>
      </c>
      <c r="U329" s="2" t="e">
        <f t="shared" si="117"/>
        <v>#N/A</v>
      </c>
      <c r="V329" s="2" t="e">
        <f t="shared" si="118"/>
        <v>#N/A</v>
      </c>
      <c r="W329" s="2" t="e">
        <f t="shared" si="119"/>
        <v>#N/A</v>
      </c>
      <c r="X329" s="2" t="e">
        <f t="shared" si="120"/>
        <v>#N/A</v>
      </c>
      <c r="Y329" s="2" t="e">
        <f t="shared" si="121"/>
        <v>#N/A</v>
      </c>
      <c r="Z329" s="0">
        <f t="shared" ca="1" si="123"/>
        <v>1294944.8</v>
      </c>
      <c r="AA329" s="0">
        <f t="shared" ca="1" si="122"/>
        <v>1147596.8</v>
      </c>
      <c r="AB329" cm="1" s="0">
        <f t="array" ref="AB329">MAX(IF(ISNUMBER(J329:Y329),J329:Y329))</f>
        <v>1486046</v>
      </c>
      <c r="AC329" cm="1" s="0">
        <f t="array" ref="AC329">MIN(IF(ISNUMBER(J329:Y329),J329:Y329))</f>
        <v>735523</v>
      </c>
      <c r="AD329" s="0">
        <f t="shared" si="116"/>
        <v>750523</v>
      </c>
    </row>
    <row r="330" spans="1:30" x14ac:dyDescent="0.2">
      <c r="A330" t="s" s="0">
        <v>3667</v>
      </c>
      <c r="B330" s="2">
        <v>759664</v>
      </c>
      <c r="C330" s="2">
        <v>21037</v>
      </c>
      <c r="D330" s="2">
        <v>46080</v>
      </c>
      <c r="E330" s="2">
        <v>43887</v>
      </c>
      <c r="F330" s="2">
        <v>32578</v>
      </c>
      <c r="G330" s="2">
        <v>42853</v>
      </c>
      <c r="I330" t="str" s="0">
        <f t="shared" si="105"/>
        <v>11/23</v>
      </c>
      <c r="J330" s="2">
        <f t="shared" si="106"/>
        <v>717380</v>
      </c>
      <c r="K330" s="2">
        <f t="shared" si="107"/>
        <v>1203138</v>
      </c>
      <c r="L330" s="2">
        <f t="shared" si="108"/>
        <v>1077909</v>
      </c>
      <c r="M330" s="2">
        <f t="shared" si="109"/>
        <v>1104461</v>
      </c>
      <c r="N330" s="2">
        <f t="shared" si="110"/>
        <v>876368</v>
      </c>
      <c r="O330" s="2">
        <f t="shared" si="111"/>
        <v>1448835</v>
      </c>
      <c r="P330" s="2">
        <f t="shared" si="112"/>
        <v>1390019</v>
      </c>
      <c r="Q330" s="2">
        <f t="shared" si="113"/>
        <v>1294427</v>
      </c>
      <c r="R330" s="2">
        <f t="shared" si="114"/>
        <v>1208834</v>
      </c>
      <c r="S330" s="2">
        <f t="shared" si="115"/>
        <v>1107311</v>
      </c>
      <c r="T330" s="2" t="e">
        <f t="shared" si="104"/>
        <v>#N/A</v>
      </c>
      <c r="U330" s="2" t="e">
        <f t="shared" si="117"/>
        <v>#N/A</v>
      </c>
      <c r="V330" s="2" t="e">
        <f t="shared" si="118"/>
        <v>#N/A</v>
      </c>
      <c r="W330" s="2" t="e">
        <f t="shared" si="119"/>
        <v>#N/A</v>
      </c>
      <c r="X330" s="2" t="e">
        <f t="shared" si="120"/>
        <v>#N/A</v>
      </c>
      <c r="Y330" s="2" t="e">
        <f t="shared" si="121"/>
        <v>#N/A</v>
      </c>
      <c r="Z330" s="0">
        <f t="shared" ca="1" si="123"/>
        <v>1289885.2</v>
      </c>
      <c r="AA330" s="0">
        <f t="shared" ca="1" si="122"/>
        <v>1142868.2</v>
      </c>
      <c r="AB330" cm="1" s="0">
        <f t="array" ref="AB330">MAX(IF(ISNUMBER(J330:Y330),J330:Y330))</f>
        <v>1448835</v>
      </c>
      <c r="AC330" cm="1" s="0">
        <f t="array" ref="AC330">MIN(IF(ISNUMBER(J330:Y330),J330:Y330))</f>
        <v>717380</v>
      </c>
      <c r="AD330" s="0">
        <f t="shared" si="116"/>
        <v>731455</v>
      </c>
    </row>
    <row r="331" spans="1:30" x14ac:dyDescent="0.2">
      <c r="A331" t="s" s="0">
        <v>3666</v>
      </c>
      <c r="B331" s="2">
        <v>755181</v>
      </c>
      <c r="C331" s="2">
        <v>24422</v>
      </c>
      <c r="D331" s="2">
        <v>44123</v>
      </c>
      <c r="E331" s="2">
        <v>43299</v>
      </c>
      <c r="F331" s="2">
        <v>31856</v>
      </c>
      <c r="G331" s="2">
        <v>40173</v>
      </c>
      <c r="I331" t="str" s="0">
        <f t="shared" si="105"/>
        <v>11/24</v>
      </c>
      <c r="J331" s="2">
        <f t="shared" si="106"/>
        <v>743180</v>
      </c>
      <c r="K331" s="2">
        <f t="shared" si="107"/>
        <v>1193664</v>
      </c>
      <c r="L331" s="2">
        <f t="shared" si="108"/>
        <v>1077909</v>
      </c>
      <c r="M331" s="2">
        <f t="shared" si="109"/>
        <v>1104461</v>
      </c>
      <c r="N331" s="2">
        <f t="shared" si="110"/>
        <v>892621</v>
      </c>
      <c r="O331" s="2">
        <f t="shared" si="111"/>
        <v>1413472</v>
      </c>
      <c r="P331" s="2">
        <f t="shared" si="112"/>
        <v>1399496</v>
      </c>
      <c r="Q331" s="2">
        <f t="shared" si="113"/>
        <v>1271466</v>
      </c>
      <c r="R331" s="2">
        <f t="shared" si="114"/>
        <v>1208834</v>
      </c>
      <c r="S331" s="2">
        <f t="shared" si="115"/>
        <v>1046971</v>
      </c>
      <c r="T331" s="2" t="e">
        <f t="shared" si="104"/>
        <v>#N/A</v>
      </c>
      <c r="U331" s="2" t="e">
        <f t="shared" si="117"/>
        <v>#N/A</v>
      </c>
      <c r="V331" s="2" t="e">
        <f t="shared" si="118"/>
        <v>#N/A</v>
      </c>
      <c r="W331" s="2" t="e">
        <f t="shared" si="119"/>
        <v>#N/A</v>
      </c>
      <c r="X331" s="2" t="e">
        <f t="shared" si="120"/>
        <v>#N/A</v>
      </c>
      <c r="Y331" s="2" t="e">
        <f t="shared" si="121"/>
        <v>#N/A</v>
      </c>
      <c r="Z331" s="0">
        <f t="shared" ca="1" si="123"/>
        <v>1268047.8</v>
      </c>
      <c r="AA331" s="0">
        <f t="shared" ca="1" si="122"/>
        <v>1135207.3999999999</v>
      </c>
      <c r="AB331" cm="1" s="0">
        <f t="array" ref="AB331">MAX(IF(ISNUMBER(J331:Y331),J331:Y331))</f>
        <v>1413472</v>
      </c>
      <c r="AC331" cm="1" s="0">
        <f t="array" ref="AC331">MIN(IF(ISNUMBER(J331:Y331),J331:Y331))</f>
        <v>743180</v>
      </c>
      <c r="AD331" s="0">
        <f t="shared" si="116"/>
        <v>670292</v>
      </c>
    </row>
    <row r="332" spans="1:30" x14ac:dyDescent="0.2">
      <c r="A332" t="s" s="0">
        <v>3665</v>
      </c>
      <c r="B332" s="2">
        <v>709175</v>
      </c>
      <c r="C332" s="2">
        <v>36029</v>
      </c>
      <c r="D332" s="2">
        <v>41361</v>
      </c>
      <c r="E332" s="2">
        <v>43227</v>
      </c>
      <c r="F332" s="2">
        <v>20681</v>
      </c>
      <c r="G332" s="2">
        <v>39784</v>
      </c>
      <c r="I332" t="str" s="0">
        <f t="shared" si="105"/>
        <v>11/25</v>
      </c>
      <c r="J332" s="2">
        <f t="shared" si="106"/>
        <v>727285</v>
      </c>
      <c r="K332" s="2">
        <f t="shared" si="107"/>
        <v>1193664</v>
      </c>
      <c r="L332" s="2">
        <f t="shared" si="108"/>
        <v>1077909</v>
      </c>
      <c r="M332" s="2">
        <f t="shared" si="109"/>
        <v>1154256</v>
      </c>
      <c r="N332" s="2">
        <f t="shared" si="110"/>
        <v>862204</v>
      </c>
      <c r="O332" s="2">
        <f t="shared" si="111"/>
        <v>1382002</v>
      </c>
      <c r="P332" s="2">
        <f t="shared" si="112"/>
        <v>1439721</v>
      </c>
      <c r="Q332" s="2">
        <f t="shared" si="113"/>
        <v>1271466</v>
      </c>
      <c r="R332" s="2">
        <f t="shared" si="114"/>
        <v>1208834</v>
      </c>
      <c r="S332" s="2">
        <f t="shared" si="115"/>
        <v>1071312</v>
      </c>
      <c r="T332" s="2" t="e">
        <f t="shared" si="104"/>
        <v>#N/A</v>
      </c>
      <c r="U332" s="2" t="e">
        <f t="shared" si="117"/>
        <v>#N/A</v>
      </c>
      <c r="V332" s="2" t="e">
        <f t="shared" si="118"/>
        <v>#N/A</v>
      </c>
      <c r="W332" s="2" t="e">
        <f t="shared" si="119"/>
        <v>#N/A</v>
      </c>
      <c r="X332" s="2" t="e">
        <f t="shared" si="120"/>
        <v>#N/A</v>
      </c>
      <c r="Y332" s="2" t="e">
        <f t="shared" si="121"/>
        <v>#N/A</v>
      </c>
      <c r="Z332" s="0">
        <f t="shared" ca="1" si="123"/>
        <v>1274667</v>
      </c>
      <c r="AA332" s="0">
        <f t="shared" ca="1" si="122"/>
        <v>1138865.3</v>
      </c>
      <c r="AB332" cm="1" s="0">
        <f t="array" ref="AB332">MAX(IF(ISNUMBER(J332:Y332),J332:Y332))</f>
        <v>1439721</v>
      </c>
      <c r="AC332" cm="1" s="0">
        <f t="array" ref="AC332">MIN(IF(ISNUMBER(J332:Y332),J332:Y332))</f>
        <v>727285</v>
      </c>
      <c r="AD332" s="0">
        <f t="shared" si="116"/>
        <v>712436</v>
      </c>
    </row>
    <row r="333" spans="1:30" x14ac:dyDescent="0.2">
      <c r="A333" t="s" s="0">
        <v>3664</v>
      </c>
      <c r="B333" s="2">
        <v>702686</v>
      </c>
      <c r="C333" s="2">
        <v>45887</v>
      </c>
      <c r="D333" s="2">
        <v>37332</v>
      </c>
      <c r="E333" s="2">
        <v>43007</v>
      </c>
      <c r="F333" s="2">
        <v>21984</v>
      </c>
      <c r="G333" s="2">
        <v>37325</v>
      </c>
      <c r="I333" t="str" s="0">
        <f t="shared" si="105"/>
        <v>11/26</v>
      </c>
      <c r="J333" s="2">
        <f t="shared" si="106"/>
        <v>792618</v>
      </c>
      <c r="K333" s="2">
        <f t="shared" si="107"/>
        <v>1193664</v>
      </c>
      <c r="L333" s="2">
        <f t="shared" si="108"/>
        <v>1169938</v>
      </c>
      <c r="M333" s="2">
        <f t="shared" si="109"/>
        <v>1186498</v>
      </c>
      <c r="N333" s="2">
        <f t="shared" si="110"/>
        <v>1041613</v>
      </c>
      <c r="O333" s="2">
        <f t="shared" si="111"/>
        <v>1468416</v>
      </c>
      <c r="P333" s="2">
        <f t="shared" si="112"/>
        <v>1439721</v>
      </c>
      <c r="Q333" s="2">
        <f t="shared" si="113"/>
        <v>1271466</v>
      </c>
      <c r="R333" s="2">
        <f t="shared" si="114"/>
        <v>1268129</v>
      </c>
      <c r="S333" s="2">
        <f t="shared" si="115"/>
        <v>1062384</v>
      </c>
      <c r="T333" s="2" t="e">
        <f t="shared" si="104"/>
        <v>#N/A</v>
      </c>
      <c r="U333" s="2" t="e">
        <f t="shared" si="117"/>
        <v>#N/A</v>
      </c>
      <c r="V333" s="2" t="e">
        <f t="shared" si="118"/>
        <v>#N/A</v>
      </c>
      <c r="W333" s="2" t="e">
        <f t="shared" si="119"/>
        <v>#N/A</v>
      </c>
      <c r="X333" s="2" t="e">
        <f t="shared" si="120"/>
        <v>#N/A</v>
      </c>
      <c r="Y333" s="2" t="e">
        <f t="shared" si="121"/>
        <v>#N/A</v>
      </c>
      <c r="Z333" s="0">
        <f t="shared" ca="1" si="123"/>
        <v>1302023.2</v>
      </c>
      <c r="AA333" s="0">
        <f t="shared" ca="1" si="122"/>
        <v>1189444.7</v>
      </c>
      <c r="AB333" cm="1" s="0">
        <f t="array" ref="AB333">MAX(IF(ISNUMBER(J333:Y333),J333:Y333))</f>
        <v>1468416</v>
      </c>
      <c r="AC333" cm="1" s="0">
        <f t="array" ref="AC333">MIN(IF(ISNUMBER(J333:Y333),J333:Y333))</f>
        <v>792618</v>
      </c>
      <c r="AD333" s="0">
        <f t="shared" si="116"/>
        <v>675798</v>
      </c>
    </row>
    <row r="334" spans="1:30" x14ac:dyDescent="0.2">
      <c r="A334" t="s" s="0">
        <v>3663</v>
      </c>
      <c r="B334" s="2">
        <v>658643</v>
      </c>
      <c r="C334" s="2">
        <v>51330</v>
      </c>
      <c r="D334" s="2">
        <v>40494</v>
      </c>
      <c r="E334" s="2">
        <v>43176</v>
      </c>
      <c r="F334" s="2">
        <v>25556</v>
      </c>
      <c r="G334" s="2">
        <v>38218</v>
      </c>
      <c r="I334" t="str" s="0">
        <f t="shared" si="105"/>
        <v>11/27</v>
      </c>
      <c r="J334" s="2">
        <f t="shared" si="106"/>
        <v>792618</v>
      </c>
      <c r="K334" s="2">
        <f t="shared" si="107"/>
        <v>1277290</v>
      </c>
      <c r="L334" s="2">
        <f t="shared" si="108"/>
        <v>1128886</v>
      </c>
      <c r="M334" s="2">
        <f t="shared" si="109"/>
        <v>1153735</v>
      </c>
      <c r="N334" s="2">
        <f t="shared" si="110"/>
        <v>1020565</v>
      </c>
      <c r="O334" s="2">
        <f t="shared" si="111"/>
        <v>1468416</v>
      </c>
      <c r="P334" s="2">
        <f t="shared" si="112"/>
        <v>1439721</v>
      </c>
      <c r="Q334" s="2">
        <f t="shared" si="113"/>
        <v>1221958</v>
      </c>
      <c r="R334" s="2">
        <f t="shared" si="114"/>
        <v>1226435</v>
      </c>
      <c r="S334" s="2">
        <f t="shared" si="115"/>
        <v>1036824</v>
      </c>
      <c r="T334" s="2" t="e">
        <f t="shared" si="104"/>
        <v>#N/A</v>
      </c>
      <c r="U334" s="2" t="e">
        <f t="shared" si="117"/>
        <v>#N/A</v>
      </c>
      <c r="V334" s="2" t="e">
        <f t="shared" si="118"/>
        <v>#N/A</v>
      </c>
      <c r="W334" s="2" t="e">
        <f t="shared" si="119"/>
        <v>#N/A</v>
      </c>
      <c r="X334" s="2" t="e">
        <f t="shared" si="120"/>
        <v>#N/A</v>
      </c>
      <c r="Y334" s="2" t="e">
        <f t="shared" si="121"/>
        <v>#N/A</v>
      </c>
      <c r="Z334" s="0">
        <f t="shared" ca="1" si="123"/>
        <v>1278670.8</v>
      </c>
      <c r="AA334" s="0">
        <f t="shared" ca="1" si="122"/>
        <v>1176644.8</v>
      </c>
      <c r="AB334" cm="1" s="0">
        <f t="array" ref="AB334">MAX(IF(ISNUMBER(J334:Y334),J334:Y334))</f>
        <v>1468416</v>
      </c>
      <c r="AC334" cm="1" s="0">
        <f t="array" ref="AC334">MIN(IF(ISNUMBER(J334:Y334),J334:Y334))</f>
        <v>792618</v>
      </c>
      <c r="AD334" s="0">
        <f t="shared" si="116"/>
        <v>675798</v>
      </c>
    </row>
    <row r="335" spans="1:30" x14ac:dyDescent="0.2">
      <c r="A335" t="s" s="0">
        <v>3662</v>
      </c>
      <c r="B335" s="3">
        <v>658643</v>
      </c>
      <c r="C335" s="3">
        <v>51330</v>
      </c>
      <c r="D335" s="3">
        <v>40494</v>
      </c>
      <c r="E335" s="3">
        <v>43176</v>
      </c>
      <c r="F335" s="3">
        <v>25556</v>
      </c>
      <c r="G335" s="3">
        <v>38218</v>
      </c>
      <c r="I335" t="str" s="0">
        <f t="shared" si="105"/>
        <v>11/28</v>
      </c>
      <c r="J335" s="2">
        <f t="shared" si="106"/>
        <v>792618</v>
      </c>
      <c r="K335" s="2">
        <f t="shared" si="107"/>
        <v>1255746</v>
      </c>
      <c r="L335" s="2">
        <f t="shared" si="108"/>
        <v>1142060</v>
      </c>
      <c r="M335" s="2">
        <f t="shared" si="109"/>
        <v>1210087</v>
      </c>
      <c r="N335" s="2">
        <f t="shared" si="110"/>
        <v>1038655</v>
      </c>
      <c r="O335" s="2">
        <f t="shared" si="111"/>
        <v>1468416</v>
      </c>
      <c r="P335" s="2">
        <f t="shared" si="112"/>
        <v>1378399</v>
      </c>
      <c r="Q335" s="2">
        <f t="shared" si="113"/>
        <v>1198948</v>
      </c>
      <c r="R335" s="2">
        <f t="shared" si="114"/>
        <v>1190385</v>
      </c>
      <c r="S335" s="2">
        <f t="shared" si="115"/>
        <v>1034904</v>
      </c>
      <c r="T335" s="2" t="e">
        <f t="shared" si="104"/>
        <v>#N/A</v>
      </c>
      <c r="U335" s="2" t="e">
        <f t="shared" si="117"/>
        <v>#N/A</v>
      </c>
      <c r="V335" s="2" t="e">
        <f t="shared" si="118"/>
        <v>#N/A</v>
      </c>
      <c r="W335" s="2" t="e">
        <f t="shared" si="119"/>
        <v>#N/A</v>
      </c>
      <c r="X335" s="2" t="e">
        <f t="shared" si="120"/>
        <v>#N/A</v>
      </c>
      <c r="Y335" s="2" t="e">
        <f t="shared" si="121"/>
        <v>#N/A</v>
      </c>
      <c r="Z335" s="0">
        <f t="shared" ca="1" si="123"/>
        <v>1254210.3999999999</v>
      </c>
      <c r="AA335" s="0">
        <f t="shared" ca="1" si="122"/>
        <v>1171021.8</v>
      </c>
      <c r="AB335" cm="1" s="0">
        <f t="array" ref="AB335">MAX(IF(ISNUMBER(J335:Y335),J335:Y335))</f>
        <v>1468416</v>
      </c>
      <c r="AC335" cm="1" s="0">
        <f t="array" ref="AC335">MIN(IF(ISNUMBER(J335:Y335),J335:Y335))</f>
        <v>792618</v>
      </c>
      <c r="AD335" s="0">
        <f t="shared" si="116"/>
        <v>675798</v>
      </c>
    </row>
    <row r="336" spans="1:30" x14ac:dyDescent="0.2">
      <c r="A336" t="s" s="0">
        <v>3661</v>
      </c>
      <c r="B336" s="3">
        <v>658643</v>
      </c>
      <c r="C336" s="3">
        <v>51330</v>
      </c>
      <c r="D336" s="3">
        <v>40494</v>
      </c>
      <c r="E336" s="3">
        <v>43176</v>
      </c>
      <c r="F336" s="3">
        <v>25556</v>
      </c>
      <c r="G336" s="3">
        <v>38218</v>
      </c>
      <c r="I336" t="str" s="0">
        <f t="shared" si="105"/>
        <v>11/29</v>
      </c>
      <c r="J336" s="2">
        <f t="shared" si="106"/>
        <v>776521</v>
      </c>
      <c r="K336" s="2">
        <f t="shared" si="107"/>
        <v>1290874</v>
      </c>
      <c r="L336" s="2">
        <f t="shared" si="108"/>
        <v>1184036</v>
      </c>
      <c r="M336" s="2">
        <f t="shared" si="109"/>
        <v>1195959</v>
      </c>
      <c r="N336" s="2">
        <f t="shared" si="110"/>
        <v>1038655</v>
      </c>
      <c r="O336" s="2">
        <f t="shared" si="111"/>
        <v>1495998</v>
      </c>
      <c r="P336" s="2">
        <f t="shared" si="112"/>
        <v>1392043</v>
      </c>
      <c r="Q336" s="2">
        <f t="shared" si="113"/>
        <v>1159204</v>
      </c>
      <c r="R336" s="2">
        <f t="shared" si="114"/>
        <v>1316328</v>
      </c>
      <c r="S336" s="2">
        <f t="shared" si="115"/>
        <v>1034904</v>
      </c>
      <c r="T336" s="2" t="e">
        <f t="shared" si="104"/>
        <v>#N/A</v>
      </c>
      <c r="U336" s="2" t="e">
        <f t="shared" si="117"/>
        <v>#N/A</v>
      </c>
      <c r="V336" s="2" t="e">
        <f t="shared" si="118"/>
        <v>#N/A</v>
      </c>
      <c r="W336" s="2" t="e">
        <f t="shared" si="119"/>
        <v>#N/A</v>
      </c>
      <c r="X336" s="2" t="e">
        <f t="shared" si="120"/>
        <v>#N/A</v>
      </c>
      <c r="Y336" s="2" t="e">
        <f t="shared" si="121"/>
        <v>#N/A</v>
      </c>
      <c r="Z336" s="0">
        <f t="shared" ca="1" si="123"/>
        <v>1279695.3999999999</v>
      </c>
      <c r="AA336" s="0">
        <f t="shared" ca="1" si="122"/>
        <v>1188452.2</v>
      </c>
      <c r="AB336" cm="1" s="0">
        <f t="array" ref="AB336">MAX(IF(ISNUMBER(J336:Y336),J336:Y336))</f>
        <v>1495998</v>
      </c>
      <c r="AC336" cm="1" s="0">
        <f t="array" ref="AC336">MIN(IF(ISNUMBER(J336:Y336),J336:Y336))</f>
        <v>776521</v>
      </c>
      <c r="AD336" s="0">
        <f t="shared" si="116"/>
        <v>719477</v>
      </c>
    </row>
    <row r="337" spans="1:30" x14ac:dyDescent="0.2">
      <c r="A337" t="s" s="0">
        <v>3660</v>
      </c>
      <c r="B337" s="2">
        <v>713595</v>
      </c>
      <c r="C337" s="2">
        <v>20398</v>
      </c>
      <c r="D337" s="2">
        <v>39090</v>
      </c>
      <c r="E337" s="2">
        <v>43185</v>
      </c>
      <c r="F337" s="2">
        <v>32079</v>
      </c>
      <c r="G337" s="2">
        <v>39079</v>
      </c>
      <c r="I337" t="str" s="0">
        <f t="shared" si="105"/>
        <v>11/30</v>
      </c>
      <c r="J337" s="2">
        <f t="shared" si="106"/>
        <v>767944</v>
      </c>
      <c r="K337" s="2">
        <f t="shared" si="107"/>
        <v>1209428</v>
      </c>
      <c r="L337" s="2">
        <f t="shared" si="108"/>
        <v>1240686</v>
      </c>
      <c r="M337" s="2">
        <f t="shared" si="109"/>
        <v>1195959</v>
      </c>
      <c r="N337" s="2">
        <f t="shared" si="110"/>
        <v>1038655</v>
      </c>
      <c r="O337" s="2">
        <f t="shared" si="111"/>
        <v>1486246</v>
      </c>
      <c r="P337" s="2">
        <f t="shared" si="112"/>
        <v>1402933</v>
      </c>
      <c r="Q337" s="2">
        <f t="shared" si="113"/>
        <v>1111943</v>
      </c>
      <c r="R337" s="2">
        <f t="shared" si="114"/>
        <v>1338407</v>
      </c>
      <c r="S337" s="2">
        <f t="shared" si="115"/>
        <v>1034904</v>
      </c>
      <c r="T337" s="2" t="e">
        <f t="shared" si="104"/>
        <v>#N/A</v>
      </c>
      <c r="U337" s="2" t="e">
        <f t="shared" si="117"/>
        <v>#N/A</v>
      </c>
      <c r="V337" s="2" t="e">
        <f t="shared" si="118"/>
        <v>#N/A</v>
      </c>
      <c r="W337" s="2" t="e">
        <f t="shared" si="119"/>
        <v>#N/A</v>
      </c>
      <c r="X337" s="2" t="e">
        <f t="shared" si="120"/>
        <v>#N/A</v>
      </c>
      <c r="Y337" s="2" t="e">
        <f t="shared" si="121"/>
        <v>#N/A</v>
      </c>
      <c r="Z337" s="0">
        <f t="shared" ca="1" si="123"/>
        <v>1274886.6000000001</v>
      </c>
      <c r="AA337" s="0">
        <f t="shared" ca="1" si="122"/>
        <v>1182710.5</v>
      </c>
      <c r="AB337" cm="1" s="0">
        <f t="array" ref="AB337">MAX(IF(ISNUMBER(J337:Y337),J337:Y337))</f>
        <v>1486246</v>
      </c>
      <c r="AC337" cm="1" s="0">
        <f t="array" ref="AC337">MIN(IF(ISNUMBER(J337:Y337),J337:Y337))</f>
        <v>767944</v>
      </c>
      <c r="AD337" s="0">
        <f t="shared" si="116"/>
        <v>718302</v>
      </c>
    </row>
    <row r="338" spans="1:30" x14ac:dyDescent="0.2">
      <c r="A338" t="s" s="0">
        <v>3659</v>
      </c>
      <c r="B338" s="2">
        <v>797221</v>
      </c>
      <c r="C338" s="2">
        <v>31257</v>
      </c>
      <c r="D338" s="2">
        <v>40067</v>
      </c>
      <c r="E338" s="2">
        <v>42843</v>
      </c>
      <c r="F338" s="2">
        <v>45643</v>
      </c>
      <c r="G338" s="2">
        <v>40750</v>
      </c>
      <c r="I338" t="str" s="0">
        <f t="shared" si="105"/>
        <v>12/01</v>
      </c>
      <c r="J338" s="2">
        <f t="shared" si="106"/>
        <v>810671</v>
      </c>
      <c r="K338" s="2">
        <f t="shared" si="107"/>
        <v>1228989</v>
      </c>
      <c r="L338" s="2">
        <f t="shared" si="108"/>
        <v>1240686</v>
      </c>
      <c r="M338" s="2">
        <f t="shared" si="109"/>
        <v>1195959</v>
      </c>
      <c r="N338" s="2">
        <f t="shared" si="110"/>
        <v>1106598</v>
      </c>
      <c r="O338" s="2">
        <f t="shared" si="111"/>
        <v>1488855</v>
      </c>
      <c r="P338" s="2">
        <f t="shared" si="112"/>
        <v>1433087</v>
      </c>
      <c r="Q338" s="2">
        <f t="shared" si="113"/>
        <v>1237081</v>
      </c>
      <c r="R338" s="2">
        <f t="shared" si="114"/>
        <v>1338407</v>
      </c>
      <c r="S338" s="2">
        <f t="shared" si="115"/>
        <v>1076280</v>
      </c>
      <c r="T338" s="2" t="e">
        <f t="shared" ref="T338:T368" si="124">IF(B4165=0, NA(), B4165)</f>
        <v>#N/A</v>
      </c>
      <c r="U338" s="2" t="e">
        <f t="shared" si="117"/>
        <v>#N/A</v>
      </c>
      <c r="V338" s="2" t="e">
        <f t="shared" si="118"/>
        <v>#N/A</v>
      </c>
      <c r="W338" s="2" t="e">
        <f t="shared" si="119"/>
        <v>#N/A</v>
      </c>
      <c r="X338" s="2" t="e">
        <f t="shared" si="120"/>
        <v>#N/A</v>
      </c>
      <c r="Y338" s="2" t="e">
        <f t="shared" si="121"/>
        <v>#N/A</v>
      </c>
      <c r="Z338" s="0">
        <f t="shared" ca="1" si="123"/>
        <v>1314742</v>
      </c>
      <c r="AA338" s="0">
        <f t="shared" ca="1" si="122"/>
        <v>1215661.3</v>
      </c>
      <c r="AB338" cm="1" s="0">
        <f t="array" ref="AB338">MAX(IF(ISNUMBER(J338:Y338),J338:Y338))</f>
        <v>1488855</v>
      </c>
      <c r="AC338" cm="1" s="0">
        <f t="array" ref="AC338">MIN(IF(ISNUMBER(J338:Y338),J338:Y338))</f>
        <v>810671</v>
      </c>
      <c r="AD338" s="0">
        <f t="shared" si="116"/>
        <v>678184</v>
      </c>
    </row>
    <row r="339" spans="1:30" x14ac:dyDescent="0.2">
      <c r="A339" t="s" s="0">
        <v>3658</v>
      </c>
      <c r="B339" s="2">
        <v>731594</v>
      </c>
      <c r="C339" s="2">
        <v>37120</v>
      </c>
      <c r="D339" s="2">
        <v>43898</v>
      </c>
      <c r="E339" s="2">
        <v>43241</v>
      </c>
      <c r="F339" s="2">
        <v>46671</v>
      </c>
      <c r="G339" s="2">
        <v>39507</v>
      </c>
      <c r="I339" t="str" s="0">
        <f t="shared" si="105"/>
        <v>12/02</v>
      </c>
      <c r="J339" s="2">
        <f t="shared" si="106"/>
        <v>812809</v>
      </c>
      <c r="K339" s="2">
        <f t="shared" si="107"/>
        <v>1228989</v>
      </c>
      <c r="L339" s="2">
        <f t="shared" si="108"/>
        <v>1240686</v>
      </c>
      <c r="M339" s="2">
        <f t="shared" si="109"/>
        <v>1171942</v>
      </c>
      <c r="N339" s="2">
        <f t="shared" si="110"/>
        <v>1142304</v>
      </c>
      <c r="O339" s="2">
        <f t="shared" si="111"/>
        <v>1507868</v>
      </c>
      <c r="P339" s="2">
        <f t="shared" si="112"/>
        <v>1389456</v>
      </c>
      <c r="Q339" s="2">
        <f t="shared" si="113"/>
        <v>1237081</v>
      </c>
      <c r="R339" s="2">
        <f t="shared" si="114"/>
        <v>1338407</v>
      </c>
      <c r="S339" s="2">
        <f t="shared" si="115"/>
        <v>1088606</v>
      </c>
      <c r="T339" s="2" t="e">
        <f t="shared" si="124"/>
        <v>#N/A</v>
      </c>
      <c r="U339" s="2" t="e">
        <f t="shared" si="117"/>
        <v>#N/A</v>
      </c>
      <c r="V339" s="2" t="e">
        <f t="shared" si="118"/>
        <v>#N/A</v>
      </c>
      <c r="W339" s="2" t="e">
        <f t="shared" si="119"/>
        <v>#N/A</v>
      </c>
      <c r="X339" s="2" t="e">
        <f t="shared" si="120"/>
        <v>#N/A</v>
      </c>
      <c r="Y339" s="2" t="e">
        <f t="shared" si="121"/>
        <v>#N/A</v>
      </c>
      <c r="Z339" s="0">
        <f t="shared" ca="1" si="123"/>
        <v>1312283.6000000001</v>
      </c>
      <c r="AA339" s="0">
        <f t="shared" ca="1" si="122"/>
        <v>1215814.8</v>
      </c>
      <c r="AB339" cm="1" s="0">
        <f t="array" ref="AB339">MAX(IF(ISNUMBER(J339:Y339),J339:Y339))</f>
        <v>1507868</v>
      </c>
      <c r="AC339" cm="1" s="0">
        <f t="array" ref="AC339">MIN(IF(ISNUMBER(J339:Y339),J339:Y339))</f>
        <v>812809</v>
      </c>
      <c r="AD339" s="0">
        <f t="shared" si="116"/>
        <v>695059</v>
      </c>
    </row>
    <row r="340" spans="1:30" x14ac:dyDescent="0.2">
      <c r="A340" t="s" s="0">
        <v>3657</v>
      </c>
      <c r="B340" s="2">
        <v>686191</v>
      </c>
      <c r="C340" s="2">
        <v>40756</v>
      </c>
      <c r="D340" s="2">
        <v>43601</v>
      </c>
      <c r="E340" s="2">
        <v>42248</v>
      </c>
      <c r="F340" s="2">
        <v>40815</v>
      </c>
      <c r="G340" s="2">
        <v>37721</v>
      </c>
      <c r="I340" t="str" s="0">
        <f t="shared" si="105"/>
        <v>12/03</v>
      </c>
      <c r="J340" s="2">
        <f t="shared" si="106"/>
        <v>775490</v>
      </c>
      <c r="K340" s="2">
        <f t="shared" si="107"/>
        <v>1228989</v>
      </c>
      <c r="L340" s="2">
        <f t="shared" si="108"/>
        <v>1174727</v>
      </c>
      <c r="M340" s="2">
        <f t="shared" si="109"/>
        <v>1180911</v>
      </c>
      <c r="N340" s="2">
        <f t="shared" si="110"/>
        <v>1143861</v>
      </c>
      <c r="O340" s="2">
        <f t="shared" si="111"/>
        <v>1537477</v>
      </c>
      <c r="P340" s="2">
        <f t="shared" si="112"/>
        <v>1389456</v>
      </c>
      <c r="Q340" s="2">
        <f t="shared" si="113"/>
        <v>1237081</v>
      </c>
      <c r="R340" s="2">
        <f t="shared" si="114"/>
        <v>1317149</v>
      </c>
      <c r="S340" s="2">
        <f t="shared" si="115"/>
        <v>1084522</v>
      </c>
      <c r="T340" s="2" t="e">
        <f t="shared" si="124"/>
        <v>#N/A</v>
      </c>
      <c r="U340" s="2" t="e">
        <f t="shared" si="117"/>
        <v>#N/A</v>
      </c>
      <c r="V340" s="2" t="e">
        <f t="shared" si="118"/>
        <v>#N/A</v>
      </c>
      <c r="W340" s="2" t="e">
        <f t="shared" si="119"/>
        <v>#N/A</v>
      </c>
      <c r="X340" s="2" t="e">
        <f t="shared" si="120"/>
        <v>#N/A</v>
      </c>
      <c r="Y340" s="2" t="e">
        <f t="shared" si="121"/>
        <v>#N/A</v>
      </c>
      <c r="Z340" s="0">
        <f t="shared" ca="1" si="123"/>
        <v>1313137</v>
      </c>
      <c r="AA340" s="0">
        <f t="shared" ca="1" si="122"/>
        <v>1206966.3</v>
      </c>
      <c r="AB340" cm="1" s="0">
        <f t="array" ref="AB340">MAX(IF(ISNUMBER(J340:Y340),J340:Y340))</f>
        <v>1537477</v>
      </c>
      <c r="AC340" cm="1" s="0">
        <f t="array" ref="AC340">MIN(IF(ISNUMBER(J340:Y340),J340:Y340))</f>
        <v>775490</v>
      </c>
      <c r="AD340" s="0">
        <f t="shared" si="116"/>
        <v>761987</v>
      </c>
    </row>
    <row r="341" spans="1:30" x14ac:dyDescent="0.2">
      <c r="A341" t="s" s="0">
        <v>3656</v>
      </c>
      <c r="B341" s="2">
        <v>687600</v>
      </c>
      <c r="C341" s="2">
        <v>39002</v>
      </c>
      <c r="D341" s="2">
        <v>39214</v>
      </c>
      <c r="E341" s="2">
        <v>42176</v>
      </c>
      <c r="F341" s="2">
        <v>42953</v>
      </c>
      <c r="G341" s="2">
        <v>36187</v>
      </c>
      <c r="I341" t="str" s="0">
        <f t="shared" si="105"/>
        <v>12/04</v>
      </c>
      <c r="J341" s="2">
        <f t="shared" si="106"/>
        <v>775490</v>
      </c>
      <c r="K341" s="2">
        <f t="shared" si="107"/>
        <v>1281688</v>
      </c>
      <c r="L341" s="2">
        <f t="shared" si="108"/>
        <v>1112450</v>
      </c>
      <c r="M341" s="2">
        <f t="shared" si="109"/>
        <v>1144168</v>
      </c>
      <c r="N341" s="2">
        <f t="shared" si="110"/>
        <v>1126753</v>
      </c>
      <c r="O341" s="2">
        <f t="shared" si="111"/>
        <v>1537477</v>
      </c>
      <c r="P341" s="2">
        <f t="shared" si="112"/>
        <v>1389456</v>
      </c>
      <c r="Q341" s="2">
        <f t="shared" si="113"/>
        <v>1164385</v>
      </c>
      <c r="R341" s="2">
        <f t="shared" si="114"/>
        <v>1322615</v>
      </c>
      <c r="S341" s="2">
        <f t="shared" si="115"/>
        <v>1077167</v>
      </c>
      <c r="T341" s="2" t="e">
        <f t="shared" si="124"/>
        <v>#N/A</v>
      </c>
      <c r="U341" s="2" t="e">
        <f t="shared" si="117"/>
        <v>#N/A</v>
      </c>
      <c r="V341" s="2" t="e">
        <f t="shared" si="118"/>
        <v>#N/A</v>
      </c>
      <c r="W341" s="2" t="e">
        <f t="shared" si="119"/>
        <v>#N/A</v>
      </c>
      <c r="X341" s="2" t="e">
        <f t="shared" si="120"/>
        <v>#N/A</v>
      </c>
      <c r="Y341" s="2" t="e">
        <f t="shared" si="121"/>
        <v>#N/A</v>
      </c>
      <c r="Z341" s="0">
        <f t="shared" ca="1" si="123"/>
        <v>1298220</v>
      </c>
      <c r="AA341" s="0">
        <f t="shared" ca="1" si="122"/>
        <v>1193164.8999999999</v>
      </c>
      <c r="AB341" cm="1" s="0">
        <f t="array" ref="AB341">MAX(IF(ISNUMBER(J341:Y341),J341:Y341))</f>
        <v>1537477</v>
      </c>
      <c r="AC341" cm="1" s="0">
        <f t="array" ref="AC341">MIN(IF(ISNUMBER(J341:Y341),J341:Y341))</f>
        <v>775490</v>
      </c>
      <c r="AD341" s="0">
        <f t="shared" si="116"/>
        <v>761987</v>
      </c>
    </row>
    <row r="342" spans="1:30" x14ac:dyDescent="0.2">
      <c r="A342" t="s" s="0">
        <v>3655</v>
      </c>
      <c r="B342" s="3">
        <v>687600</v>
      </c>
      <c r="C342" s="3">
        <v>39002</v>
      </c>
      <c r="D342" s="3">
        <v>39214</v>
      </c>
      <c r="E342" s="3">
        <v>42176</v>
      </c>
      <c r="F342" s="3">
        <v>42953</v>
      </c>
      <c r="G342" s="3">
        <v>36187</v>
      </c>
      <c r="I342" t="str" s="0">
        <f t="shared" si="105"/>
        <v>12/05</v>
      </c>
      <c r="J342" s="2">
        <f t="shared" si="106"/>
        <v>775490</v>
      </c>
      <c r="K342" s="2">
        <f t="shared" si="107"/>
        <v>1363074</v>
      </c>
      <c r="L342" s="2">
        <f t="shared" si="108"/>
        <v>1130145</v>
      </c>
      <c r="M342" s="2">
        <f t="shared" si="109"/>
        <v>1118833</v>
      </c>
      <c r="N342" s="2">
        <f t="shared" si="110"/>
        <v>1138104</v>
      </c>
      <c r="O342" s="2">
        <f t="shared" si="111"/>
        <v>1537477</v>
      </c>
      <c r="P342" s="2">
        <f t="shared" si="112"/>
        <v>1435529</v>
      </c>
      <c r="Q342" s="2">
        <f t="shared" si="113"/>
        <v>1229571</v>
      </c>
      <c r="R342" s="2">
        <f t="shared" si="114"/>
        <v>1332735</v>
      </c>
      <c r="S342" s="2">
        <f t="shared" si="115"/>
        <v>1152355</v>
      </c>
      <c r="T342" s="2" t="e">
        <f t="shared" si="124"/>
        <v>#N/A</v>
      </c>
      <c r="U342" s="2" t="e">
        <f t="shared" si="117"/>
        <v>#N/A</v>
      </c>
      <c r="V342" s="2" t="e">
        <f t="shared" si="118"/>
        <v>#N/A</v>
      </c>
      <c r="W342" s="2" t="e">
        <f t="shared" si="119"/>
        <v>#N/A</v>
      </c>
      <c r="X342" s="2" t="e">
        <f t="shared" si="120"/>
        <v>#N/A</v>
      </c>
      <c r="Y342" s="2" t="e">
        <f t="shared" si="121"/>
        <v>#N/A</v>
      </c>
      <c r="Z342" s="0">
        <f t="shared" ca="1" si="123"/>
        <v>1337533.3999999999</v>
      </c>
      <c r="AA342" s="0">
        <f t="shared" ca="1" si="122"/>
        <v>1221331.3</v>
      </c>
      <c r="AB342" cm="1" s="0">
        <f t="array" ref="AB342">MAX(IF(ISNUMBER(J342:Y342),J342:Y342))</f>
        <v>1537477</v>
      </c>
      <c r="AC342" cm="1" s="0">
        <f t="array" ref="AC342">MIN(IF(ISNUMBER(J342:Y342),J342:Y342))</f>
        <v>775490</v>
      </c>
      <c r="AD342" s="0">
        <f t="shared" si="116"/>
        <v>761987</v>
      </c>
    </row>
    <row r="343" spans="1:30" x14ac:dyDescent="0.2">
      <c r="A343" t="s" s="0">
        <v>3654</v>
      </c>
      <c r="B343" s="3">
        <v>687600</v>
      </c>
      <c r="C343" s="3">
        <v>39002</v>
      </c>
      <c r="D343" s="3">
        <v>39214</v>
      </c>
      <c r="E343" s="3">
        <v>42176</v>
      </c>
      <c r="F343" s="3">
        <v>42953</v>
      </c>
      <c r="G343" s="3">
        <v>36187</v>
      </c>
      <c r="I343" t="str" s="0">
        <f t="shared" si="105"/>
        <v>12/06</v>
      </c>
      <c r="J343" s="2">
        <f t="shared" si="106"/>
        <v>823393</v>
      </c>
      <c r="K343" s="2">
        <f t="shared" si="107"/>
        <v>1334542</v>
      </c>
      <c r="L343" s="2">
        <f t="shared" si="108"/>
        <v>1116948</v>
      </c>
      <c r="M343" s="2">
        <f t="shared" si="109"/>
        <v>1124756</v>
      </c>
      <c r="N343" s="2">
        <f t="shared" si="110"/>
        <v>1138104</v>
      </c>
      <c r="O343" s="2">
        <f t="shared" si="111"/>
        <v>1505085</v>
      </c>
      <c r="P343" s="2">
        <f t="shared" si="112"/>
        <v>1404202</v>
      </c>
      <c r="Q343" s="2">
        <f t="shared" si="113"/>
        <v>1201773</v>
      </c>
      <c r="R343" s="2">
        <f t="shared" si="114"/>
        <v>1374053</v>
      </c>
      <c r="S343" s="2">
        <f t="shared" si="115"/>
        <v>1152355</v>
      </c>
      <c r="T343" s="2" t="e">
        <f t="shared" si="124"/>
        <v>#N/A</v>
      </c>
      <c r="U343" s="2" t="e">
        <f t="shared" si="117"/>
        <v>#N/A</v>
      </c>
      <c r="V343" s="2" t="e">
        <f t="shared" si="118"/>
        <v>#N/A</v>
      </c>
      <c r="W343" s="2" t="e">
        <f t="shared" si="119"/>
        <v>#N/A</v>
      </c>
      <c r="X343" s="2" t="e">
        <f t="shared" si="120"/>
        <v>#N/A</v>
      </c>
      <c r="Y343" s="2" t="e">
        <f t="shared" si="121"/>
        <v>#N/A</v>
      </c>
      <c r="Z343" s="0">
        <f t="shared" ca="1" si="123"/>
        <v>1327493.6000000001</v>
      </c>
      <c r="AA343" s="0">
        <f t="shared" ca="1" si="122"/>
        <v>1217521.1000000001</v>
      </c>
      <c r="AB343" cm="1" s="0">
        <f t="array" ref="AB343">MAX(IF(ISNUMBER(J343:Y343),J343:Y343))</f>
        <v>1505085</v>
      </c>
      <c r="AC343" cm="1" s="0">
        <f t="array" ref="AC343">MIN(IF(ISNUMBER(J343:Y343),J343:Y343))</f>
        <v>823393</v>
      </c>
      <c r="AD343" s="0">
        <f t="shared" si="116"/>
        <v>681692</v>
      </c>
    </row>
    <row r="344" spans="1:30" x14ac:dyDescent="0.2">
      <c r="A344" t="s" s="0">
        <v>3653</v>
      </c>
      <c r="B344" s="2">
        <v>730006</v>
      </c>
      <c r="C344" s="2">
        <v>21451</v>
      </c>
      <c r="D344" s="2">
        <v>39154</v>
      </c>
      <c r="E344" s="2">
        <v>41208</v>
      </c>
      <c r="F344" s="2">
        <v>41437</v>
      </c>
      <c r="G344" s="2">
        <v>34814</v>
      </c>
      <c r="I344" t="str" s="0">
        <f t="shared" si="105"/>
        <v>12/07</v>
      </c>
      <c r="J344" s="2">
        <f t="shared" si="106"/>
        <v>845027</v>
      </c>
      <c r="K344" s="2">
        <f t="shared" si="107"/>
        <v>1308821</v>
      </c>
      <c r="L344" s="2">
        <f t="shared" si="108"/>
        <v>1117032</v>
      </c>
      <c r="M344" s="2">
        <f t="shared" si="109"/>
        <v>1124756</v>
      </c>
      <c r="N344" s="2">
        <f t="shared" si="110"/>
        <v>1138104</v>
      </c>
      <c r="O344" s="2">
        <f t="shared" si="111"/>
        <v>1481859</v>
      </c>
      <c r="P344" s="2">
        <f t="shared" si="112"/>
        <v>1433941</v>
      </c>
      <c r="Q344" s="2">
        <f t="shared" si="113"/>
        <v>1191420</v>
      </c>
      <c r="R344" s="2">
        <f t="shared" si="114"/>
        <v>1395121</v>
      </c>
      <c r="S344" s="2">
        <f t="shared" si="115"/>
        <v>1152355</v>
      </c>
      <c r="T344" s="2" t="e">
        <f t="shared" si="124"/>
        <v>#N/A</v>
      </c>
      <c r="U344" s="2" t="e">
        <f t="shared" si="117"/>
        <v>#N/A</v>
      </c>
      <c r="V344" s="2" t="e">
        <f t="shared" si="118"/>
        <v>#N/A</v>
      </c>
      <c r="W344" s="2" t="e">
        <f t="shared" si="119"/>
        <v>#N/A</v>
      </c>
      <c r="X344" s="2" t="e">
        <f t="shared" si="120"/>
        <v>#N/A</v>
      </c>
      <c r="Y344" s="2" t="e">
        <f t="shared" si="121"/>
        <v>#N/A</v>
      </c>
      <c r="Z344" s="0">
        <f t="shared" ca="1" si="123"/>
        <v>1330939.2</v>
      </c>
      <c r="AA344" s="0">
        <f t="shared" ca="1" si="122"/>
        <v>1218843.6000000001</v>
      </c>
      <c r="AB344" cm="1" s="0">
        <f t="array" ref="AB344">MAX(IF(ISNUMBER(J344:Y344),J344:Y344))</f>
        <v>1481859</v>
      </c>
      <c r="AC344" cm="1" s="0">
        <f t="array" ref="AC344">MIN(IF(ISNUMBER(J344:Y344),J344:Y344))</f>
        <v>845027</v>
      </c>
      <c r="AD344" s="0">
        <f t="shared" si="116"/>
        <v>636832</v>
      </c>
    </row>
    <row r="345" spans="1:30" x14ac:dyDescent="0.2">
      <c r="A345" t="s" s="0">
        <v>3652</v>
      </c>
      <c r="B345" s="2">
        <v>754732</v>
      </c>
      <c r="C345" s="2">
        <v>35238</v>
      </c>
      <c r="D345" s="2">
        <v>39723</v>
      </c>
      <c r="E345" s="2">
        <v>41088</v>
      </c>
      <c r="F345" s="2">
        <v>33591</v>
      </c>
      <c r="G345" s="2">
        <v>35340</v>
      </c>
      <c r="I345" t="str" s="0">
        <f t="shared" si="105"/>
        <v>12/08</v>
      </c>
      <c r="J345" s="2">
        <f t="shared" si="106"/>
        <v>829433</v>
      </c>
      <c r="K345" s="2">
        <f t="shared" si="107"/>
        <v>1275727</v>
      </c>
      <c r="L345" s="2">
        <f t="shared" si="108"/>
        <v>1117032</v>
      </c>
      <c r="M345" s="2">
        <f t="shared" si="109"/>
        <v>1124756</v>
      </c>
      <c r="N345" s="2">
        <f t="shared" si="110"/>
        <v>1307024</v>
      </c>
      <c r="O345" s="2">
        <f t="shared" si="111"/>
        <v>1430063</v>
      </c>
      <c r="P345" s="2">
        <f t="shared" si="112"/>
        <v>1427170</v>
      </c>
      <c r="Q345" s="2">
        <f t="shared" si="113"/>
        <v>1257449</v>
      </c>
      <c r="R345" s="2">
        <f t="shared" si="114"/>
        <v>1395121</v>
      </c>
      <c r="S345" s="2">
        <f t="shared" si="115"/>
        <v>1073028</v>
      </c>
      <c r="T345" s="2" t="e">
        <f t="shared" si="124"/>
        <v>#N/A</v>
      </c>
      <c r="U345" s="2" t="e">
        <f t="shared" si="117"/>
        <v>#N/A</v>
      </c>
      <c r="V345" s="2" t="e">
        <f t="shared" si="118"/>
        <v>#N/A</v>
      </c>
      <c r="W345" s="2" t="e">
        <f t="shared" si="119"/>
        <v>#N/A</v>
      </c>
      <c r="X345" s="2" t="e">
        <f t="shared" si="120"/>
        <v>#N/A</v>
      </c>
      <c r="Y345" s="2" t="e">
        <f t="shared" si="121"/>
        <v>#N/A</v>
      </c>
      <c r="Z345" s="0">
        <f t="shared" ca="1" si="123"/>
        <v>1316566.2</v>
      </c>
      <c r="AA345" s="0">
        <f t="shared" ca="1" si="122"/>
        <v>1223680.3</v>
      </c>
      <c r="AB345" cm="1" s="0">
        <f t="array" ref="AB345">MAX(IF(ISNUMBER(J345:Y345),J345:Y345))</f>
        <v>1430063</v>
      </c>
      <c r="AC345" cm="1" s="0">
        <f t="array" ref="AC345">MIN(IF(ISNUMBER(J345:Y345),J345:Y345))</f>
        <v>829433</v>
      </c>
      <c r="AD345" s="0">
        <f t="shared" si="116"/>
        <v>600630</v>
      </c>
    </row>
    <row r="346" spans="1:30" x14ac:dyDescent="0.2">
      <c r="A346" t="s" s="0">
        <v>3651</v>
      </c>
      <c r="B346" s="2">
        <v>692609</v>
      </c>
      <c r="C346" s="2">
        <v>45649</v>
      </c>
      <c r="D346" s="2">
        <v>39394</v>
      </c>
      <c r="E346" s="2">
        <v>41447</v>
      </c>
      <c r="F346" s="2">
        <v>33763</v>
      </c>
      <c r="G346" s="2">
        <v>34070</v>
      </c>
      <c r="I346" t="str" s="0">
        <f t="shared" si="105"/>
        <v>12/09</v>
      </c>
      <c r="J346" s="2">
        <f t="shared" si="106"/>
        <v>786166</v>
      </c>
      <c r="K346" s="2">
        <f t="shared" si="107"/>
        <v>1275727</v>
      </c>
      <c r="L346" s="2">
        <f t="shared" si="108"/>
        <v>1117032</v>
      </c>
      <c r="M346" s="2">
        <f t="shared" si="109"/>
        <v>1159909</v>
      </c>
      <c r="N346" s="2">
        <f t="shared" si="110"/>
        <v>1252075</v>
      </c>
      <c r="O346" s="2">
        <f t="shared" si="111"/>
        <v>1376017</v>
      </c>
      <c r="P346" s="2">
        <f t="shared" si="112"/>
        <v>1420787</v>
      </c>
      <c r="Q346" s="2">
        <f t="shared" si="113"/>
        <v>1257449</v>
      </c>
      <c r="R346" s="2">
        <f t="shared" si="114"/>
        <v>1395121</v>
      </c>
      <c r="S346" s="2">
        <f t="shared" si="115"/>
        <v>1087796</v>
      </c>
      <c r="T346" s="2" t="e">
        <f t="shared" si="124"/>
        <v>#N/A</v>
      </c>
      <c r="U346" s="2" t="e">
        <f t="shared" si="117"/>
        <v>#N/A</v>
      </c>
      <c r="V346" s="2" t="e">
        <f t="shared" si="118"/>
        <v>#N/A</v>
      </c>
      <c r="W346" s="2" t="e">
        <f t="shared" si="119"/>
        <v>#N/A</v>
      </c>
      <c r="X346" s="2" t="e">
        <f t="shared" si="120"/>
        <v>#N/A</v>
      </c>
      <c r="Y346" s="2" t="e">
        <f t="shared" si="121"/>
        <v>#N/A</v>
      </c>
      <c r="Z346" s="0">
        <f t="shared" ca="1" si="123"/>
        <v>1307434</v>
      </c>
      <c r="AA346" s="0">
        <f t="shared" ca="1" si="122"/>
        <v>1212807.8999999999</v>
      </c>
      <c r="AB346" cm="1" s="0">
        <f t="array" ref="AB346">MAX(IF(ISNUMBER(J346:Y346),J346:Y346))</f>
        <v>1420787</v>
      </c>
      <c r="AC346" cm="1" s="0">
        <f t="array" ref="AC346">MIN(IF(ISNUMBER(J346:Y346),J346:Y346))</f>
        <v>786166</v>
      </c>
      <c r="AD346" s="0">
        <f t="shared" si="116"/>
        <v>634621</v>
      </c>
    </row>
    <row r="347" spans="1:30" x14ac:dyDescent="0.2">
      <c r="A347" t="s" s="0">
        <v>3650</v>
      </c>
      <c r="B347" s="2">
        <v>706066</v>
      </c>
      <c r="C347" s="2">
        <v>46609</v>
      </c>
      <c r="D347" s="2">
        <v>39566</v>
      </c>
      <c r="E347" s="2">
        <v>41782</v>
      </c>
      <c r="F347" s="2">
        <v>42344</v>
      </c>
      <c r="G347" s="2">
        <v>33611</v>
      </c>
      <c r="I347" t="str" s="0">
        <f t="shared" si="105"/>
        <v>12/10</v>
      </c>
      <c r="J347" s="2">
        <f t="shared" si="106"/>
        <v>795654</v>
      </c>
      <c r="K347" s="2">
        <f t="shared" si="107"/>
        <v>1275727</v>
      </c>
      <c r="L347" s="2">
        <f t="shared" si="108"/>
        <v>1065987</v>
      </c>
      <c r="M347" s="2">
        <f t="shared" si="109"/>
        <v>1209100</v>
      </c>
      <c r="N347" s="2">
        <f t="shared" si="110"/>
        <v>1210337</v>
      </c>
      <c r="O347" s="2">
        <f t="shared" si="111"/>
        <v>1458680</v>
      </c>
      <c r="P347" s="2">
        <f t="shared" si="112"/>
        <v>1420787</v>
      </c>
      <c r="Q347" s="2">
        <f t="shared" si="113"/>
        <v>1257449</v>
      </c>
      <c r="R347" s="2">
        <f t="shared" si="114"/>
        <v>1337340</v>
      </c>
      <c r="S347" s="2">
        <f t="shared" si="115"/>
        <v>1163488</v>
      </c>
      <c r="T347" s="2" t="e">
        <f t="shared" si="124"/>
        <v>#N/A</v>
      </c>
      <c r="U347" s="2" t="e">
        <f t="shared" si="117"/>
        <v>#N/A</v>
      </c>
      <c r="V347" s="2" t="e">
        <f t="shared" si="118"/>
        <v>#N/A</v>
      </c>
      <c r="W347" s="2" t="e">
        <f t="shared" si="119"/>
        <v>#N/A</v>
      </c>
      <c r="X347" s="2" t="e">
        <f t="shared" si="120"/>
        <v>#N/A</v>
      </c>
      <c r="Y347" s="2" t="e">
        <f t="shared" si="121"/>
        <v>#N/A</v>
      </c>
      <c r="Z347" s="0">
        <f t="shared" ca="1" si="123"/>
        <v>1327548.8</v>
      </c>
      <c r="AA347" s="0">
        <f t="shared" ca="1" si="122"/>
        <v>1219454.8999999999</v>
      </c>
      <c r="AB347" cm="1" s="0">
        <f t="array" ref="AB347">MAX(IF(ISNUMBER(J347:Y347),J347:Y347))</f>
        <v>1458680</v>
      </c>
      <c r="AC347" cm="1" s="0">
        <f t="array" ref="AC347">MIN(IF(ISNUMBER(J347:Y347),J347:Y347))</f>
        <v>795654</v>
      </c>
      <c r="AD347" s="0">
        <f t="shared" si="116"/>
        <v>663026</v>
      </c>
    </row>
    <row r="348" spans="1:30" x14ac:dyDescent="0.2">
      <c r="A348" t="s" s="0">
        <v>3649</v>
      </c>
      <c r="B348" s="2">
        <v>662635</v>
      </c>
      <c r="C348" s="2">
        <v>43821</v>
      </c>
      <c r="D348" s="2">
        <v>40254</v>
      </c>
      <c r="E348" s="2">
        <v>41724</v>
      </c>
      <c r="F348" s="2">
        <v>36632</v>
      </c>
      <c r="G348" s="2">
        <v>33611</v>
      </c>
      <c r="I348" t="str" s="0">
        <f t="shared" si="105"/>
        <v>12/11</v>
      </c>
      <c r="J348" s="2">
        <f t="shared" si="106"/>
        <v>795654</v>
      </c>
      <c r="K348" s="2">
        <f t="shared" si="107"/>
        <v>1331983</v>
      </c>
      <c r="L348" s="2">
        <f t="shared" si="108"/>
        <v>1071859</v>
      </c>
      <c r="M348" s="2">
        <f t="shared" si="109"/>
        <v>1231707</v>
      </c>
      <c r="N348" s="2">
        <f t="shared" si="110"/>
        <v>1243623</v>
      </c>
      <c r="O348" s="2">
        <f t="shared" si="111"/>
        <v>1458680</v>
      </c>
      <c r="P348" s="2">
        <f t="shared" si="112"/>
        <v>1420787</v>
      </c>
      <c r="Q348" s="2">
        <f t="shared" si="113"/>
        <v>1166510</v>
      </c>
      <c r="R348" s="2">
        <f t="shared" si="114"/>
        <v>1383980</v>
      </c>
      <c r="S348" s="2">
        <f t="shared" si="115"/>
        <v>1263365</v>
      </c>
      <c r="T348" s="2" t="e">
        <f t="shared" si="124"/>
        <v>#N/A</v>
      </c>
      <c r="U348" s="2" t="e">
        <f t="shared" si="117"/>
        <v>#N/A</v>
      </c>
      <c r="V348" s="2" t="e">
        <f t="shared" si="118"/>
        <v>#N/A</v>
      </c>
      <c r="W348" s="2" t="e">
        <f t="shared" si="119"/>
        <v>#N/A</v>
      </c>
      <c r="X348" s="2" t="e">
        <f t="shared" si="120"/>
        <v>#N/A</v>
      </c>
      <c r="Y348" s="2" t="e">
        <f t="shared" si="121"/>
        <v>#N/A</v>
      </c>
      <c r="Z348" s="0">
        <f t="shared" ca="1" si="123"/>
        <v>1338664.3999999999</v>
      </c>
      <c r="AA348" s="0">
        <f t="shared" ca="1" si="122"/>
        <v>1236814.8</v>
      </c>
      <c r="AB348" cm="1" s="0">
        <f t="array" ref="AB348">MAX(IF(ISNUMBER(J348:Y348),J348:Y348))</f>
        <v>1458680</v>
      </c>
      <c r="AC348" cm="1" s="0">
        <f t="array" ref="AC348">MIN(IF(ISNUMBER(J348:Y348),J348:Y348))</f>
        <v>795654</v>
      </c>
      <c r="AD348" s="0">
        <f t="shared" si="116"/>
        <v>663026</v>
      </c>
    </row>
    <row r="349" spans="1:30" x14ac:dyDescent="0.2">
      <c r="A349" t="s" s="0">
        <v>3648</v>
      </c>
      <c r="B349" s="3">
        <v>662635</v>
      </c>
      <c r="C349" s="3">
        <v>43821</v>
      </c>
      <c r="D349" s="3">
        <v>40254</v>
      </c>
      <c r="E349" s="3">
        <v>41724</v>
      </c>
      <c r="F349" s="3">
        <v>36632</v>
      </c>
      <c r="G349" s="3">
        <v>33611</v>
      </c>
      <c r="I349" t="str" s="0">
        <f t="shared" si="105"/>
        <v>12/12</v>
      </c>
      <c r="J349" s="2">
        <f t="shared" si="106"/>
        <v>795654</v>
      </c>
      <c r="K349" s="2">
        <f t="shared" si="107"/>
        <v>1289129</v>
      </c>
      <c r="L349" s="2">
        <f t="shared" si="108"/>
        <v>1069207</v>
      </c>
      <c r="M349" s="2">
        <f t="shared" si="109"/>
        <v>1173544</v>
      </c>
      <c r="N349" s="2">
        <f t="shared" si="110"/>
        <v>1344791</v>
      </c>
      <c r="O349" s="2">
        <f t="shared" si="111"/>
        <v>1458680</v>
      </c>
      <c r="P349" s="2">
        <f t="shared" si="112"/>
        <v>1497323</v>
      </c>
      <c r="Q349" s="2">
        <f t="shared" si="113"/>
        <v>1186701</v>
      </c>
      <c r="R349" s="2">
        <f t="shared" si="114"/>
        <v>1277419</v>
      </c>
      <c r="S349" s="2">
        <f t="shared" si="115"/>
        <v>1223891</v>
      </c>
      <c r="T349" s="2" t="e">
        <f t="shared" si="124"/>
        <v>#N/A</v>
      </c>
      <c r="U349" s="2" t="e">
        <f t="shared" si="117"/>
        <v>#N/A</v>
      </c>
      <c r="V349" s="2" t="e">
        <f t="shared" si="118"/>
        <v>#N/A</v>
      </c>
      <c r="W349" s="2" t="e">
        <f t="shared" si="119"/>
        <v>#N/A</v>
      </c>
      <c r="X349" s="2" t="e">
        <f t="shared" si="120"/>
        <v>#N/A</v>
      </c>
      <c r="Y349" s="2" t="e">
        <f t="shared" si="121"/>
        <v>#N/A</v>
      </c>
      <c r="Z349" s="0">
        <f t="shared" ca="1" si="123"/>
        <v>1328802.8</v>
      </c>
      <c r="AA349" s="0">
        <f t="shared" ca="1" si="122"/>
        <v>1231633.8999999999</v>
      </c>
      <c r="AB349" cm="1" s="0">
        <f t="array" ref="AB349">MAX(IF(ISNUMBER(J349:Y349),J349:Y349))</f>
        <v>1497323</v>
      </c>
      <c r="AC349" cm="1" s="0">
        <f t="array" ref="AC349">MIN(IF(ISNUMBER(J349:Y349),J349:Y349))</f>
        <v>795654</v>
      </c>
      <c r="AD349" s="0">
        <f t="shared" si="116"/>
        <v>701669</v>
      </c>
    </row>
    <row r="350" spans="1:30" x14ac:dyDescent="0.2">
      <c r="A350" t="s" s="0">
        <v>3647</v>
      </c>
      <c r="B350" s="3">
        <v>662635</v>
      </c>
      <c r="C350" s="3">
        <v>43821</v>
      </c>
      <c r="D350" s="3">
        <v>40254</v>
      </c>
      <c r="E350" s="3">
        <v>41724</v>
      </c>
      <c r="F350" s="3">
        <v>36632</v>
      </c>
      <c r="G350" s="3">
        <v>33611</v>
      </c>
      <c r="I350" t="str" s="0">
        <f t="shared" si="105"/>
        <v>12/13</v>
      </c>
      <c r="J350" s="2">
        <f t="shared" si="106"/>
        <v>840955</v>
      </c>
      <c r="K350" s="2">
        <f t="shared" si="107"/>
        <v>1241939</v>
      </c>
      <c r="L350" s="2">
        <f t="shared" si="108"/>
        <v>1044206</v>
      </c>
      <c r="M350" s="2">
        <f t="shared" si="109"/>
        <v>1241561</v>
      </c>
      <c r="N350" s="2">
        <f t="shared" si="110"/>
        <v>1344791</v>
      </c>
      <c r="O350" s="2">
        <f t="shared" si="111"/>
        <v>1434375</v>
      </c>
      <c r="P350" s="2">
        <f t="shared" si="112"/>
        <v>1501343</v>
      </c>
      <c r="Q350" s="2">
        <f t="shared" si="113"/>
        <v>1130342</v>
      </c>
      <c r="R350" s="2">
        <f t="shared" si="114"/>
        <v>1284777</v>
      </c>
      <c r="S350" s="2">
        <f t="shared" si="115"/>
        <v>1223891</v>
      </c>
      <c r="T350" s="2" t="e">
        <f t="shared" si="124"/>
        <v>#N/A</v>
      </c>
      <c r="U350" s="2" t="e">
        <f t="shared" si="117"/>
        <v>#N/A</v>
      </c>
      <c r="V350" s="2" t="e">
        <f t="shared" si="118"/>
        <v>#N/A</v>
      </c>
      <c r="W350" s="2" t="e">
        <f t="shared" si="119"/>
        <v>#N/A</v>
      </c>
      <c r="X350" s="2" t="e">
        <f t="shared" si="120"/>
        <v>#N/A</v>
      </c>
      <c r="Y350" s="2" t="e">
        <f t="shared" si="121"/>
        <v>#N/A</v>
      </c>
      <c r="Z350" s="0">
        <f t="shared" ca="1" si="123"/>
        <v>1314945.6000000001</v>
      </c>
      <c r="AA350" s="0">
        <f t="shared" ca="1" si="122"/>
        <v>1228818</v>
      </c>
      <c r="AB350" cm="1" s="0">
        <f t="array" ref="AB350">MAX(IF(ISNUMBER(J350:Y350),J350:Y350))</f>
        <v>1501343</v>
      </c>
      <c r="AC350" cm="1" s="0">
        <f t="array" ref="AC350">MIN(IF(ISNUMBER(J350:Y350),J350:Y350))</f>
        <v>840955</v>
      </c>
      <c r="AD350" s="0">
        <f t="shared" si="116"/>
        <v>660388</v>
      </c>
    </row>
    <row r="351" spans="1:30" x14ac:dyDescent="0.2">
      <c r="A351" t="s" s="0">
        <v>3646</v>
      </c>
      <c r="B351" s="2">
        <v>741498</v>
      </c>
      <c r="C351" s="2">
        <v>19350</v>
      </c>
      <c r="D351" s="2">
        <v>42916</v>
      </c>
      <c r="E351" s="2">
        <v>41810</v>
      </c>
      <c r="F351" s="2">
        <v>44502</v>
      </c>
      <c r="G351" s="2">
        <v>37649</v>
      </c>
      <c r="I351" t="str" s="0">
        <f t="shared" si="105"/>
        <v>12/14</v>
      </c>
      <c r="J351" s="2">
        <f t="shared" si="106"/>
        <v>807671</v>
      </c>
      <c r="K351" s="2">
        <f t="shared" si="107"/>
        <v>1244660</v>
      </c>
      <c r="L351" s="2">
        <f t="shared" si="108"/>
        <v>1067880</v>
      </c>
      <c r="M351" s="2">
        <f t="shared" si="109"/>
        <v>1241561</v>
      </c>
      <c r="N351" s="2">
        <f t="shared" si="110"/>
        <v>1344791</v>
      </c>
      <c r="O351" s="2">
        <f t="shared" si="111"/>
        <v>1491677</v>
      </c>
      <c r="P351" s="2">
        <f t="shared" si="112"/>
        <v>1459570</v>
      </c>
      <c r="Q351" s="2">
        <f t="shared" si="113"/>
        <v>1158652</v>
      </c>
      <c r="R351" s="2">
        <f t="shared" si="114"/>
        <v>1295620</v>
      </c>
      <c r="S351" s="2">
        <f t="shared" si="115"/>
        <v>1223891</v>
      </c>
      <c r="T351" s="2" t="e">
        <f t="shared" si="124"/>
        <v>#N/A</v>
      </c>
      <c r="U351" s="2" t="e">
        <f t="shared" si="117"/>
        <v>#N/A</v>
      </c>
      <c r="V351" s="2" t="e">
        <f t="shared" si="118"/>
        <v>#N/A</v>
      </c>
      <c r="W351" s="2" t="e">
        <f t="shared" si="119"/>
        <v>#N/A</v>
      </c>
      <c r="X351" s="2" t="e">
        <f t="shared" si="120"/>
        <v>#N/A</v>
      </c>
      <c r="Y351" s="2" t="e">
        <f t="shared" si="121"/>
        <v>#N/A</v>
      </c>
      <c r="Z351" s="0">
        <f t="shared" ca="1" si="123"/>
        <v>1325882</v>
      </c>
      <c r="AA351" s="0">
        <f t="shared" ca="1" si="122"/>
        <v>1233597.3</v>
      </c>
      <c r="AB351" cm="1" s="0">
        <f t="array" ref="AB351">MAX(IF(ISNUMBER(J351:Y351),J351:Y351))</f>
        <v>1491677</v>
      </c>
      <c r="AC351" cm="1" s="0">
        <f t="array" ref="AC351">MIN(IF(ISNUMBER(J351:Y351),J351:Y351))</f>
        <v>807671</v>
      </c>
      <c r="AD351" s="0">
        <f t="shared" si="116"/>
        <v>684006</v>
      </c>
    </row>
    <row r="352" spans="1:30" x14ac:dyDescent="0.2">
      <c r="A352" t="s" s="0">
        <v>3645</v>
      </c>
      <c r="B352" s="2">
        <v>736996</v>
      </c>
      <c r="C352" s="2">
        <v>34946</v>
      </c>
      <c r="D352" s="2">
        <v>42874</v>
      </c>
      <c r="E352" s="2">
        <v>41697</v>
      </c>
      <c r="F352" s="2">
        <v>40220</v>
      </c>
      <c r="G352" s="2">
        <v>37828</v>
      </c>
      <c r="I352" t="str" s="0">
        <f t="shared" si="105"/>
        <v>12/15</v>
      </c>
      <c r="J352" s="2">
        <f t="shared" si="106"/>
        <v>806187</v>
      </c>
      <c r="K352" s="2">
        <f t="shared" si="107"/>
        <v>1223572</v>
      </c>
      <c r="L352" s="2">
        <f t="shared" si="108"/>
        <v>1067880</v>
      </c>
      <c r="M352" s="2">
        <f t="shared" si="109"/>
        <v>1241561</v>
      </c>
      <c r="N352" s="2">
        <f t="shared" si="110"/>
        <v>1407468</v>
      </c>
      <c r="O352" s="2">
        <f t="shared" si="111"/>
        <v>1438456</v>
      </c>
      <c r="P352" s="2">
        <f t="shared" si="112"/>
        <v>1446716</v>
      </c>
      <c r="Q352" s="2">
        <f t="shared" si="113"/>
        <v>1156981</v>
      </c>
      <c r="R352" s="2">
        <f t="shared" si="114"/>
        <v>1295620</v>
      </c>
      <c r="S352" s="2">
        <f t="shared" si="115"/>
        <v>1319471</v>
      </c>
      <c r="T352" s="2" t="e">
        <f t="shared" si="124"/>
        <v>#N/A</v>
      </c>
      <c r="U352" s="2" t="e">
        <f t="shared" si="117"/>
        <v>#N/A</v>
      </c>
      <c r="V352" s="2" t="e">
        <f t="shared" si="118"/>
        <v>#N/A</v>
      </c>
      <c r="W352" s="2" t="e">
        <f t="shared" si="119"/>
        <v>#N/A</v>
      </c>
      <c r="X352" s="2" t="e">
        <f t="shared" si="120"/>
        <v>#N/A</v>
      </c>
      <c r="Y352" s="2" t="e">
        <f t="shared" si="121"/>
        <v>#N/A</v>
      </c>
      <c r="Z352" s="0">
        <f t="shared" ca="1" si="123"/>
        <v>1331448.8</v>
      </c>
      <c r="AA352" s="0">
        <f t="shared" ca="1" si="122"/>
        <v>1240391.2</v>
      </c>
      <c r="AB352" cm="1" s="0">
        <f t="array" ref="AB352">MAX(IF(ISNUMBER(J352:Y352),J352:Y352))</f>
        <v>1446716</v>
      </c>
      <c r="AC352" cm="1" s="0">
        <f t="array" ref="AC352">MIN(IF(ISNUMBER(J352:Y352),J352:Y352))</f>
        <v>806187</v>
      </c>
      <c r="AD352" s="0">
        <f t="shared" si="116"/>
        <v>640529</v>
      </c>
    </row>
    <row r="353" spans="1:30" x14ac:dyDescent="0.2">
      <c r="A353" t="s" s="0">
        <v>3644</v>
      </c>
      <c r="B353" s="2">
        <v>707090</v>
      </c>
      <c r="C353" s="2">
        <v>50006</v>
      </c>
      <c r="D353" s="2">
        <v>41369</v>
      </c>
      <c r="E353" s="2">
        <v>41505</v>
      </c>
      <c r="F353" s="2">
        <v>43317</v>
      </c>
      <c r="G353" s="2">
        <v>36108</v>
      </c>
      <c r="I353" t="str" s="0">
        <f t="shared" si="105"/>
        <v>12/16</v>
      </c>
      <c r="J353" s="2">
        <f t="shared" si="106"/>
        <v>896943</v>
      </c>
      <c r="K353" s="2">
        <f t="shared" si="107"/>
        <v>1223572</v>
      </c>
      <c r="L353" s="2">
        <f t="shared" si="108"/>
        <v>1067880</v>
      </c>
      <c r="M353" s="2">
        <f t="shared" si="109"/>
        <v>1178859</v>
      </c>
      <c r="N353" s="2">
        <f t="shared" si="110"/>
        <v>1430291</v>
      </c>
      <c r="O353" s="2">
        <f t="shared" si="111"/>
        <v>1377972</v>
      </c>
      <c r="P353" s="2">
        <f t="shared" si="112"/>
        <v>1464037</v>
      </c>
      <c r="Q353" s="2">
        <f t="shared" si="113"/>
        <v>1156981</v>
      </c>
      <c r="R353" s="2">
        <f t="shared" si="114"/>
        <v>1295620</v>
      </c>
      <c r="S353" s="2">
        <f t="shared" si="115"/>
        <v>1268696</v>
      </c>
      <c r="T353" s="2" t="e">
        <f t="shared" si="124"/>
        <v>#N/A</v>
      </c>
      <c r="U353" s="2" t="e">
        <f t="shared" si="117"/>
        <v>#N/A</v>
      </c>
      <c r="V353" s="2" t="e">
        <f t="shared" si="118"/>
        <v>#N/A</v>
      </c>
      <c r="W353" s="2" t="e">
        <f t="shared" si="119"/>
        <v>#N/A</v>
      </c>
      <c r="X353" s="2" t="e">
        <f t="shared" si="120"/>
        <v>#N/A</v>
      </c>
      <c r="Y353" s="2" t="e">
        <f t="shared" si="121"/>
        <v>#N/A</v>
      </c>
      <c r="Z353" s="0">
        <f t="shared" ca="1" si="123"/>
        <v>1312661.2</v>
      </c>
      <c r="AA353" s="0">
        <f t="shared" ca="1" si="122"/>
        <v>1236085.1000000001</v>
      </c>
      <c r="AB353" cm="1" s="0">
        <f t="array" ref="AB353">MAX(IF(ISNUMBER(J353:Y353),J353:Y353))</f>
        <v>1464037</v>
      </c>
      <c r="AC353" cm="1" s="0">
        <f t="array" ref="AC353">MIN(IF(ISNUMBER(J353:Y353),J353:Y353))</f>
        <v>896943</v>
      </c>
      <c r="AD353" s="0">
        <f t="shared" si="116"/>
        <v>567094</v>
      </c>
    </row>
    <row r="354" spans="1:30" x14ac:dyDescent="0.2">
      <c r="A354" t="s" s="0">
        <v>3643</v>
      </c>
      <c r="B354" s="2">
        <v>769335</v>
      </c>
      <c r="C354" s="2">
        <v>43669</v>
      </c>
      <c r="D354" s="2">
        <v>40949</v>
      </c>
      <c r="E354" s="2">
        <v>40362</v>
      </c>
      <c r="F354" s="2">
        <v>49866</v>
      </c>
      <c r="G354" s="2">
        <v>38752</v>
      </c>
      <c r="I354" t="str" s="0">
        <f t="shared" si="105"/>
        <v>12/17</v>
      </c>
      <c r="J354" s="2">
        <f t="shared" si="106"/>
        <v>843467</v>
      </c>
      <c r="K354" s="2">
        <f t="shared" si="107"/>
        <v>1223572</v>
      </c>
      <c r="L354" s="2">
        <f t="shared" si="108"/>
        <v>1057405</v>
      </c>
      <c r="M354" s="2">
        <f t="shared" si="109"/>
        <v>1140619</v>
      </c>
      <c r="N354" s="2">
        <f t="shared" si="110"/>
        <v>1407767</v>
      </c>
      <c r="O354" s="2">
        <f t="shared" si="111"/>
        <v>1439507</v>
      </c>
      <c r="P354" s="2">
        <f t="shared" si="112"/>
        <v>1464037</v>
      </c>
      <c r="Q354" s="2">
        <f t="shared" si="113"/>
        <v>1156981</v>
      </c>
      <c r="R354" s="2">
        <f t="shared" si="114"/>
        <v>1350108</v>
      </c>
      <c r="S354" s="2">
        <f t="shared" si="115"/>
        <v>1267903</v>
      </c>
      <c r="T354" s="2" t="e">
        <f t="shared" si="124"/>
        <v>#N/A</v>
      </c>
      <c r="U354" s="2" t="e">
        <f t="shared" si="117"/>
        <v>#N/A</v>
      </c>
      <c r="V354" s="2" t="e">
        <f t="shared" si="118"/>
        <v>#N/A</v>
      </c>
      <c r="W354" s="2" t="e">
        <f t="shared" si="119"/>
        <v>#N/A</v>
      </c>
      <c r="X354" s="2" t="e">
        <f t="shared" si="120"/>
        <v>#N/A</v>
      </c>
      <c r="Y354" s="2" t="e">
        <f t="shared" si="121"/>
        <v>#N/A</v>
      </c>
      <c r="Z354" s="0">
        <f t="shared" ca="1" si="123"/>
        <v>1335707.2</v>
      </c>
      <c r="AA354" s="0">
        <f t="shared" ca="1" si="122"/>
        <v>1235136.6000000001</v>
      </c>
      <c r="AB354" cm="1" s="0">
        <f t="array" ref="AB354">MAX(IF(ISNUMBER(J354:Y354),J354:Y354))</f>
        <v>1464037</v>
      </c>
      <c r="AC354" cm="1" s="0">
        <f t="array" ref="AC354">MIN(IF(ISNUMBER(J354:Y354),J354:Y354))</f>
        <v>843467</v>
      </c>
      <c r="AD354" s="0">
        <f t="shared" si="116"/>
        <v>620570</v>
      </c>
    </row>
    <row r="355" spans="1:30" x14ac:dyDescent="0.2">
      <c r="A355" t="s" s="0">
        <v>3642</v>
      </c>
      <c r="B355" s="2">
        <v>807413</v>
      </c>
      <c r="C355" s="2">
        <v>39181</v>
      </c>
      <c r="D355" s="2">
        <v>40286</v>
      </c>
      <c r="E355" s="2">
        <v>40062</v>
      </c>
      <c r="F355" s="2">
        <v>60780</v>
      </c>
      <c r="G355" s="2">
        <v>41481</v>
      </c>
      <c r="I355" t="str" s="0">
        <f t="shared" si="105"/>
        <v>12/18</v>
      </c>
      <c r="J355" s="2">
        <f t="shared" si="106"/>
        <v>843467</v>
      </c>
      <c r="K355" s="2">
        <f t="shared" si="107"/>
        <v>1245707</v>
      </c>
      <c r="L355" s="2">
        <f t="shared" si="108"/>
        <v>1033956</v>
      </c>
      <c r="M355" s="2">
        <f t="shared" si="109"/>
        <v>1192370</v>
      </c>
      <c r="N355" s="2">
        <f t="shared" si="110"/>
        <v>1384666</v>
      </c>
      <c r="O355" s="2">
        <f t="shared" si="111"/>
        <v>1439507</v>
      </c>
      <c r="P355" s="2">
        <f t="shared" si="112"/>
        <v>1464037</v>
      </c>
      <c r="Q355" s="2">
        <f t="shared" si="113"/>
        <v>1249494</v>
      </c>
      <c r="R355" s="2">
        <f t="shared" si="114"/>
        <v>1316191</v>
      </c>
      <c r="S355" s="2">
        <f t="shared" si="115"/>
        <v>1256171</v>
      </c>
      <c r="T355" s="2" t="e">
        <f t="shared" si="124"/>
        <v>#N/A</v>
      </c>
      <c r="U355" s="2" t="e">
        <f t="shared" si="117"/>
        <v>#N/A</v>
      </c>
      <c r="V355" s="2" t="e">
        <f t="shared" si="118"/>
        <v>#N/A</v>
      </c>
      <c r="W355" s="2" t="e">
        <f t="shared" si="119"/>
        <v>#N/A</v>
      </c>
      <c r="X355" s="2" t="e">
        <f t="shared" si="120"/>
        <v>#N/A</v>
      </c>
      <c r="Y355" s="2" t="e">
        <f t="shared" si="121"/>
        <v>#N/A</v>
      </c>
      <c r="Z355" s="0">
        <f t="shared" ca="1" si="123"/>
        <v>1345080</v>
      </c>
      <c r="AA355" s="0">
        <f t="shared" ca="1" si="122"/>
        <v>1242556.6000000001</v>
      </c>
      <c r="AB355" cm="1" s="0">
        <f t="array" ref="AB355">MAX(IF(ISNUMBER(J355:Y355),J355:Y355))</f>
        <v>1464037</v>
      </c>
      <c r="AC355" cm="1" s="0">
        <f t="array" ref="AC355">MIN(IF(ISNUMBER(J355:Y355),J355:Y355))</f>
        <v>843467</v>
      </c>
      <c r="AD355" s="0">
        <f t="shared" si="116"/>
        <v>620570</v>
      </c>
    </row>
    <row r="356" spans="1:30" x14ac:dyDescent="0.2">
      <c r="A356" t="s" s="0">
        <v>3641</v>
      </c>
      <c r="B356" s="3">
        <v>807413</v>
      </c>
      <c r="C356" s="3">
        <v>39181</v>
      </c>
      <c r="D356" s="3">
        <v>40286</v>
      </c>
      <c r="E356" s="3">
        <v>40062</v>
      </c>
      <c r="F356" s="3">
        <v>60780</v>
      </c>
      <c r="G356" s="3">
        <v>41481</v>
      </c>
      <c r="I356" t="str" s="0">
        <f t="shared" si="105"/>
        <v>12/19</v>
      </c>
      <c r="J356" s="2">
        <f t="shared" si="106"/>
        <v>843467</v>
      </c>
      <c r="K356" s="2">
        <f t="shared" si="107"/>
        <v>1277056</v>
      </c>
      <c r="L356" s="2">
        <f t="shared" si="108"/>
        <v>1037225</v>
      </c>
      <c r="M356" s="2">
        <f t="shared" si="109"/>
        <v>1146174</v>
      </c>
      <c r="N356" s="2">
        <f t="shared" si="110"/>
        <v>1444749</v>
      </c>
      <c r="O356" s="2">
        <f t="shared" si="111"/>
        <v>1439507</v>
      </c>
      <c r="P356" s="2">
        <f t="shared" si="112"/>
        <v>1502759</v>
      </c>
      <c r="Q356" s="2">
        <f t="shared" si="113"/>
        <v>1237091</v>
      </c>
      <c r="R356" s="2">
        <f t="shared" si="114"/>
        <v>1272801</v>
      </c>
      <c r="S356" s="2">
        <f t="shared" si="115"/>
        <v>1300886</v>
      </c>
      <c r="T356" s="2" t="e">
        <f t="shared" si="124"/>
        <v>#N/A</v>
      </c>
      <c r="U356" s="2" t="e">
        <f t="shared" si="117"/>
        <v>#N/A</v>
      </c>
      <c r="V356" s="2" t="e">
        <f t="shared" si="118"/>
        <v>#N/A</v>
      </c>
      <c r="W356" s="2" t="e">
        <f t="shared" si="119"/>
        <v>#N/A</v>
      </c>
      <c r="X356" s="2" t="e">
        <f t="shared" si="120"/>
        <v>#N/A</v>
      </c>
      <c r="Y356" s="2" t="e">
        <f t="shared" si="121"/>
        <v>#N/A</v>
      </c>
      <c r="Z356" s="0">
        <f t="shared" ca="1" si="123"/>
        <v>1350608.8</v>
      </c>
      <c r="AA356" s="0">
        <f t="shared" ca="1" si="122"/>
        <v>1250171.5</v>
      </c>
      <c r="AB356" cm="1" s="0">
        <f t="array" ref="AB356">MAX(IF(ISNUMBER(J356:Y356),J356:Y356))</f>
        <v>1502759</v>
      </c>
      <c r="AC356" cm="1" s="0">
        <f t="array" ref="AC356">MIN(IF(ISNUMBER(J356:Y356),J356:Y356))</f>
        <v>843467</v>
      </c>
      <c r="AD356" s="0">
        <f t="shared" si="116"/>
        <v>659292</v>
      </c>
    </row>
    <row r="357" spans="1:30" x14ac:dyDescent="0.2">
      <c r="A357" t="s" s="0">
        <v>3640</v>
      </c>
      <c r="B357" s="3">
        <v>807413</v>
      </c>
      <c r="C357" s="3">
        <v>39181</v>
      </c>
      <c r="D357" s="3">
        <v>40286</v>
      </c>
      <c r="E357" s="3">
        <v>40062</v>
      </c>
      <c r="F357" s="3">
        <v>60780</v>
      </c>
      <c r="G357" s="3">
        <v>41481</v>
      </c>
      <c r="I357" t="str" s="0">
        <f t="shared" si="105"/>
        <v>12/20</v>
      </c>
      <c r="J357" s="2">
        <f t="shared" si="106"/>
        <v>848878</v>
      </c>
      <c r="K357" s="2">
        <f t="shared" si="107"/>
        <v>1224685</v>
      </c>
      <c r="L357" s="2">
        <f t="shared" si="108"/>
        <v>1103809</v>
      </c>
      <c r="M357" s="2">
        <f t="shared" si="109"/>
        <v>1218322</v>
      </c>
      <c r="N357" s="2">
        <f t="shared" si="110"/>
        <v>1444749</v>
      </c>
      <c r="O357" s="2">
        <f t="shared" si="111"/>
        <v>1542587</v>
      </c>
      <c r="P357" s="2">
        <f t="shared" si="112"/>
        <v>1521760</v>
      </c>
      <c r="Q357" s="2">
        <f t="shared" si="113"/>
        <v>1266253</v>
      </c>
      <c r="R357" s="2">
        <f t="shared" si="114"/>
        <v>1253593</v>
      </c>
      <c r="S357" s="2">
        <f t="shared" si="115"/>
        <v>1300886</v>
      </c>
      <c r="T357" s="2" t="e">
        <f t="shared" si="124"/>
        <v>#N/A</v>
      </c>
      <c r="U357" s="2" t="e">
        <f t="shared" si="117"/>
        <v>#N/A</v>
      </c>
      <c r="V357" s="2" t="e">
        <f t="shared" si="118"/>
        <v>#N/A</v>
      </c>
      <c r="W357" s="2" t="e">
        <f t="shared" si="119"/>
        <v>#N/A</v>
      </c>
      <c r="X357" s="2" t="e">
        <f t="shared" si="120"/>
        <v>#N/A</v>
      </c>
      <c r="Y357" s="2" t="e">
        <f t="shared" si="121"/>
        <v>#N/A</v>
      </c>
      <c r="Z357" s="0">
        <f t="shared" ca="1" si="123"/>
        <v>1377015.8</v>
      </c>
      <c r="AA357" s="0">
        <f t="shared" ca="1" si="122"/>
        <v>1272552.2</v>
      </c>
      <c r="AB357" cm="1" s="0">
        <f t="array" ref="AB357">MAX(IF(ISNUMBER(J357:Y357),J357:Y357))</f>
        <v>1542587</v>
      </c>
      <c r="AC357" cm="1" s="0">
        <f t="array" ref="AC357">MIN(IF(ISNUMBER(J357:Y357),J357:Y357))</f>
        <v>848878</v>
      </c>
      <c r="AD357" s="0">
        <f t="shared" si="116"/>
        <v>693709</v>
      </c>
    </row>
    <row r="358" spans="1:30" x14ac:dyDescent="0.2">
      <c r="A358" t="s" s="0">
        <v>3639</v>
      </c>
      <c r="B358" s="2">
        <v>791802</v>
      </c>
      <c r="C358" s="2">
        <v>20896</v>
      </c>
      <c r="D358" s="2">
        <v>39034</v>
      </c>
      <c r="E358" s="2">
        <v>40048</v>
      </c>
      <c r="F358" s="2">
        <v>46032</v>
      </c>
      <c r="G358" s="2">
        <v>41012</v>
      </c>
      <c r="I358" t="str" s="0">
        <f t="shared" si="105"/>
        <v>12/21</v>
      </c>
      <c r="J358" s="2">
        <f t="shared" si="106"/>
        <v>883133</v>
      </c>
      <c r="K358" s="2">
        <f t="shared" si="107"/>
        <v>1260895</v>
      </c>
      <c r="L358" s="2">
        <f t="shared" si="108"/>
        <v>1106297</v>
      </c>
      <c r="M358" s="2">
        <f t="shared" si="109"/>
        <v>1218322</v>
      </c>
      <c r="N358" s="2">
        <f t="shared" si="110"/>
        <v>1444749</v>
      </c>
      <c r="O358" s="2">
        <f t="shared" si="111"/>
        <v>1554389</v>
      </c>
      <c r="P358" s="2">
        <f t="shared" si="112"/>
        <v>1484931</v>
      </c>
      <c r="Q358" s="2">
        <f t="shared" si="113"/>
        <v>1227182</v>
      </c>
      <c r="R358" s="2">
        <f t="shared" si="114"/>
        <v>1329344</v>
      </c>
      <c r="S358" s="2">
        <f t="shared" si="115"/>
        <v>1300886</v>
      </c>
      <c r="T358" s="2" t="e">
        <f t="shared" si="124"/>
        <v>#N/A</v>
      </c>
      <c r="U358" s="2" t="e">
        <f t="shared" si="117"/>
        <v>#N/A</v>
      </c>
      <c r="V358" s="2" t="e">
        <f t="shared" si="118"/>
        <v>#N/A</v>
      </c>
      <c r="W358" s="2" t="e">
        <f t="shared" si="119"/>
        <v>#N/A</v>
      </c>
      <c r="X358" s="2" t="e">
        <f t="shared" si="120"/>
        <v>#N/A</v>
      </c>
      <c r="Y358" s="2" t="e">
        <f t="shared" si="121"/>
        <v>#N/A</v>
      </c>
      <c r="Z358" s="0">
        <f t="shared" ca="1" si="123"/>
        <v>1379346.4</v>
      </c>
      <c r="AA358" s="0">
        <f t="shared" ca="1" si="122"/>
        <v>1281012.8</v>
      </c>
      <c r="AB358" cm="1" s="0">
        <f t="array" ref="AB358">MAX(IF(ISNUMBER(J358:Y358),J358:Y358))</f>
        <v>1554389</v>
      </c>
      <c r="AC358" cm="1" s="0">
        <f t="array" ref="AC358">MIN(IF(ISNUMBER(J358:Y358),J358:Y358))</f>
        <v>883133</v>
      </c>
      <c r="AD358" s="0">
        <f t="shared" si="116"/>
        <v>671256</v>
      </c>
    </row>
    <row r="359" spans="1:30" x14ac:dyDescent="0.2">
      <c r="A359" t="s" s="0">
        <v>3638</v>
      </c>
      <c r="B359" s="2">
        <v>854263</v>
      </c>
      <c r="C359" s="2">
        <v>40032</v>
      </c>
      <c r="D359" s="2">
        <v>41040</v>
      </c>
      <c r="E359" s="2">
        <v>40926</v>
      </c>
      <c r="F359" s="2">
        <v>57669</v>
      </c>
      <c r="G359" s="2">
        <v>44281</v>
      </c>
      <c r="I359" t="str" s="0">
        <f t="shared" si="105"/>
        <v>12/22</v>
      </c>
      <c r="J359" s="2">
        <f t="shared" si="106"/>
        <v>845803</v>
      </c>
      <c r="K359" s="2">
        <f t="shared" si="107"/>
        <v>1254447</v>
      </c>
      <c r="L359" s="2">
        <f t="shared" si="108"/>
        <v>1106297</v>
      </c>
      <c r="M359" s="2">
        <f t="shared" si="109"/>
        <v>1218322</v>
      </c>
      <c r="N359" s="2">
        <f t="shared" si="110"/>
        <v>1400888</v>
      </c>
      <c r="O359" s="2">
        <f t="shared" si="111"/>
        <v>1558666</v>
      </c>
      <c r="P359" s="2">
        <f t="shared" si="112"/>
        <v>1489563</v>
      </c>
      <c r="Q359" s="2">
        <f t="shared" si="113"/>
        <v>1202582</v>
      </c>
      <c r="R359" s="2">
        <f t="shared" si="114"/>
        <v>1329344</v>
      </c>
      <c r="S359" s="2">
        <f t="shared" si="115"/>
        <v>1457862</v>
      </c>
      <c r="T359" s="2" t="e">
        <f t="shared" si="124"/>
        <v>#N/A</v>
      </c>
      <c r="U359" s="2" t="e">
        <f t="shared" si="117"/>
        <v>#N/A</v>
      </c>
      <c r="V359" s="2" t="e">
        <f t="shared" si="118"/>
        <v>#N/A</v>
      </c>
      <c r="W359" s="2" t="e">
        <f t="shared" si="119"/>
        <v>#N/A</v>
      </c>
      <c r="X359" s="2" t="e">
        <f t="shared" si="120"/>
        <v>#N/A</v>
      </c>
      <c r="Y359" s="2" t="e">
        <f t="shared" si="121"/>
        <v>#N/A</v>
      </c>
      <c r="Z359" s="0">
        <f t="shared" ca="1" si="123"/>
        <v>1407603.4</v>
      </c>
      <c r="AA359" s="0">
        <f t="shared" ca="1" si="122"/>
        <v>1286377.3999999999</v>
      </c>
      <c r="AB359" cm="1" s="0">
        <f t="array" ref="AB359">MAX(IF(ISNUMBER(J359:Y359),J359:Y359))</f>
        <v>1558666</v>
      </c>
      <c r="AC359" cm="1" s="0">
        <f t="array" ref="AC359">MIN(IF(ISNUMBER(J359:Y359),J359:Y359))</f>
        <v>845803</v>
      </c>
      <c r="AD359" s="0">
        <f t="shared" si="116"/>
        <v>712863</v>
      </c>
    </row>
    <row r="360" spans="1:30" x14ac:dyDescent="0.2">
      <c r="A360" t="s" s="0">
        <v>3637</v>
      </c>
      <c r="B360" s="2">
        <v>807650</v>
      </c>
      <c r="C360" s="2">
        <v>52867</v>
      </c>
      <c r="D360" s="2">
        <v>46460</v>
      </c>
      <c r="E360" s="2">
        <v>42780</v>
      </c>
      <c r="F360" s="2">
        <v>60702</v>
      </c>
      <c r="G360" s="2">
        <v>46113</v>
      </c>
      <c r="I360" t="str" s="0">
        <f t="shared" si="105"/>
        <v>12/23</v>
      </c>
      <c r="J360" s="2">
        <f t="shared" si="106"/>
        <v>871872</v>
      </c>
      <c r="K360" s="2">
        <f t="shared" si="107"/>
        <v>1254447</v>
      </c>
      <c r="L360" s="2">
        <f t="shared" si="108"/>
        <v>1106297</v>
      </c>
      <c r="M360" s="2">
        <f t="shared" si="109"/>
        <v>1178345</v>
      </c>
      <c r="N360" s="2">
        <f t="shared" si="110"/>
        <v>1374789</v>
      </c>
      <c r="O360" s="2">
        <f t="shared" si="111"/>
        <v>1575587</v>
      </c>
      <c r="P360" s="2">
        <f t="shared" si="112"/>
        <v>1482414</v>
      </c>
      <c r="Q360" s="2">
        <f t="shared" si="113"/>
        <v>1202582</v>
      </c>
      <c r="R360" s="2">
        <f t="shared" si="114"/>
        <v>1329344</v>
      </c>
      <c r="S360" s="2">
        <f t="shared" si="115"/>
        <v>1414240</v>
      </c>
      <c r="T360" s="2" t="e">
        <f t="shared" si="124"/>
        <v>#N/A</v>
      </c>
      <c r="U360" s="2" t="e">
        <f t="shared" si="117"/>
        <v>#N/A</v>
      </c>
      <c r="V360" s="2" t="e">
        <f t="shared" si="118"/>
        <v>#N/A</v>
      </c>
      <c r="W360" s="2" t="e">
        <f t="shared" si="119"/>
        <v>#N/A</v>
      </c>
      <c r="X360" s="2" t="e">
        <f t="shared" si="120"/>
        <v>#N/A</v>
      </c>
      <c r="Y360" s="2" t="e">
        <f t="shared" si="121"/>
        <v>#N/A</v>
      </c>
      <c r="Z360" s="0">
        <f t="shared" ca="1" si="123"/>
        <v>1400833.4</v>
      </c>
      <c r="AA360" s="0">
        <f t="shared" ca="1" si="122"/>
        <v>1278991.7</v>
      </c>
      <c r="AB360" cm="1" s="0">
        <f t="array" ref="AB360">MAX(IF(ISNUMBER(J360:Y360),J360:Y360))</f>
        <v>1575587</v>
      </c>
      <c r="AC360" cm="1" s="0">
        <f t="array" ref="AC360">MIN(IF(ISNUMBER(J360:Y360),J360:Y360))</f>
        <v>871872</v>
      </c>
      <c r="AD360" s="0">
        <f t="shared" si="116"/>
        <v>703715</v>
      </c>
    </row>
    <row r="361" spans="1:30" x14ac:dyDescent="0.2">
      <c r="A361" t="s" s="0">
        <v>3636</v>
      </c>
      <c r="B361" s="2">
        <v>853205</v>
      </c>
      <c r="C361" s="2">
        <v>39123</v>
      </c>
      <c r="D361" s="2">
        <v>46524</v>
      </c>
      <c r="E361" s="2">
        <v>42660</v>
      </c>
      <c r="F361" s="2">
        <v>58383</v>
      </c>
      <c r="G361" s="2">
        <v>47852</v>
      </c>
      <c r="I361" t="str" s="0">
        <f t="shared" si="105"/>
        <v>12/24</v>
      </c>
      <c r="J361" s="2">
        <f t="shared" si="106"/>
        <v>839657</v>
      </c>
      <c r="K361" s="2">
        <f t="shared" si="107"/>
        <v>1254447</v>
      </c>
      <c r="L361" s="2">
        <f t="shared" si="108"/>
        <v>1041838</v>
      </c>
      <c r="M361" s="2">
        <f t="shared" si="109"/>
        <v>1231191</v>
      </c>
      <c r="N361" s="2">
        <f t="shared" si="110"/>
        <v>1373747</v>
      </c>
      <c r="O361" s="2">
        <f t="shared" si="111"/>
        <v>1538289</v>
      </c>
      <c r="P361" s="2">
        <f t="shared" si="112"/>
        <v>1482414</v>
      </c>
      <c r="Q361" s="2">
        <f t="shared" si="113"/>
        <v>1202582</v>
      </c>
      <c r="R361" s="2">
        <f t="shared" si="114"/>
        <v>1300630</v>
      </c>
      <c r="S361" s="2">
        <f t="shared" si="115"/>
        <v>1402689</v>
      </c>
      <c r="T361" s="2" t="e">
        <f t="shared" si="124"/>
        <v>#N/A</v>
      </c>
      <c r="U361" s="2" t="e">
        <f t="shared" si="117"/>
        <v>#N/A</v>
      </c>
      <c r="V361" s="2" t="e">
        <f t="shared" si="118"/>
        <v>#N/A</v>
      </c>
      <c r="W361" s="2" t="e">
        <f t="shared" si="119"/>
        <v>#N/A</v>
      </c>
      <c r="X361" s="2" t="e">
        <f t="shared" si="120"/>
        <v>#N/A</v>
      </c>
      <c r="Y361" s="2" t="e">
        <f t="shared" si="121"/>
        <v>#N/A</v>
      </c>
      <c r="Z361" s="0">
        <f t="shared" ca="1" si="123"/>
        <v>1385320.8</v>
      </c>
      <c r="AA361" s="0">
        <f t="shared" ca="1" si="122"/>
        <v>1266748.3999999999</v>
      </c>
      <c r="AB361" cm="1" s="0">
        <f t="array" ref="AB361">MAX(IF(ISNUMBER(J361:Y361),J361:Y361))</f>
        <v>1538289</v>
      </c>
      <c r="AC361" cm="1" s="0">
        <f t="array" ref="AC361">MIN(IF(ISNUMBER(J361:Y361),J361:Y361))</f>
        <v>839657</v>
      </c>
      <c r="AD361" s="0">
        <f t="shared" si="116"/>
        <v>698632</v>
      </c>
    </row>
    <row r="362" spans="1:30" x14ac:dyDescent="0.2">
      <c r="A362" t="s" s="0">
        <v>3635</v>
      </c>
      <c r="B362" s="2">
        <v>807514</v>
      </c>
      <c r="C362" s="2">
        <v>46151</v>
      </c>
      <c r="D362" s="2">
        <v>47520</v>
      </c>
      <c r="E362" s="2">
        <v>41819</v>
      </c>
      <c r="F362" s="2">
        <v>47473</v>
      </c>
      <c r="G362" s="2">
        <v>46960</v>
      </c>
      <c r="I362" t="str" s="0">
        <f t="shared" si="105"/>
        <v>12/25</v>
      </c>
      <c r="J362" s="2">
        <f t="shared" si="106"/>
        <v>839657</v>
      </c>
      <c r="K362" s="2">
        <f t="shared" si="107"/>
        <v>1204355</v>
      </c>
      <c r="L362" s="2">
        <f t="shared" si="108"/>
        <v>1060118</v>
      </c>
      <c r="M362" s="2">
        <f t="shared" si="109"/>
        <v>1215678</v>
      </c>
      <c r="N362" s="2">
        <f t="shared" si="110"/>
        <v>1417299</v>
      </c>
      <c r="O362" s="2">
        <f t="shared" si="111"/>
        <v>1538289</v>
      </c>
      <c r="P362" s="2">
        <f t="shared" si="112"/>
        <v>1482414</v>
      </c>
      <c r="Q362" s="2">
        <f t="shared" si="113"/>
        <v>1191779</v>
      </c>
      <c r="R362" s="2">
        <f t="shared" si="114"/>
        <v>1301261</v>
      </c>
      <c r="S362" s="2">
        <f t="shared" si="115"/>
        <v>1404832</v>
      </c>
      <c r="T362" s="2" t="e">
        <f t="shared" si="124"/>
        <v>#N/A</v>
      </c>
      <c r="U362" s="2" t="e">
        <f t="shared" si="117"/>
        <v>#N/A</v>
      </c>
      <c r="V362" s="2" t="e">
        <f t="shared" si="118"/>
        <v>#N/A</v>
      </c>
      <c r="W362" s="2" t="e">
        <f t="shared" si="119"/>
        <v>#N/A</v>
      </c>
      <c r="X362" s="2" t="e">
        <f t="shared" si="120"/>
        <v>#N/A</v>
      </c>
      <c r="Y362" s="2" t="e">
        <f t="shared" si="121"/>
        <v>#N/A</v>
      </c>
      <c r="Z362" s="0">
        <f t="shared" ca="1" si="123"/>
        <v>1383715</v>
      </c>
      <c r="AA362" s="0">
        <f t="shared" ca="1" si="122"/>
        <v>1265568.2</v>
      </c>
      <c r="AB362" cm="1" s="0">
        <f t="array" ref="AB362">MAX(IF(ISNUMBER(J362:Y362),J362:Y362))</f>
        <v>1538289</v>
      </c>
      <c r="AC362" cm="1" s="0">
        <f t="array" ref="AC362">MIN(IF(ISNUMBER(J362:Y362),J362:Y362))</f>
        <v>839657</v>
      </c>
      <c r="AD362" s="0">
        <f t="shared" si="116"/>
        <v>698632</v>
      </c>
    </row>
    <row r="363" spans="1:30" x14ac:dyDescent="0.2">
      <c r="A363" t="s" s="0">
        <v>3634</v>
      </c>
      <c r="B363" s="3">
        <v>807514</v>
      </c>
      <c r="C363" s="3">
        <v>46151</v>
      </c>
      <c r="D363" s="3">
        <v>47520</v>
      </c>
      <c r="E363" s="3">
        <v>41819</v>
      </c>
      <c r="F363" s="3">
        <v>47473</v>
      </c>
      <c r="G363" s="3">
        <v>46960</v>
      </c>
      <c r="I363" t="str" s="0">
        <f t="shared" si="105"/>
        <v>12/26</v>
      </c>
      <c r="J363" s="2">
        <f t="shared" si="106"/>
        <v>839657</v>
      </c>
      <c r="K363" s="2">
        <f t="shared" si="107"/>
        <v>1237352</v>
      </c>
      <c r="L363" s="2">
        <f t="shared" si="108"/>
        <v>1032315</v>
      </c>
      <c r="M363" s="2">
        <f t="shared" si="109"/>
        <v>1227261</v>
      </c>
      <c r="N363" s="2">
        <f t="shared" si="110"/>
        <v>1451702</v>
      </c>
      <c r="O363" s="2">
        <f t="shared" si="111"/>
        <v>1538289</v>
      </c>
      <c r="P363" s="2">
        <f t="shared" si="112"/>
        <v>1487969</v>
      </c>
      <c r="Q363" s="2">
        <f t="shared" si="113"/>
        <v>1151320</v>
      </c>
      <c r="R363" s="2">
        <f t="shared" si="114"/>
        <v>1371203</v>
      </c>
      <c r="S363" s="2">
        <f t="shared" si="115"/>
        <v>1392494</v>
      </c>
      <c r="T363" s="2" t="e">
        <f t="shared" si="124"/>
        <v>#N/A</v>
      </c>
      <c r="U363" s="2" t="e">
        <f t="shared" si="117"/>
        <v>#N/A</v>
      </c>
      <c r="V363" s="2" t="e">
        <f t="shared" si="118"/>
        <v>#N/A</v>
      </c>
      <c r="W363" s="2" t="e">
        <f t="shared" si="119"/>
        <v>#N/A</v>
      </c>
      <c r="X363" s="2" t="e">
        <f t="shared" si="120"/>
        <v>#N/A</v>
      </c>
      <c r="Y363" s="2" t="e">
        <f t="shared" si="121"/>
        <v>#N/A</v>
      </c>
      <c r="Z363" s="0">
        <f t="shared" ca="1" si="123"/>
        <v>1388255</v>
      </c>
      <c r="AA363" s="0">
        <f t="shared" ca="1" si="122"/>
        <v>1272956.2</v>
      </c>
      <c r="AB363" cm="1" s="0">
        <f t="array" ref="AB363">MAX(IF(ISNUMBER(J363:Y363),J363:Y363))</f>
        <v>1538289</v>
      </c>
      <c r="AC363" cm="1" s="0">
        <f t="array" ref="AC363">MIN(IF(ISNUMBER(J363:Y363),J363:Y363))</f>
        <v>839657</v>
      </c>
      <c r="AD363" s="0">
        <f t="shared" si="116"/>
        <v>698632</v>
      </c>
    </row>
    <row r="364" spans="1:30" x14ac:dyDescent="0.2">
      <c r="A364" t="s" s="0">
        <v>3633</v>
      </c>
      <c r="B364" s="3">
        <v>807514</v>
      </c>
      <c r="C364" s="3">
        <v>46151</v>
      </c>
      <c r="D364" s="3">
        <v>47520</v>
      </c>
      <c r="E364" s="3">
        <v>41819</v>
      </c>
      <c r="F364" s="3">
        <v>47473</v>
      </c>
      <c r="G364" s="3">
        <v>46960</v>
      </c>
      <c r="I364" t="str" s="0">
        <f t="shared" si="105"/>
        <v>12/27</v>
      </c>
      <c r="J364" s="2">
        <f t="shared" si="106"/>
        <v>958785</v>
      </c>
      <c r="K364" s="2">
        <f t="shared" si="107"/>
        <v>1191269</v>
      </c>
      <c r="L364" s="2">
        <f t="shared" si="108"/>
        <v>1021385</v>
      </c>
      <c r="M364" s="2">
        <f t="shared" si="109"/>
        <v>1266662</v>
      </c>
      <c r="N364" s="2">
        <f t="shared" si="110"/>
        <v>1451702</v>
      </c>
      <c r="O364" s="2">
        <f t="shared" si="111"/>
        <v>1556971</v>
      </c>
      <c r="P364" s="2">
        <f t="shared" si="112"/>
        <v>1463720</v>
      </c>
      <c r="Q364" s="2">
        <f t="shared" si="113"/>
        <v>1138799</v>
      </c>
      <c r="R364" s="2">
        <f t="shared" si="114"/>
        <v>1338386</v>
      </c>
      <c r="S364" s="2">
        <f t="shared" si="115"/>
        <v>1392494</v>
      </c>
      <c r="T364" s="2" t="e">
        <f t="shared" si="124"/>
        <v>#N/A</v>
      </c>
      <c r="U364" s="2" t="e">
        <f t="shared" si="117"/>
        <v>#N/A</v>
      </c>
      <c r="V364" s="2" t="e">
        <f t="shared" si="118"/>
        <v>#N/A</v>
      </c>
      <c r="W364" s="2" t="e">
        <f t="shared" si="119"/>
        <v>#N/A</v>
      </c>
      <c r="X364" s="2" t="e">
        <f t="shared" si="120"/>
        <v>#N/A</v>
      </c>
      <c r="Y364" s="2" t="e">
        <f t="shared" si="121"/>
        <v>#N/A</v>
      </c>
      <c r="Z364" s="0">
        <f t="shared" ca="1" si="123"/>
        <v>1378074</v>
      </c>
      <c r="AA364" s="0">
        <f t="shared" ca="1" si="122"/>
        <v>1278017.3</v>
      </c>
      <c r="AB364" cm="1" s="0">
        <f t="array" ref="AB364">MAX(IF(ISNUMBER(J364:Y364),J364:Y364))</f>
        <v>1556971</v>
      </c>
      <c r="AC364" cm="1" s="0">
        <f t="array" ref="AC364">MIN(IF(ISNUMBER(J364:Y364),J364:Y364))</f>
        <v>958785</v>
      </c>
      <c r="AD364" s="0">
        <f t="shared" si="116"/>
        <v>598186</v>
      </c>
    </row>
    <row r="365" spans="1:30" x14ac:dyDescent="0.2">
      <c r="A365" t="s" s="0">
        <v>3632</v>
      </c>
      <c r="B365" s="2">
        <v>808457</v>
      </c>
      <c r="C365" s="2">
        <v>24321</v>
      </c>
      <c r="D365" s="2">
        <v>49177</v>
      </c>
      <c r="E365" s="2">
        <v>42570</v>
      </c>
      <c r="F365" s="2">
        <v>51495</v>
      </c>
      <c r="G365" s="2">
        <v>45866</v>
      </c>
      <c r="I365" t="str" s="0">
        <f t="shared" si="105"/>
        <v>12/28</v>
      </c>
      <c r="J365" s="2">
        <f t="shared" si="106"/>
        <v>948405</v>
      </c>
      <c r="K365" s="2">
        <f t="shared" si="107"/>
        <v>1211073</v>
      </c>
      <c r="L365" s="2">
        <f t="shared" si="108"/>
        <v>983232</v>
      </c>
      <c r="M365" s="2">
        <f t="shared" si="109"/>
        <v>1266662</v>
      </c>
      <c r="N365" s="2">
        <f t="shared" si="110"/>
        <v>1451702</v>
      </c>
      <c r="O365" s="2">
        <f t="shared" si="111"/>
        <v>1555397</v>
      </c>
      <c r="P365" s="2">
        <f t="shared" si="112"/>
        <v>1343728</v>
      </c>
      <c r="Q365" s="2">
        <f t="shared" si="113"/>
        <v>1163019</v>
      </c>
      <c r="R365" s="2">
        <f t="shared" si="114"/>
        <v>1386609</v>
      </c>
      <c r="S365" s="2">
        <f t="shared" si="115"/>
        <v>1392494</v>
      </c>
      <c r="T365" s="2" t="e">
        <f t="shared" si="124"/>
        <v>#N/A</v>
      </c>
      <c r="U365" s="2" t="e">
        <f t="shared" si="117"/>
        <v>#N/A</v>
      </c>
      <c r="V365" s="2" t="e">
        <f t="shared" si="118"/>
        <v>#N/A</v>
      </c>
      <c r="W365" s="2" t="e">
        <f t="shared" si="119"/>
        <v>#N/A</v>
      </c>
      <c r="X365" s="2" t="e">
        <f t="shared" si="120"/>
        <v>#N/A</v>
      </c>
      <c r="Y365" s="2" t="e">
        <f t="shared" si="121"/>
        <v>#N/A</v>
      </c>
      <c r="Z365" s="0">
        <f t="shared" ca="1" si="123"/>
        <v>1368249.4</v>
      </c>
      <c r="AA365" s="0">
        <f t="shared" ca="1" si="122"/>
        <v>1270232.1000000001</v>
      </c>
      <c r="AB365" cm="1" s="0">
        <f t="array" ref="AB365">MAX(IF(ISNUMBER(J365:Y365),J365:Y365))</f>
        <v>1555397</v>
      </c>
      <c r="AC365" cm="1" s="0">
        <f t="array" ref="AC365">MIN(IF(ISNUMBER(J365:Y365),J365:Y365))</f>
        <v>948405</v>
      </c>
      <c r="AD365" s="0">
        <f t="shared" si="116"/>
        <v>606992</v>
      </c>
    </row>
    <row r="366" spans="1:30" x14ac:dyDescent="0.2">
      <c r="A366" t="s" s="0">
        <v>3631</v>
      </c>
      <c r="B366" s="2">
        <v>801338</v>
      </c>
      <c r="C366" s="2">
        <v>46010</v>
      </c>
      <c r="D366" s="2">
        <v>48751</v>
      </c>
      <c r="E366" s="2">
        <v>43097</v>
      </c>
      <c r="F366" s="2">
        <v>41129</v>
      </c>
      <c r="G366" s="2">
        <v>43152</v>
      </c>
      <c r="I366" t="str" s="0">
        <f t="shared" si="105"/>
        <v>12/29</v>
      </c>
      <c r="J366" s="2">
        <f t="shared" si="106"/>
        <v>988772</v>
      </c>
      <c r="K366" s="2">
        <f t="shared" si="107"/>
        <v>1251444</v>
      </c>
      <c r="L366" s="2">
        <f t="shared" si="108"/>
        <v>983232</v>
      </c>
      <c r="M366" s="2">
        <f t="shared" si="109"/>
        <v>1266662</v>
      </c>
      <c r="N366" s="2">
        <f t="shared" si="110"/>
        <v>1511793</v>
      </c>
      <c r="O366" s="2">
        <f t="shared" si="111"/>
        <v>1602215</v>
      </c>
      <c r="P366" s="2">
        <f t="shared" si="112"/>
        <v>1348061</v>
      </c>
      <c r="Q366" s="2">
        <f t="shared" si="113"/>
        <v>1169744</v>
      </c>
      <c r="R366" s="2">
        <f t="shared" si="114"/>
        <v>1386609</v>
      </c>
      <c r="S366" s="2">
        <f t="shared" si="115"/>
        <v>1441558</v>
      </c>
      <c r="T366" s="2" t="e">
        <f t="shared" si="124"/>
        <v>#N/A</v>
      </c>
      <c r="U366" s="2" t="e">
        <f t="shared" si="117"/>
        <v>#N/A</v>
      </c>
      <c r="V366" s="2" t="e">
        <f t="shared" si="118"/>
        <v>#N/A</v>
      </c>
      <c r="W366" s="2" t="e">
        <f t="shared" si="119"/>
        <v>#N/A</v>
      </c>
      <c r="X366" s="2" t="e">
        <f t="shared" si="120"/>
        <v>#N/A</v>
      </c>
      <c r="Y366" s="2" t="e">
        <f t="shared" si="121"/>
        <v>#N/A</v>
      </c>
      <c r="Z366" s="0">
        <f t="shared" ca="1" si="123"/>
        <v>1389637.4</v>
      </c>
      <c r="AA366" s="0">
        <f t="shared" ca="1" si="122"/>
        <v>1295009</v>
      </c>
      <c r="AB366" cm="1" s="0">
        <f t="array" ref="AB366">MAX(IF(ISNUMBER(J366:Y366),J366:Y366))</f>
        <v>1602215</v>
      </c>
      <c r="AC366" cm="1" s="0">
        <f t="array" ref="AC366">MIN(IF(ISNUMBER(J366:Y366),J366:Y366))</f>
        <v>983232</v>
      </c>
      <c r="AD366" s="0">
        <f t="shared" si="116"/>
        <v>618983</v>
      </c>
    </row>
    <row r="367" spans="1:30" x14ac:dyDescent="0.2">
      <c r="A367" t="s" s="0">
        <v>3630</v>
      </c>
      <c r="B367" s="2">
        <v>809738</v>
      </c>
      <c r="C367" s="2">
        <v>59081</v>
      </c>
      <c r="D367" s="2">
        <v>47343</v>
      </c>
      <c r="E367" s="2">
        <v>43641</v>
      </c>
      <c r="F367" s="2">
        <v>47408</v>
      </c>
      <c r="G367" s="2">
        <v>46297</v>
      </c>
      <c r="I367" t="str" s="0">
        <f t="shared" si="105"/>
        <v>12/30</v>
      </c>
      <c r="J367" s="2">
        <f t="shared" si="106"/>
        <v>1092266</v>
      </c>
      <c r="K367" s="2">
        <f t="shared" si="107"/>
        <v>1251444</v>
      </c>
      <c r="L367" s="2">
        <f t="shared" si="108"/>
        <v>983232</v>
      </c>
      <c r="M367" s="2">
        <f t="shared" si="109"/>
        <v>1255585</v>
      </c>
      <c r="N367" s="2">
        <f t="shared" si="110"/>
        <v>1498092</v>
      </c>
      <c r="O367" s="2">
        <f t="shared" si="111"/>
        <v>1601465</v>
      </c>
      <c r="P367" s="2">
        <f t="shared" si="112"/>
        <v>1330409</v>
      </c>
      <c r="Q367" s="2">
        <f t="shared" si="113"/>
        <v>1169744</v>
      </c>
      <c r="R367" s="2">
        <f t="shared" si="114"/>
        <v>1386609</v>
      </c>
      <c r="S367" s="2">
        <f t="shared" si="115"/>
        <v>1398514</v>
      </c>
      <c r="T367" s="2" t="e">
        <f t="shared" si="124"/>
        <v>#N/A</v>
      </c>
      <c r="U367" s="2" t="e">
        <f t="shared" si="117"/>
        <v>#N/A</v>
      </c>
      <c r="V367" s="2" t="e">
        <f t="shared" si="118"/>
        <v>#N/A</v>
      </c>
      <c r="W367" s="2" t="e">
        <f t="shared" si="119"/>
        <v>#N/A</v>
      </c>
      <c r="X367" s="2" t="e">
        <f t="shared" si="120"/>
        <v>#N/A</v>
      </c>
      <c r="Y367" s="2" t="e">
        <f t="shared" si="121"/>
        <v>#N/A</v>
      </c>
      <c r="Z367" s="0">
        <f t="shared" ca="1" si="123"/>
        <v>1377348.2</v>
      </c>
      <c r="AA367" s="0">
        <f t="shared" ca="1" si="122"/>
        <v>1296736</v>
      </c>
      <c r="AB367" cm="1" s="0">
        <f t="array" ref="AB367">MAX(IF(ISNUMBER(J367:Y367),J367:Y367))</f>
        <v>1601465</v>
      </c>
      <c r="AC367" cm="1" s="0">
        <f t="array" ref="AC367">MIN(IF(ISNUMBER(J367:Y367),J367:Y367))</f>
        <v>983232</v>
      </c>
      <c r="AD367" s="0">
        <f t="shared" si="116"/>
        <v>618233</v>
      </c>
    </row>
    <row r="368" spans="1:30" x14ac:dyDescent="0.2">
      <c r="A368" t="s" s="0">
        <v>3629</v>
      </c>
      <c r="B368" s="2">
        <v>785172</v>
      </c>
      <c r="C368" s="2">
        <v>49565</v>
      </c>
      <c r="D368" s="2">
        <v>48121</v>
      </c>
      <c r="E368" s="2">
        <v>43790</v>
      </c>
      <c r="F368" s="2">
        <v>38168</v>
      </c>
      <c r="G368" s="2">
        <v>47190</v>
      </c>
      <c r="I368" t="str" s="0">
        <f t="shared" si="105"/>
        <v>12/31</v>
      </c>
      <c r="J368" s="2">
        <f t="shared" si="106"/>
        <v>1026789</v>
      </c>
      <c r="K368" s="2">
        <f t="shared" si="107"/>
        <v>1251444</v>
      </c>
      <c r="L368" s="2">
        <f t="shared" si="108"/>
        <v>945170</v>
      </c>
      <c r="M368" s="2">
        <f t="shared" si="109"/>
        <v>1217836</v>
      </c>
      <c r="N368" s="2">
        <f t="shared" si="110"/>
        <v>1438254</v>
      </c>
      <c r="O368" s="2">
        <f t="shared" si="111"/>
        <v>1580531</v>
      </c>
      <c r="P368" s="2">
        <f t="shared" si="112"/>
        <v>1330409</v>
      </c>
      <c r="Q368" s="2">
        <f t="shared" si="113"/>
        <v>1169744</v>
      </c>
      <c r="R368" s="2">
        <f t="shared" si="114"/>
        <v>1324921</v>
      </c>
      <c r="S368" s="2">
        <f t="shared" si="115"/>
        <v>1358822</v>
      </c>
      <c r="T368" s="2" t="e">
        <f t="shared" si="124"/>
        <v>#N/A</v>
      </c>
      <c r="U368" s="2" t="e">
        <f t="shared" si="117"/>
        <v>#N/A</v>
      </c>
      <c r="V368" s="2" t="e">
        <f t="shared" si="118"/>
        <v>#N/A</v>
      </c>
      <c r="W368" s="2" t="e">
        <f t="shared" si="119"/>
        <v>#N/A</v>
      </c>
      <c r="X368" s="2" t="e">
        <f t="shared" si="120"/>
        <v>#N/A</v>
      </c>
      <c r="Y368" s="2" t="e">
        <f t="shared" si="121"/>
        <v>#N/A</v>
      </c>
      <c r="Z368" s="0">
        <f t="shared" ca="1" si="123"/>
        <v>1352885.4</v>
      </c>
      <c r="AA368" s="0">
        <f t="shared" ca="1" si="122"/>
        <v>1264392</v>
      </c>
      <c r="AB368" cm="1" s="0">
        <f t="array" ref="AB368">MAX(IF(ISNUMBER(J368:Y368),J368:Y368))</f>
        <v>1580531</v>
      </c>
      <c r="AC368" cm="1" s="0">
        <f t="array" ref="AC368">MIN(IF(ISNUMBER(J368:Y368),J368:Y368))</f>
        <v>945170</v>
      </c>
      <c r="AD368" s="0">
        <f t="shared" si="116"/>
        <v>635361</v>
      </c>
    </row>
    <row r="369" spans="1:7" x14ac:dyDescent="0.2">
      <c r="A369" t="s" s="0">
        <v>3628</v>
      </c>
      <c r="B369" s="2">
        <v>801053</v>
      </c>
      <c r="C369" s="2">
        <v>58402</v>
      </c>
      <c r="D369" s="2">
        <v>49871</v>
      </c>
      <c r="E369" s="2">
        <v>44483</v>
      </c>
      <c r="F369" s="2">
        <v>48746</v>
      </c>
      <c r="G369" s="2">
        <v>48408</v>
      </c>
    </row>
    <row r="370" spans="1:7" x14ac:dyDescent="0.2">
      <c r="A370" t="s" s="0">
        <v>3627</v>
      </c>
      <c r="B370" s="3">
        <v>801053</v>
      </c>
      <c r="C370" s="3">
        <v>58402</v>
      </c>
      <c r="D370" s="3">
        <v>49871</v>
      </c>
      <c r="E370" s="3">
        <v>44483</v>
      </c>
      <c r="F370" s="3">
        <v>48746</v>
      </c>
      <c r="G370" s="3">
        <v>48408</v>
      </c>
    </row>
    <row r="371" spans="1:7" x14ac:dyDescent="0.2">
      <c r="A371" t="s" s="0">
        <v>3626</v>
      </c>
      <c r="B371" s="3">
        <v>801053</v>
      </c>
      <c r="C371" s="3">
        <v>58402</v>
      </c>
      <c r="D371" s="3">
        <v>49871</v>
      </c>
      <c r="E371" s="3">
        <v>44483</v>
      </c>
      <c r="F371" s="3">
        <v>48746</v>
      </c>
      <c r="G371" s="3">
        <v>48408</v>
      </c>
    </row>
    <row r="372" spans="1:7" x14ac:dyDescent="0.2">
      <c r="A372" t="s" s="0">
        <v>3625</v>
      </c>
      <c r="B372" s="2">
        <v>803429</v>
      </c>
      <c r="C372" s="2">
        <v>20647</v>
      </c>
      <c r="D372" s="2">
        <v>47520</v>
      </c>
      <c r="E372" s="2">
        <v>44662</v>
      </c>
      <c r="F372" s="2">
        <v>46600</v>
      </c>
      <c r="G372" s="2">
        <v>47157</v>
      </c>
    </row>
    <row r="373" spans="1:7" x14ac:dyDescent="0.2">
      <c r="A373" t="s" s="0">
        <v>3624</v>
      </c>
      <c r="B373" s="2">
        <v>824728</v>
      </c>
      <c r="C373" s="2">
        <v>38778</v>
      </c>
      <c r="D373" s="2">
        <v>46486</v>
      </c>
      <c r="E373" s="2">
        <v>44788</v>
      </c>
      <c r="F373" s="2">
        <v>49626</v>
      </c>
      <c r="G373" s="2">
        <v>47161</v>
      </c>
    </row>
    <row r="374" spans="1:7" x14ac:dyDescent="0.2">
      <c r="A374" t="s" s="0">
        <v>3623</v>
      </c>
      <c r="B374" s="2">
        <v>822803</v>
      </c>
      <c r="C374" s="2">
        <v>51925</v>
      </c>
      <c r="D374" s="2">
        <v>42749</v>
      </c>
      <c r="E374" s="2">
        <v>44480</v>
      </c>
      <c r="F374" s="2">
        <v>44586</v>
      </c>
      <c r="G374" s="2">
        <v>49003</v>
      </c>
    </row>
    <row r="375" spans="1:7" x14ac:dyDescent="0.2">
      <c r="A375" t="s" s="0">
        <v>3622</v>
      </c>
      <c r="B375" s="2">
        <v>763798</v>
      </c>
      <c r="C375" s="2">
        <v>48810</v>
      </c>
      <c r="D375" s="2">
        <v>44927</v>
      </c>
      <c r="E375" s="2">
        <v>45130</v>
      </c>
      <c r="F375" s="2">
        <v>41844</v>
      </c>
      <c r="G375" s="2">
        <v>47065</v>
      </c>
    </row>
    <row r="376" spans="1:7" x14ac:dyDescent="0.2">
      <c r="A376" t="s" s="0">
        <v>3621</v>
      </c>
      <c r="B376" s="2">
        <v>713941</v>
      </c>
      <c r="C376" s="2">
        <v>46136</v>
      </c>
      <c r="D376" s="2">
        <v>43888</v>
      </c>
      <c r="E376" s="2">
        <v>45391</v>
      </c>
      <c r="F376" s="2">
        <v>31262</v>
      </c>
      <c r="G376" s="2">
        <v>47065</v>
      </c>
    </row>
    <row r="377" spans="1:7" x14ac:dyDescent="0.2">
      <c r="A377" t="s" s="0">
        <v>3620</v>
      </c>
      <c r="B377" s="3">
        <v>713941</v>
      </c>
      <c r="C377" s="3">
        <v>46136</v>
      </c>
      <c r="D377" s="3">
        <v>43888</v>
      </c>
      <c r="E377" s="3">
        <v>45391</v>
      </c>
      <c r="F377" s="3">
        <v>31262</v>
      </c>
      <c r="G377" s="3">
        <v>47065</v>
      </c>
    </row>
    <row r="378" spans="1:7" x14ac:dyDescent="0.2">
      <c r="A378" t="s" s="0">
        <v>3619</v>
      </c>
      <c r="B378" s="3">
        <v>713941</v>
      </c>
      <c r="C378" s="3">
        <v>46136</v>
      </c>
      <c r="D378" s="3">
        <v>43888</v>
      </c>
      <c r="E378" s="3">
        <v>45391</v>
      </c>
      <c r="F378" s="3">
        <v>31262</v>
      </c>
      <c r="G378" s="3">
        <v>47065</v>
      </c>
    </row>
    <row r="379" spans="1:7" x14ac:dyDescent="0.2">
      <c r="A379" t="s" s="0">
        <v>3618</v>
      </c>
      <c r="B379" s="2">
        <v>735586</v>
      </c>
      <c r="C379" s="2">
        <v>20475</v>
      </c>
      <c r="D379" s="2">
        <v>43570</v>
      </c>
      <c r="E379" s="2">
        <v>44825</v>
      </c>
      <c r="F379" s="2">
        <v>33696</v>
      </c>
      <c r="G379" s="2">
        <v>44456</v>
      </c>
    </row>
    <row r="380" spans="1:7" x14ac:dyDescent="0.2">
      <c r="A380" t="s" s="0">
        <v>3617</v>
      </c>
      <c r="B380" s="2">
        <v>763061</v>
      </c>
      <c r="C380" s="2">
        <v>37628</v>
      </c>
      <c r="D380" s="2">
        <v>43406</v>
      </c>
      <c r="E380" s="2">
        <v>44921</v>
      </c>
      <c r="F380" s="2">
        <v>34414</v>
      </c>
      <c r="G380" s="2">
        <v>45710</v>
      </c>
    </row>
    <row r="381" spans="1:7" x14ac:dyDescent="0.2">
      <c r="A381" t="s" s="0">
        <v>3616</v>
      </c>
      <c r="B381" s="2">
        <v>730122</v>
      </c>
      <c r="C381" s="2">
        <v>46513</v>
      </c>
      <c r="D381" s="2">
        <v>42633</v>
      </c>
      <c r="E381" s="2">
        <v>44796</v>
      </c>
      <c r="F381" s="2">
        <v>29199</v>
      </c>
      <c r="G381" s="2">
        <v>45474</v>
      </c>
    </row>
    <row r="382" spans="1:7" x14ac:dyDescent="0.2">
      <c r="A382" t="s" s="0">
        <v>3615</v>
      </c>
      <c r="B382" s="2">
        <v>792273</v>
      </c>
      <c r="C382" s="2">
        <v>43837</v>
      </c>
      <c r="D382" s="2">
        <v>39637</v>
      </c>
      <c r="E382" s="2">
        <v>44802</v>
      </c>
      <c r="F382" s="2">
        <v>43511</v>
      </c>
      <c r="G382" s="2">
        <v>45476</v>
      </c>
    </row>
    <row r="383" spans="1:7" x14ac:dyDescent="0.2">
      <c r="A383" t="s" s="0">
        <v>3614</v>
      </c>
      <c r="B383" s="2">
        <v>789918</v>
      </c>
      <c r="C383" s="2">
        <v>52608</v>
      </c>
      <c r="D383" s="2">
        <v>39848</v>
      </c>
      <c r="E383" s="2">
        <v>45282</v>
      </c>
      <c r="F383" s="2">
        <v>50666</v>
      </c>
      <c r="G383" s="2">
        <v>44537</v>
      </c>
    </row>
    <row r="384" spans="1:7" x14ac:dyDescent="0.2">
      <c r="A384" t="s" s="0">
        <v>3613</v>
      </c>
      <c r="B384" s="3">
        <v>789918</v>
      </c>
      <c r="C384" s="3">
        <v>52608</v>
      </c>
      <c r="D384" s="3">
        <v>39848</v>
      </c>
      <c r="E384" s="3">
        <v>45282</v>
      </c>
      <c r="F384" s="3">
        <v>50666</v>
      </c>
      <c r="G384" s="3">
        <v>44537</v>
      </c>
    </row>
    <row r="385" spans="1:7" x14ac:dyDescent="0.2">
      <c r="A385" t="s" s="0">
        <v>3612</v>
      </c>
      <c r="B385" s="3">
        <v>789918</v>
      </c>
      <c r="C385" s="3">
        <v>52608</v>
      </c>
      <c r="D385" s="3">
        <v>39848</v>
      </c>
      <c r="E385" s="3">
        <v>45282</v>
      </c>
      <c r="F385" s="3">
        <v>50666</v>
      </c>
      <c r="G385" s="3">
        <v>44537</v>
      </c>
    </row>
    <row r="386" spans="1:7" x14ac:dyDescent="0.2">
      <c r="A386" t="s" s="0">
        <v>3611</v>
      </c>
      <c r="B386" s="2">
        <v>780105</v>
      </c>
      <c r="C386" s="2">
        <v>22345</v>
      </c>
      <c r="D386" s="2">
        <v>43579</v>
      </c>
      <c r="E386" s="2">
        <v>45962</v>
      </c>
      <c r="F386" s="2">
        <v>49904</v>
      </c>
      <c r="G386" s="2">
        <v>45424</v>
      </c>
    </row>
    <row r="387" spans="1:7" x14ac:dyDescent="0.2">
      <c r="A387" t="s" s="0">
        <v>3610</v>
      </c>
      <c r="B387" s="2">
        <v>739386</v>
      </c>
      <c r="C387" s="2">
        <v>40619</v>
      </c>
      <c r="D387" s="2">
        <v>44007</v>
      </c>
      <c r="E387" s="2">
        <v>45663</v>
      </c>
      <c r="F387" s="2">
        <v>40589</v>
      </c>
      <c r="G387" s="2">
        <v>41440</v>
      </c>
    </row>
    <row r="388" spans="1:7" x14ac:dyDescent="0.2">
      <c r="A388" t="s" s="0">
        <v>3609</v>
      </c>
      <c r="B388" s="2">
        <v>724867</v>
      </c>
      <c r="C388" s="2">
        <v>44519</v>
      </c>
      <c r="D388" s="2">
        <v>43722</v>
      </c>
      <c r="E388" s="2">
        <v>44112</v>
      </c>
      <c r="F388" s="2">
        <v>42948</v>
      </c>
      <c r="G388" s="2">
        <v>41035</v>
      </c>
    </row>
    <row r="389" spans="1:7" x14ac:dyDescent="0.2">
      <c r="A389" t="s" s="0">
        <v>3608</v>
      </c>
      <c r="B389" s="2">
        <v>686392</v>
      </c>
      <c r="C389" s="2">
        <v>38570</v>
      </c>
      <c r="D389" s="2">
        <v>42969</v>
      </c>
      <c r="E389" s="2">
        <v>43913</v>
      </c>
      <c r="F389" s="2">
        <v>27820</v>
      </c>
      <c r="G389" s="2">
        <v>37836</v>
      </c>
    </row>
    <row r="390" spans="1:7" x14ac:dyDescent="0.2">
      <c r="A390" t="s" s="0">
        <v>3607</v>
      </c>
      <c r="B390" s="2">
        <v>735393</v>
      </c>
      <c r="C390" s="2">
        <v>46989</v>
      </c>
      <c r="D390" s="2">
        <v>44893</v>
      </c>
      <c r="E390" s="2">
        <v>44625</v>
      </c>
      <c r="F390" s="2">
        <v>37025</v>
      </c>
      <c r="G390" s="2">
        <v>41925</v>
      </c>
    </row>
    <row r="391" spans="1:7" x14ac:dyDescent="0.2">
      <c r="A391" t="s" s="0">
        <v>3606</v>
      </c>
      <c r="B391" s="3">
        <v>735393</v>
      </c>
      <c r="C391" s="3">
        <v>46989</v>
      </c>
      <c r="D391" s="3">
        <v>44893</v>
      </c>
      <c r="E391" s="3">
        <v>44625</v>
      </c>
      <c r="F391" s="3">
        <v>37025</v>
      </c>
      <c r="G391" s="3">
        <v>41925</v>
      </c>
    </row>
    <row r="392" spans="1:7" x14ac:dyDescent="0.2">
      <c r="A392" t="s" s="0">
        <v>3605</v>
      </c>
      <c r="B392" s="3">
        <v>735393</v>
      </c>
      <c r="C392" s="3">
        <v>46989</v>
      </c>
      <c r="D392" s="3">
        <v>44893</v>
      </c>
      <c r="E392" s="3">
        <v>44625</v>
      </c>
      <c r="F392" s="3">
        <v>37025</v>
      </c>
      <c r="G392" s="3">
        <v>41925</v>
      </c>
    </row>
    <row r="393" spans="1:7" x14ac:dyDescent="0.2">
      <c r="A393" t="s" s="0">
        <v>3604</v>
      </c>
      <c r="B393" s="2">
        <v>673272</v>
      </c>
      <c r="C393" s="2">
        <v>24229</v>
      </c>
      <c r="D393" s="2">
        <v>42065</v>
      </c>
      <c r="E393" s="2">
        <v>44184</v>
      </c>
      <c r="F393" s="2">
        <v>26724</v>
      </c>
      <c r="G393" s="2">
        <v>39231</v>
      </c>
    </row>
    <row r="394" spans="1:7" x14ac:dyDescent="0.2">
      <c r="A394" t="s" s="0">
        <v>3603</v>
      </c>
      <c r="B394" s="2">
        <v>726248</v>
      </c>
      <c r="C394" s="2">
        <v>48600</v>
      </c>
      <c r="D394" s="2">
        <v>43206</v>
      </c>
      <c r="E394" s="2">
        <v>44276</v>
      </c>
      <c r="F394" s="2">
        <v>41249</v>
      </c>
      <c r="G394" s="2">
        <v>41470</v>
      </c>
    </row>
    <row r="395" spans="1:7" x14ac:dyDescent="0.2">
      <c r="A395" t="s" s="0">
        <v>3602</v>
      </c>
      <c r="B395" s="2">
        <v>723993</v>
      </c>
      <c r="C395" s="2">
        <v>47238</v>
      </c>
      <c r="D395" s="2">
        <v>43594</v>
      </c>
      <c r="E395" s="2">
        <v>43174</v>
      </c>
      <c r="F395" s="2">
        <v>43390</v>
      </c>
      <c r="G395" s="2">
        <v>40031</v>
      </c>
    </row>
    <row r="396" spans="1:7" x14ac:dyDescent="0.2">
      <c r="A396" t="s" s="0">
        <v>3601</v>
      </c>
      <c r="B396" s="2">
        <v>732321</v>
      </c>
      <c r="C396" s="2">
        <v>47118</v>
      </c>
      <c r="D396" s="2">
        <v>46672</v>
      </c>
      <c r="E396" s="2">
        <v>43551</v>
      </c>
      <c r="F396" s="2">
        <v>53154</v>
      </c>
      <c r="G396" s="2">
        <v>41582</v>
      </c>
    </row>
    <row r="397" spans="1:7" x14ac:dyDescent="0.2">
      <c r="A397" t="s" s="0">
        <v>3600</v>
      </c>
      <c r="B397" s="2">
        <v>718583</v>
      </c>
      <c r="C397" s="2">
        <v>39131</v>
      </c>
      <c r="D397" s="2">
        <v>42823</v>
      </c>
      <c r="E397" s="2">
        <v>42863</v>
      </c>
      <c r="F397" s="2">
        <v>40365</v>
      </c>
      <c r="G397" s="2">
        <v>39830</v>
      </c>
    </row>
    <row r="398" spans="1:7" x14ac:dyDescent="0.2">
      <c r="A398" t="s" s="0">
        <v>3599</v>
      </c>
      <c r="B398" s="3">
        <v>718583</v>
      </c>
      <c r="C398" s="3">
        <v>39131</v>
      </c>
      <c r="D398" s="3">
        <v>42823</v>
      </c>
      <c r="E398" s="3">
        <v>42863</v>
      </c>
      <c r="F398" s="3">
        <v>40365</v>
      </c>
      <c r="G398" s="3">
        <v>39830</v>
      </c>
    </row>
    <row r="399" spans="1:7" x14ac:dyDescent="0.2">
      <c r="A399" t="s" s="0">
        <v>3598</v>
      </c>
      <c r="B399" s="3">
        <v>718583</v>
      </c>
      <c r="C399" s="3">
        <v>39131</v>
      </c>
      <c r="D399" s="3">
        <v>42823</v>
      </c>
      <c r="E399" s="3">
        <v>42863</v>
      </c>
      <c r="F399" s="3">
        <v>40365</v>
      </c>
      <c r="G399" s="3">
        <v>39830</v>
      </c>
    </row>
    <row r="400" spans="1:7" x14ac:dyDescent="0.2">
      <c r="A400" t="s" s="0">
        <v>3597</v>
      </c>
      <c r="B400" s="2">
        <v>758609</v>
      </c>
      <c r="C400" s="2">
        <v>21462</v>
      </c>
      <c r="D400" s="2">
        <v>41680</v>
      </c>
      <c r="E400" s="2">
        <v>42724</v>
      </c>
      <c r="F400" s="2">
        <v>53750</v>
      </c>
      <c r="G400" s="2">
        <v>41019</v>
      </c>
    </row>
    <row r="401" spans="1:7" x14ac:dyDescent="0.2">
      <c r="A401" t="s" s="0">
        <v>3596</v>
      </c>
      <c r="B401" s="2">
        <v>756477</v>
      </c>
      <c r="C401" s="2">
        <v>42132</v>
      </c>
      <c r="D401" s="2">
        <v>40756</v>
      </c>
      <c r="E401" s="2">
        <v>42844</v>
      </c>
      <c r="F401" s="2">
        <v>44954</v>
      </c>
      <c r="G401" s="2">
        <v>40302</v>
      </c>
    </row>
    <row r="402" spans="1:7" x14ac:dyDescent="0.2">
      <c r="A402" t="s" s="0">
        <v>3595</v>
      </c>
      <c r="B402" s="2">
        <v>805190</v>
      </c>
      <c r="C402" s="2">
        <v>60408</v>
      </c>
      <c r="D402" s="2">
        <v>42637</v>
      </c>
      <c r="E402" s="2">
        <v>43147</v>
      </c>
      <c r="F402" s="2">
        <v>54116</v>
      </c>
      <c r="G402" s="2">
        <v>42413</v>
      </c>
    </row>
    <row r="403" spans="1:7" x14ac:dyDescent="0.2">
      <c r="A403" t="s" s="0">
        <v>3594</v>
      </c>
      <c r="B403" s="2">
        <v>800467</v>
      </c>
      <c r="C403" s="2">
        <v>49687</v>
      </c>
      <c r="D403" s="2">
        <v>42567</v>
      </c>
      <c r="E403" s="2">
        <v>42961</v>
      </c>
      <c r="F403" s="2">
        <v>52181</v>
      </c>
      <c r="G403" s="2">
        <v>44167</v>
      </c>
    </row>
    <row r="404" spans="1:7" x14ac:dyDescent="0.2">
      <c r="A404" t="s" s="0">
        <v>3593</v>
      </c>
      <c r="B404" s="2">
        <v>735418</v>
      </c>
      <c r="C404" s="2">
        <v>44994</v>
      </c>
      <c r="D404" s="2">
        <v>46277</v>
      </c>
      <c r="E404" s="2">
        <v>43460</v>
      </c>
      <c r="F404" s="2">
        <v>48589</v>
      </c>
      <c r="G404" s="2">
        <v>44161</v>
      </c>
    </row>
    <row r="405" spans="1:7" x14ac:dyDescent="0.2">
      <c r="A405" t="s" s="0">
        <v>3592</v>
      </c>
      <c r="B405" s="3">
        <v>735418</v>
      </c>
      <c r="C405" s="3">
        <v>44994</v>
      </c>
      <c r="D405" s="3">
        <v>46277</v>
      </c>
      <c r="E405" s="3">
        <v>43460</v>
      </c>
      <c r="F405" s="3">
        <v>48589</v>
      </c>
      <c r="G405" s="3">
        <v>44161</v>
      </c>
    </row>
    <row r="406" spans="1:7" x14ac:dyDescent="0.2">
      <c r="A406" t="s" s="0">
        <v>3591</v>
      </c>
      <c r="B406" s="3">
        <v>735418</v>
      </c>
      <c r="C406" s="3">
        <v>44994</v>
      </c>
      <c r="D406" s="3">
        <v>46277</v>
      </c>
      <c r="E406" s="3">
        <v>43460</v>
      </c>
      <c r="F406" s="3">
        <v>48589</v>
      </c>
      <c r="G406" s="3">
        <v>44161</v>
      </c>
    </row>
    <row r="407" spans="1:7" x14ac:dyDescent="0.2">
      <c r="A407" t="s" s="0">
        <v>3590</v>
      </c>
      <c r="B407" s="2">
        <v>797954</v>
      </c>
      <c r="C407" s="2">
        <v>26964</v>
      </c>
      <c r="D407" s="2">
        <v>48972</v>
      </c>
      <c r="E407" s="2">
        <v>44074</v>
      </c>
      <c r="F407" s="2">
        <v>54565</v>
      </c>
      <c r="G407" s="2">
        <v>46236</v>
      </c>
    </row>
    <row r="408" spans="1:7" x14ac:dyDescent="0.2">
      <c r="A408" t="s" s="0">
        <v>3589</v>
      </c>
      <c r="B408" s="2">
        <v>797822</v>
      </c>
      <c r="C408" s="2">
        <v>49692</v>
      </c>
      <c r="D408" s="2">
        <v>50052</v>
      </c>
      <c r="E408" s="2">
        <v>44505</v>
      </c>
      <c r="F408" s="2">
        <v>55931</v>
      </c>
      <c r="G408" s="2">
        <v>45681</v>
      </c>
    </row>
    <row r="409" spans="1:7" x14ac:dyDescent="0.2">
      <c r="A409" t="s" s="0">
        <v>3588</v>
      </c>
      <c r="B409" s="2">
        <v>821352</v>
      </c>
      <c r="C409" s="2">
        <v>46821</v>
      </c>
      <c r="D409" s="2">
        <v>48111</v>
      </c>
      <c r="E409" s="2">
        <v>44516</v>
      </c>
      <c r="F409" s="2">
        <v>50392</v>
      </c>
      <c r="G409" s="2">
        <v>47711</v>
      </c>
    </row>
    <row r="410" spans="1:7" x14ac:dyDescent="0.2">
      <c r="A410" t="s" s="0">
        <v>3587</v>
      </c>
      <c r="B410" s="2">
        <v>768706</v>
      </c>
      <c r="C410" s="2">
        <v>46965</v>
      </c>
      <c r="D410" s="2">
        <v>47731</v>
      </c>
      <c r="E410" s="2">
        <v>44985</v>
      </c>
      <c r="F410" s="2">
        <v>43166</v>
      </c>
      <c r="G410" s="2">
        <v>44080</v>
      </c>
    </row>
    <row r="411" spans="1:7" x14ac:dyDescent="0.2">
      <c r="A411" t="s" s="0">
        <v>3586</v>
      </c>
      <c r="B411" s="2">
        <v>717208</v>
      </c>
      <c r="C411" s="2">
        <v>42169</v>
      </c>
      <c r="D411" s="2">
        <v>45892</v>
      </c>
      <c r="E411" s="2">
        <v>44971</v>
      </c>
      <c r="F411" s="2">
        <v>43186</v>
      </c>
      <c r="G411" s="2">
        <v>42291</v>
      </c>
    </row>
    <row r="412" spans="1:7" x14ac:dyDescent="0.2">
      <c r="A412" t="s" s="0">
        <v>3585</v>
      </c>
      <c r="B412" s="3">
        <v>717208</v>
      </c>
      <c r="C412" s="3">
        <v>42169</v>
      </c>
      <c r="D412" s="3">
        <v>45892</v>
      </c>
      <c r="E412" s="3">
        <v>44971</v>
      </c>
      <c r="F412" s="3">
        <v>43186</v>
      </c>
      <c r="G412" s="3">
        <v>42291</v>
      </c>
    </row>
    <row r="413" spans="1:7" x14ac:dyDescent="0.2">
      <c r="A413" t="s" s="0">
        <v>3584</v>
      </c>
      <c r="B413" s="3">
        <v>717208</v>
      </c>
      <c r="C413" s="3">
        <v>42169</v>
      </c>
      <c r="D413" s="3">
        <v>45892</v>
      </c>
      <c r="E413" s="3">
        <v>44971</v>
      </c>
      <c r="F413" s="3">
        <v>43186</v>
      </c>
      <c r="G413" s="3">
        <v>42291</v>
      </c>
    </row>
    <row r="414" spans="1:7" x14ac:dyDescent="0.2">
      <c r="A414" t="s" s="0">
        <v>3583</v>
      </c>
      <c r="B414" s="2">
        <v>786506</v>
      </c>
      <c r="C414" s="2">
        <v>30467</v>
      </c>
      <c r="D414" s="2">
        <v>42842</v>
      </c>
      <c r="E414" s="2">
        <v>43890</v>
      </c>
      <c r="F414" s="2">
        <v>41102</v>
      </c>
      <c r="G414" s="2">
        <v>44036</v>
      </c>
    </row>
    <row r="415" spans="1:7" x14ac:dyDescent="0.2">
      <c r="A415" t="s" s="0">
        <v>3582</v>
      </c>
      <c r="B415" s="2">
        <v>873869</v>
      </c>
      <c r="C415" s="2">
        <v>36533</v>
      </c>
      <c r="D415" s="2">
        <v>40962</v>
      </c>
      <c r="E415" s="2">
        <v>43744</v>
      </c>
      <c r="F415" s="2">
        <v>51722</v>
      </c>
      <c r="G415" s="2">
        <v>48464</v>
      </c>
    </row>
    <row r="416" spans="1:7" x14ac:dyDescent="0.2">
      <c r="A416" t="s" s="0">
        <v>3581</v>
      </c>
      <c r="B416" s="2">
        <v>964731</v>
      </c>
      <c r="C416" s="2">
        <v>42973</v>
      </c>
      <c r="D416" s="2">
        <v>40412</v>
      </c>
      <c r="E416" s="2">
        <v>43689</v>
      </c>
      <c r="F416" s="2">
        <v>60791</v>
      </c>
      <c r="G416" s="2">
        <v>52172</v>
      </c>
    </row>
    <row r="417" spans="1:7" x14ac:dyDescent="0.2">
      <c r="A417" t="s" s="0">
        <v>3580</v>
      </c>
      <c r="B417" s="2">
        <v>973369</v>
      </c>
      <c r="C417" s="2">
        <v>41392</v>
      </c>
      <c r="D417" s="2">
        <v>38188</v>
      </c>
      <c r="E417" s="2">
        <v>43790</v>
      </c>
      <c r="F417" s="2">
        <v>67322</v>
      </c>
      <c r="G417" s="2">
        <v>53956</v>
      </c>
    </row>
    <row r="418" spans="1:7" x14ac:dyDescent="0.2">
      <c r="A418" t="s" s="0">
        <v>3579</v>
      </c>
      <c r="B418" s="2">
        <v>924312</v>
      </c>
      <c r="C418" s="2">
        <v>47152</v>
      </c>
      <c r="D418" s="2">
        <v>40589</v>
      </c>
      <c r="E418" s="2">
        <v>43895</v>
      </c>
      <c r="F418" s="2">
        <v>70117</v>
      </c>
      <c r="G418" s="2">
        <v>50565</v>
      </c>
    </row>
    <row r="419" spans="1:7" x14ac:dyDescent="0.2">
      <c r="A419" t="s" s="0">
        <v>3578</v>
      </c>
      <c r="B419" s="3">
        <v>924312</v>
      </c>
      <c r="C419" s="3">
        <v>47152</v>
      </c>
      <c r="D419" s="3">
        <v>40589</v>
      </c>
      <c r="E419" s="3">
        <v>43895</v>
      </c>
      <c r="F419" s="3">
        <v>70117</v>
      </c>
      <c r="G419" s="3">
        <v>50565</v>
      </c>
    </row>
    <row r="420" spans="1:7" x14ac:dyDescent="0.2">
      <c r="A420" t="s" s="0">
        <v>3577</v>
      </c>
      <c r="B420" s="3">
        <v>924312</v>
      </c>
      <c r="C420" s="3">
        <v>47152</v>
      </c>
      <c r="D420" s="3">
        <v>40589</v>
      </c>
      <c r="E420" s="3">
        <v>43895</v>
      </c>
      <c r="F420" s="3">
        <v>70117</v>
      </c>
      <c r="G420" s="3">
        <v>50565</v>
      </c>
    </row>
    <row r="421" spans="1:7" x14ac:dyDescent="0.2">
      <c r="A421" t="s" s="0">
        <v>3576</v>
      </c>
      <c r="B421" s="2">
        <v>1018225</v>
      </c>
      <c r="C421" s="2">
        <v>24043</v>
      </c>
      <c r="D421" s="2">
        <v>45259</v>
      </c>
      <c r="E421" s="2">
        <v>44688</v>
      </c>
      <c r="F421" s="2">
        <v>78304</v>
      </c>
      <c r="G421" s="2">
        <v>56930</v>
      </c>
    </row>
    <row r="422" spans="1:7" x14ac:dyDescent="0.2">
      <c r="A422" t="s" s="0">
        <v>3575</v>
      </c>
      <c r="B422" s="2">
        <v>1030033</v>
      </c>
      <c r="C422" s="2">
        <v>37294</v>
      </c>
      <c r="D422" s="2">
        <v>45368</v>
      </c>
      <c r="E422" s="2">
        <v>44285</v>
      </c>
      <c r="F422" s="2">
        <v>67619</v>
      </c>
      <c r="G422" s="2">
        <v>55056</v>
      </c>
    </row>
    <row r="423" spans="1:7" x14ac:dyDescent="0.2">
      <c r="A423" t="s" s="0">
        <v>3574</v>
      </c>
      <c r="B423" s="2">
        <v>1033645</v>
      </c>
      <c r="C423" s="2">
        <v>45500</v>
      </c>
      <c r="D423" s="2">
        <v>45729</v>
      </c>
      <c r="E423" s="2">
        <v>44223</v>
      </c>
      <c r="F423" s="2">
        <v>55516</v>
      </c>
      <c r="G423" s="2">
        <v>55204</v>
      </c>
    </row>
    <row r="424" spans="1:7" x14ac:dyDescent="0.2">
      <c r="A424" t="s" s="0">
        <v>3573</v>
      </c>
      <c r="B424" s="2">
        <v>1026326</v>
      </c>
      <c r="C424" s="2">
        <v>43133</v>
      </c>
      <c r="D424" s="2">
        <v>45978</v>
      </c>
      <c r="E424" s="2">
        <v>43616</v>
      </c>
      <c r="F424" s="2">
        <v>53485</v>
      </c>
      <c r="G424" s="2">
        <v>54038</v>
      </c>
    </row>
    <row r="425" spans="1:7" x14ac:dyDescent="0.2">
      <c r="A425" t="s" s="0">
        <v>3572</v>
      </c>
      <c r="B425" s="2">
        <v>973465</v>
      </c>
      <c r="C425" s="2">
        <v>56059</v>
      </c>
      <c r="D425" s="2">
        <v>45280</v>
      </c>
      <c r="E425" s="2">
        <v>44509</v>
      </c>
      <c r="F425" s="2">
        <v>52116</v>
      </c>
      <c r="G425" s="2">
        <v>53502</v>
      </c>
    </row>
    <row r="426" spans="1:7" x14ac:dyDescent="0.2">
      <c r="A426" t="s" s="0">
        <v>3571</v>
      </c>
      <c r="B426" s="3">
        <v>973465</v>
      </c>
      <c r="C426" s="3">
        <v>56059</v>
      </c>
      <c r="D426" s="3">
        <v>45280</v>
      </c>
      <c r="E426" s="3">
        <v>44509</v>
      </c>
      <c r="F426" s="3">
        <v>52116</v>
      </c>
      <c r="G426" s="3">
        <v>53502</v>
      </c>
    </row>
    <row r="427" spans="1:7" x14ac:dyDescent="0.2">
      <c r="A427" t="s" s="0">
        <v>3570</v>
      </c>
      <c r="B427" s="3">
        <v>973465</v>
      </c>
      <c r="C427" s="3">
        <v>56059</v>
      </c>
      <c r="D427" s="3">
        <v>45280</v>
      </c>
      <c r="E427" s="3">
        <v>44509</v>
      </c>
      <c r="F427" s="3">
        <v>52116</v>
      </c>
      <c r="G427" s="3">
        <v>53502</v>
      </c>
    </row>
    <row r="428" spans="1:7" x14ac:dyDescent="0.2">
      <c r="A428" t="s" s="0">
        <v>3569</v>
      </c>
      <c r="B428" s="2">
        <v>1032644</v>
      </c>
      <c r="C428" s="2">
        <v>19614</v>
      </c>
      <c r="D428" s="2">
        <v>40756</v>
      </c>
      <c r="E428" s="2">
        <v>44457</v>
      </c>
      <c r="F428" s="2">
        <v>42630</v>
      </c>
      <c r="G428" s="2">
        <v>54150</v>
      </c>
    </row>
    <row r="429" spans="1:7" x14ac:dyDescent="0.2">
      <c r="A429" t="s" s="0">
        <v>3568</v>
      </c>
      <c r="B429" s="2">
        <v>1080277</v>
      </c>
      <c r="C429" s="2">
        <v>40068</v>
      </c>
      <c r="D429" s="2">
        <v>41152</v>
      </c>
      <c r="E429" s="2">
        <v>44384</v>
      </c>
      <c r="F429" s="2">
        <v>48042</v>
      </c>
      <c r="G429" s="2">
        <v>55828</v>
      </c>
    </row>
    <row r="430" spans="1:7" x14ac:dyDescent="0.2">
      <c r="A430" t="s" s="0">
        <v>3567</v>
      </c>
      <c r="B430" s="2">
        <v>1094966</v>
      </c>
      <c r="C430" s="2">
        <v>33817</v>
      </c>
      <c r="D430" s="2">
        <v>40389</v>
      </c>
      <c r="E430" s="2">
        <v>43660</v>
      </c>
      <c r="F430" s="2">
        <v>48861</v>
      </c>
      <c r="G430" s="2">
        <v>53890</v>
      </c>
    </row>
    <row r="431" spans="1:7" x14ac:dyDescent="0.2">
      <c r="A431" t="s" s="0">
        <v>3566</v>
      </c>
      <c r="B431" s="2">
        <v>1108068</v>
      </c>
      <c r="C431" s="2">
        <v>43856</v>
      </c>
      <c r="D431" s="2">
        <v>41630</v>
      </c>
      <c r="E431" s="2">
        <v>43382</v>
      </c>
      <c r="F431" s="2">
        <v>53020</v>
      </c>
      <c r="G431" s="2">
        <v>54248</v>
      </c>
    </row>
    <row r="432" spans="1:7" x14ac:dyDescent="0.2">
      <c r="A432" t="s" s="0">
        <v>3565</v>
      </c>
      <c r="B432" s="2">
        <v>1054888</v>
      </c>
      <c r="C432" s="2">
        <v>43589</v>
      </c>
      <c r="D432" s="2">
        <v>40123</v>
      </c>
      <c r="E432" s="2">
        <v>42971</v>
      </c>
      <c r="F432" s="2">
        <v>51594</v>
      </c>
      <c r="G432" s="2">
        <v>54253</v>
      </c>
    </row>
    <row r="433" spans="1:7" x14ac:dyDescent="0.2">
      <c r="A433" t="s" s="0">
        <v>3564</v>
      </c>
      <c r="B433" s="3">
        <v>1054888</v>
      </c>
      <c r="C433" s="3">
        <v>43589</v>
      </c>
      <c r="D433" s="3">
        <v>40123</v>
      </c>
      <c r="E433" s="3">
        <v>42971</v>
      </c>
      <c r="F433" s="3">
        <v>51594</v>
      </c>
      <c r="G433" s="3">
        <v>54253</v>
      </c>
    </row>
    <row r="434" spans="1:7" x14ac:dyDescent="0.2">
      <c r="A434" t="s" s="0">
        <v>3563</v>
      </c>
      <c r="B434" s="3">
        <v>1054888</v>
      </c>
      <c r="C434" s="3">
        <v>43589</v>
      </c>
      <c r="D434" s="3">
        <v>40123</v>
      </c>
      <c r="E434" s="3">
        <v>42971</v>
      </c>
      <c r="F434" s="3">
        <v>51594</v>
      </c>
      <c r="G434" s="3">
        <v>54253</v>
      </c>
    </row>
    <row r="435" spans="1:7" x14ac:dyDescent="0.2">
      <c r="A435" t="s" s="0">
        <v>3562</v>
      </c>
      <c r="B435" s="2">
        <v>968437</v>
      </c>
      <c r="C435" s="2">
        <v>24159</v>
      </c>
      <c r="D435" s="2">
        <v>41014</v>
      </c>
      <c r="E435" s="2">
        <v>42468</v>
      </c>
      <c r="F435" s="2">
        <v>31680</v>
      </c>
      <c r="G435" s="2">
        <v>48429</v>
      </c>
    </row>
    <row r="436" spans="1:7" x14ac:dyDescent="0.2">
      <c r="A436" t="s" s="0">
        <v>3561</v>
      </c>
      <c r="B436" s="2">
        <v>1014473</v>
      </c>
      <c r="C436" s="2">
        <v>28933</v>
      </c>
      <c r="D436" s="2">
        <v>39423</v>
      </c>
      <c r="E436" s="2">
        <v>41726</v>
      </c>
      <c r="F436" s="2">
        <v>29963</v>
      </c>
      <c r="G436" s="2">
        <v>49337</v>
      </c>
    </row>
    <row r="437" spans="1:7" x14ac:dyDescent="0.2">
      <c r="A437" t="s" s="0">
        <v>3560</v>
      </c>
      <c r="B437" s="2">
        <v>1126159</v>
      </c>
      <c r="C437" s="2">
        <v>39305</v>
      </c>
      <c r="D437" s="2">
        <v>39302</v>
      </c>
      <c r="E437" s="2">
        <v>41458</v>
      </c>
      <c r="F437" s="2">
        <v>43698</v>
      </c>
      <c r="G437" s="2">
        <v>52217</v>
      </c>
    </row>
    <row r="438" spans="1:7" x14ac:dyDescent="0.2">
      <c r="A438" t="s" s="0">
        <v>3559</v>
      </c>
      <c r="B438" s="2">
        <v>1089803</v>
      </c>
      <c r="C438" s="2">
        <v>41708</v>
      </c>
      <c r="D438" s="2">
        <v>37857</v>
      </c>
      <c r="E438" s="2">
        <v>40913</v>
      </c>
      <c r="F438" s="2">
        <v>35188</v>
      </c>
      <c r="G438" s="2">
        <v>52254</v>
      </c>
    </row>
    <row r="439" spans="1:7" x14ac:dyDescent="0.2">
      <c r="A439" t="s" s="0">
        <v>3558</v>
      </c>
      <c r="B439" s="2">
        <v>1091932</v>
      </c>
      <c r="C439" s="2">
        <v>45770</v>
      </c>
      <c r="D439" s="2">
        <v>38172</v>
      </c>
      <c r="E439" s="2">
        <v>41041</v>
      </c>
      <c r="F439" s="2">
        <v>43385</v>
      </c>
      <c r="G439" s="2">
        <v>54303</v>
      </c>
    </row>
    <row r="440" spans="1:7" x14ac:dyDescent="0.2">
      <c r="A440" t="s" s="0">
        <v>3557</v>
      </c>
      <c r="B440" s="3">
        <v>1091932</v>
      </c>
      <c r="C440" s="3">
        <v>45770</v>
      </c>
      <c r="D440" s="3">
        <v>38172</v>
      </c>
      <c r="E440" s="3">
        <v>41041</v>
      </c>
      <c r="F440" s="3">
        <v>43385</v>
      </c>
      <c r="G440" s="3">
        <v>54303</v>
      </c>
    </row>
    <row r="441" spans="1:7" x14ac:dyDescent="0.2">
      <c r="A441" t="s" s="0">
        <v>3556</v>
      </c>
      <c r="B441" s="3">
        <v>1091932</v>
      </c>
      <c r="C441" s="3">
        <v>45770</v>
      </c>
      <c r="D441" s="3">
        <v>38172</v>
      </c>
      <c r="E441" s="3">
        <v>41041</v>
      </c>
      <c r="F441" s="3">
        <v>43385</v>
      </c>
      <c r="G441" s="3">
        <v>54303</v>
      </c>
    </row>
    <row r="442" spans="1:7" x14ac:dyDescent="0.2">
      <c r="A442" t="s" s="0">
        <v>3555</v>
      </c>
      <c r="B442" s="2">
        <v>989741</v>
      </c>
      <c r="C442" s="2">
        <v>21432</v>
      </c>
      <c r="D442" s="2">
        <v>38276</v>
      </c>
      <c r="E442" s="2">
        <v>41326</v>
      </c>
      <c r="F442" s="2">
        <v>41241</v>
      </c>
      <c r="G442" s="2">
        <v>48464</v>
      </c>
    </row>
    <row r="443" spans="1:7" x14ac:dyDescent="0.2">
      <c r="A443" t="s" s="0">
        <v>3554</v>
      </c>
      <c r="B443" s="2">
        <v>996192</v>
      </c>
      <c r="C443" s="2">
        <v>33599</v>
      </c>
      <c r="D443" s="2">
        <v>38943</v>
      </c>
      <c r="E443" s="2">
        <v>41222</v>
      </c>
      <c r="F443" s="2">
        <v>36252</v>
      </c>
      <c r="G443" s="2">
        <v>45469</v>
      </c>
    </row>
    <row r="444" spans="1:7" x14ac:dyDescent="0.2">
      <c r="A444" t="s" s="0">
        <v>3553</v>
      </c>
      <c r="B444" s="2">
        <v>947568</v>
      </c>
      <c r="C444" s="2">
        <v>39076</v>
      </c>
      <c r="D444" s="2">
        <v>40269</v>
      </c>
      <c r="E444" s="2">
        <v>41422</v>
      </c>
      <c r="F444" s="2">
        <v>14678</v>
      </c>
      <c r="G444" s="2">
        <v>40688</v>
      </c>
    </row>
    <row r="445" spans="1:7" x14ac:dyDescent="0.2">
      <c r="A445" t="s" s="0">
        <v>3552</v>
      </c>
      <c r="B445" s="2">
        <v>914084</v>
      </c>
      <c r="C445" s="2">
        <v>47575</v>
      </c>
      <c r="D445" s="2">
        <v>41107</v>
      </c>
      <c r="E445" s="2">
        <v>41643</v>
      </c>
      <c r="F445" s="2">
        <v>15926</v>
      </c>
      <c r="G445" s="2">
        <v>39405</v>
      </c>
    </row>
    <row r="446" spans="1:7" x14ac:dyDescent="0.2">
      <c r="A446" t="s" s="0">
        <v>3551</v>
      </c>
      <c r="B446" s="2">
        <v>1054835</v>
      </c>
      <c r="C446" s="2">
        <v>43233</v>
      </c>
      <c r="D446" s="2">
        <v>39311</v>
      </c>
      <c r="E446" s="2">
        <v>40722</v>
      </c>
      <c r="F446" s="2">
        <v>33192</v>
      </c>
      <c r="G446" s="2">
        <v>45072</v>
      </c>
    </row>
    <row r="447" spans="1:7" x14ac:dyDescent="0.2">
      <c r="A447" t="s" s="0">
        <v>3550</v>
      </c>
      <c r="B447" s="3">
        <v>1054835</v>
      </c>
      <c r="C447" s="3">
        <v>43233</v>
      </c>
      <c r="D447" s="3">
        <v>39311</v>
      </c>
      <c r="E447" s="3">
        <v>40722</v>
      </c>
      <c r="F447" s="3">
        <v>33192</v>
      </c>
      <c r="G447" s="3">
        <v>45072</v>
      </c>
    </row>
    <row r="448" spans="1:7" x14ac:dyDescent="0.2">
      <c r="A448" t="s" s="0">
        <v>3549</v>
      </c>
      <c r="B448" s="3">
        <v>1054835</v>
      </c>
      <c r="C448" s="3">
        <v>43233</v>
      </c>
      <c r="D448" s="3">
        <v>39311</v>
      </c>
      <c r="E448" s="3">
        <v>40722</v>
      </c>
      <c r="F448" s="3">
        <v>33192</v>
      </c>
      <c r="G448" s="3">
        <v>45072</v>
      </c>
    </row>
    <row r="449" spans="1:7" x14ac:dyDescent="0.2">
      <c r="A449" t="s" s="0">
        <v>3548</v>
      </c>
      <c r="B449" s="2">
        <v>986382</v>
      </c>
      <c r="C449" s="2">
        <v>20632</v>
      </c>
      <c r="D449" s="2">
        <v>37963</v>
      </c>
      <c r="E449" s="2">
        <v>39502</v>
      </c>
      <c r="F449" s="2">
        <v>36742</v>
      </c>
      <c r="G449" s="2">
        <v>38073</v>
      </c>
    </row>
    <row r="450" spans="1:7" x14ac:dyDescent="0.2">
      <c r="A450" t="s" s="0">
        <v>3547</v>
      </c>
      <c r="B450" s="2">
        <v>975857</v>
      </c>
      <c r="C450" s="2">
        <v>40144</v>
      </c>
      <c r="D450" s="2">
        <v>38898</v>
      </c>
      <c r="E450" s="2">
        <v>39604</v>
      </c>
      <c r="F450" s="2">
        <v>35252</v>
      </c>
      <c r="G450" s="2">
        <v>37377</v>
      </c>
    </row>
    <row r="451" spans="1:7" x14ac:dyDescent="0.2">
      <c r="A451" t="s" s="0">
        <v>3546</v>
      </c>
      <c r="B451" s="2">
        <v>953890</v>
      </c>
      <c r="C451" s="2">
        <v>36958</v>
      </c>
      <c r="D451" s="2">
        <v>37236</v>
      </c>
      <c r="E451" s="2">
        <v>39299</v>
      </c>
      <c r="F451" s="2">
        <v>37398</v>
      </c>
      <c r="G451" s="2">
        <v>36159</v>
      </c>
    </row>
    <row r="452" spans="1:7" x14ac:dyDescent="0.2">
      <c r="A452" t="s" s="0">
        <v>3545</v>
      </c>
      <c r="B452" s="2">
        <v>887582</v>
      </c>
      <c r="C452" s="2">
        <v>40008</v>
      </c>
      <c r="D452" s="2">
        <v>41286</v>
      </c>
      <c r="E452" s="2">
        <v>40470</v>
      </c>
      <c r="F452" s="2">
        <v>36759</v>
      </c>
      <c r="G452" s="2">
        <v>35223</v>
      </c>
    </row>
    <row r="453" spans="1:7" x14ac:dyDescent="0.2">
      <c r="A453" t="s" s="0">
        <v>3544</v>
      </c>
      <c r="B453" s="2">
        <v>855691</v>
      </c>
      <c r="C453" s="2">
        <v>37445</v>
      </c>
      <c r="D453" s="2">
        <v>41890</v>
      </c>
      <c r="E453" s="2">
        <v>39874</v>
      </c>
      <c r="F453" s="2">
        <v>12866</v>
      </c>
      <c r="G453" s="2">
        <v>35259</v>
      </c>
    </row>
    <row r="454" spans="1:7" x14ac:dyDescent="0.2">
      <c r="A454" t="s" s="0">
        <v>3543</v>
      </c>
      <c r="B454" s="3">
        <v>855691</v>
      </c>
      <c r="C454" s="3">
        <v>37445</v>
      </c>
      <c r="D454" s="3">
        <v>41890</v>
      </c>
      <c r="E454" s="3">
        <v>39874</v>
      </c>
      <c r="F454" s="3">
        <v>12866</v>
      </c>
      <c r="G454" s="3">
        <v>35259</v>
      </c>
    </row>
    <row r="455" spans="1:7" x14ac:dyDescent="0.2">
      <c r="A455" t="s" s="0">
        <v>3542</v>
      </c>
      <c r="B455" s="3">
        <v>855691</v>
      </c>
      <c r="C455" s="3">
        <v>37445</v>
      </c>
      <c r="D455" s="3">
        <v>41890</v>
      </c>
      <c r="E455" s="3">
        <v>39874</v>
      </c>
      <c r="F455" s="3">
        <v>12866</v>
      </c>
      <c r="G455" s="3">
        <v>35259</v>
      </c>
    </row>
    <row r="456" spans="1:7" x14ac:dyDescent="0.2">
      <c r="A456" t="s" s="0">
        <v>3541</v>
      </c>
      <c r="B456" s="2">
        <v>813964</v>
      </c>
      <c r="C456" s="2">
        <v>22458</v>
      </c>
      <c r="D456" s="2">
        <v>45852</v>
      </c>
      <c r="E456" s="2">
        <v>40776</v>
      </c>
      <c r="F456" s="2">
        <v>20568</v>
      </c>
      <c r="G456" s="2">
        <v>32558</v>
      </c>
    </row>
    <row r="457" spans="1:7" x14ac:dyDescent="0.2">
      <c r="A457" t="s" s="0">
        <v>3540</v>
      </c>
      <c r="B457" s="2">
        <v>774941</v>
      </c>
      <c r="C457" s="2">
        <v>37187</v>
      </c>
      <c r="D457" s="2">
        <v>45679</v>
      </c>
      <c r="E457" s="2">
        <v>40736</v>
      </c>
      <c r="F457" s="2">
        <v>16323</v>
      </c>
      <c r="G457" s="2">
        <v>29448</v>
      </c>
    </row>
    <row r="458" spans="1:7" x14ac:dyDescent="0.2">
      <c r="A458" t="s" s="0">
        <v>3539</v>
      </c>
      <c r="B458" s="2">
        <v>713860</v>
      </c>
      <c r="C458" s="2">
        <v>43249</v>
      </c>
      <c r="D458" s="2">
        <v>49628</v>
      </c>
      <c r="E458" s="2">
        <v>41609</v>
      </c>
      <c r="F458" s="2">
        <v>14104</v>
      </c>
      <c r="G458" s="2">
        <v>27469</v>
      </c>
    </row>
    <row r="459" spans="1:7" x14ac:dyDescent="0.2">
      <c r="A459" t="s" s="0">
        <v>3538</v>
      </c>
      <c r="B459" s="2">
        <v>715168</v>
      </c>
      <c r="C459" s="2">
        <v>40486</v>
      </c>
      <c r="D459" s="2">
        <v>44565</v>
      </c>
      <c r="E459" s="2">
        <v>41204</v>
      </c>
      <c r="F459" s="2">
        <v>18397</v>
      </c>
      <c r="G459" s="2">
        <v>26567</v>
      </c>
    </row>
    <row r="460" spans="1:7" x14ac:dyDescent="0.2">
      <c r="A460" t="s" s="0">
        <v>3537</v>
      </c>
      <c r="B460" s="2">
        <v>677956</v>
      </c>
      <c r="C460" s="2">
        <v>39669</v>
      </c>
      <c r="D460" s="2">
        <v>43452</v>
      </c>
      <c r="E460" s="2">
        <v>40706</v>
      </c>
      <c r="F460" s="2">
        <v>16826</v>
      </c>
      <c r="G460" s="2">
        <v>26567</v>
      </c>
    </row>
    <row r="461" spans="1:7" x14ac:dyDescent="0.2">
      <c r="A461" t="s" s="0">
        <v>3536</v>
      </c>
      <c r="B461" s="3">
        <v>677956</v>
      </c>
      <c r="C461" s="3">
        <v>39669</v>
      </c>
      <c r="D461" s="3">
        <v>43452</v>
      </c>
      <c r="E461" s="3">
        <v>40706</v>
      </c>
      <c r="F461" s="3">
        <v>16826</v>
      </c>
      <c r="G461" s="3">
        <v>26567</v>
      </c>
    </row>
    <row r="462" spans="1:7" x14ac:dyDescent="0.2">
      <c r="A462" t="s" s="0">
        <v>3535</v>
      </c>
      <c r="B462" s="3">
        <v>677956</v>
      </c>
      <c r="C462" s="3">
        <v>39669</v>
      </c>
      <c r="D462" s="3">
        <v>43452</v>
      </c>
      <c r="E462" s="3">
        <v>40706</v>
      </c>
      <c r="F462" s="3">
        <v>16826</v>
      </c>
      <c r="G462" s="3">
        <v>26567</v>
      </c>
    </row>
    <row r="463" spans="1:7" x14ac:dyDescent="0.2">
      <c r="A463" t="s" s="0">
        <v>3534</v>
      </c>
      <c r="B463" s="2">
        <v>801306</v>
      </c>
      <c r="C463" s="2">
        <v>20218</v>
      </c>
      <c r="D463" s="2">
        <v>37955</v>
      </c>
      <c r="E463" s="2">
        <v>40012</v>
      </c>
      <c r="F463" s="2">
        <v>34912</v>
      </c>
      <c r="G463" s="2">
        <v>33366</v>
      </c>
    </row>
    <row r="464" spans="1:7" x14ac:dyDescent="0.2">
      <c r="A464" t="s" s="0">
        <v>3533</v>
      </c>
      <c r="B464" s="2">
        <v>809272</v>
      </c>
      <c r="C464" s="2">
        <v>40436</v>
      </c>
      <c r="D464" s="2">
        <v>39756</v>
      </c>
      <c r="E464" s="2">
        <v>40819</v>
      </c>
      <c r="F464" s="2">
        <v>43426</v>
      </c>
      <c r="G464" s="2">
        <v>32813</v>
      </c>
    </row>
    <row r="465" spans="1:7" x14ac:dyDescent="0.2">
      <c r="A465" t="s" s="0">
        <v>3532</v>
      </c>
      <c r="B465" s="2">
        <v>759364</v>
      </c>
      <c r="C465" s="2">
        <v>36727</v>
      </c>
      <c r="D465" s="2">
        <v>37633</v>
      </c>
      <c r="E465" s="2">
        <v>41191</v>
      </c>
      <c r="F465" s="2">
        <v>43478</v>
      </c>
      <c r="G465" s="2">
        <v>27415</v>
      </c>
    </row>
    <row r="466" spans="1:7" x14ac:dyDescent="0.2">
      <c r="A466" t="s" s="0">
        <v>3531</v>
      </c>
      <c r="B466" s="2">
        <v>774318</v>
      </c>
      <c r="C466" s="2">
        <v>28502</v>
      </c>
      <c r="D466" s="2">
        <v>35921</v>
      </c>
      <c r="E466" s="2">
        <v>40720</v>
      </c>
      <c r="F466" s="2">
        <v>44020</v>
      </c>
      <c r="G466" s="2">
        <v>28775</v>
      </c>
    </row>
    <row r="467" spans="1:7" x14ac:dyDescent="0.2">
      <c r="A467" t="s" s="0">
        <v>3530</v>
      </c>
      <c r="B467" s="2">
        <v>817929</v>
      </c>
      <c r="C467" s="2">
        <v>29067</v>
      </c>
      <c r="D467" s="2">
        <v>34406</v>
      </c>
      <c r="E467" s="2">
        <v>39765</v>
      </c>
      <c r="F467" s="2">
        <v>52591</v>
      </c>
      <c r="G467" s="2">
        <v>28869</v>
      </c>
    </row>
    <row r="468" spans="1:7" x14ac:dyDescent="0.2">
      <c r="A468" t="s" s="0">
        <v>3529</v>
      </c>
      <c r="B468" s="3">
        <v>817929</v>
      </c>
      <c r="C468" s="3">
        <v>29067</v>
      </c>
      <c r="D468" s="3">
        <v>34406</v>
      </c>
      <c r="E468" s="3">
        <v>39765</v>
      </c>
      <c r="F468" s="3">
        <v>52591</v>
      </c>
      <c r="G468" s="3">
        <v>28869</v>
      </c>
    </row>
    <row r="469" spans="1:7" x14ac:dyDescent="0.2">
      <c r="A469" t="s" s="0">
        <v>3528</v>
      </c>
      <c r="B469" s="3">
        <v>817929</v>
      </c>
      <c r="C469" s="3">
        <v>29067</v>
      </c>
      <c r="D469" s="3">
        <v>34406</v>
      </c>
      <c r="E469" s="3">
        <v>39765</v>
      </c>
      <c r="F469" s="3">
        <v>52591</v>
      </c>
      <c r="G469" s="3">
        <v>28869</v>
      </c>
    </row>
    <row r="470" spans="1:7" x14ac:dyDescent="0.2">
      <c r="A470" t="s" s="0">
        <v>3527</v>
      </c>
      <c r="B470" s="2">
        <v>814968</v>
      </c>
      <c r="C470" s="2">
        <v>23061</v>
      </c>
      <c r="D470" s="2">
        <v>34243</v>
      </c>
      <c r="E470" s="2">
        <v>39003</v>
      </c>
      <c r="F470" s="2">
        <v>34384</v>
      </c>
      <c r="G470" s="2">
        <v>31651</v>
      </c>
    </row>
    <row r="471" spans="1:7" x14ac:dyDescent="0.2">
      <c r="A471" t="s" s="0">
        <v>3526</v>
      </c>
      <c r="B471" s="2">
        <v>894698</v>
      </c>
      <c r="C471" s="2">
        <v>30047</v>
      </c>
      <c r="D471" s="2">
        <v>31173</v>
      </c>
      <c r="E471" s="2">
        <v>38877</v>
      </c>
      <c r="F471" s="2">
        <v>41566</v>
      </c>
      <c r="G471" s="2">
        <v>34142</v>
      </c>
    </row>
    <row r="472" spans="1:7" x14ac:dyDescent="0.2">
      <c r="A472" t="s" s="0">
        <v>3525</v>
      </c>
      <c r="B472" s="2">
        <v>854248</v>
      </c>
      <c r="C472" s="2">
        <v>35172</v>
      </c>
      <c r="D472" s="2">
        <v>30564</v>
      </c>
      <c r="E472" s="2">
        <v>38765</v>
      </c>
      <c r="F472" s="2">
        <v>42308</v>
      </c>
      <c r="G472" s="2">
        <v>34322</v>
      </c>
    </row>
    <row r="473" spans="1:7" x14ac:dyDescent="0.2">
      <c r="A473" t="s" s="0">
        <v>3524</v>
      </c>
      <c r="B473" s="2">
        <v>924313</v>
      </c>
      <c r="C473" s="2">
        <v>33691</v>
      </c>
      <c r="D473" s="2">
        <v>31306</v>
      </c>
      <c r="E473" s="2">
        <v>38269</v>
      </c>
      <c r="F473" s="2">
        <v>50922</v>
      </c>
      <c r="G473" s="2">
        <v>37524</v>
      </c>
    </row>
    <row r="474" spans="1:7" x14ac:dyDescent="0.2">
      <c r="A474" t="s" s="0">
        <v>3523</v>
      </c>
      <c r="B474" s="2">
        <v>914967</v>
      </c>
      <c r="C474" s="2">
        <v>41004</v>
      </c>
      <c r="D474" s="2">
        <v>33011</v>
      </c>
      <c r="E474" s="2">
        <v>38190</v>
      </c>
      <c r="F474" s="2">
        <v>46363</v>
      </c>
      <c r="G474" s="2">
        <v>32162</v>
      </c>
    </row>
    <row r="475" spans="1:7" x14ac:dyDescent="0.2">
      <c r="A475" t="s" s="0">
        <v>3522</v>
      </c>
      <c r="B475" s="3">
        <v>914967</v>
      </c>
      <c r="C475" s="3">
        <v>41004</v>
      </c>
      <c r="D475" s="3">
        <v>33011</v>
      </c>
      <c r="E475" s="3">
        <v>38190</v>
      </c>
      <c r="F475" s="3">
        <v>46363</v>
      </c>
      <c r="G475" s="3">
        <v>32162</v>
      </c>
    </row>
    <row r="476" spans="1:7" x14ac:dyDescent="0.2">
      <c r="A476" t="s" s="0">
        <v>3521</v>
      </c>
      <c r="B476" s="3">
        <v>914967</v>
      </c>
      <c r="C476" s="3">
        <v>41004</v>
      </c>
      <c r="D476" s="3">
        <v>33011</v>
      </c>
      <c r="E476" s="3">
        <v>38190</v>
      </c>
      <c r="F476" s="3">
        <v>46363</v>
      </c>
      <c r="G476" s="3">
        <v>32162</v>
      </c>
    </row>
    <row r="477" spans="1:7" x14ac:dyDescent="0.2">
      <c r="A477" t="s" s="0">
        <v>3520</v>
      </c>
      <c r="B477" s="2">
        <v>894383</v>
      </c>
      <c r="C477" s="2">
        <v>20952</v>
      </c>
      <c r="D477" s="2">
        <v>35830</v>
      </c>
      <c r="E477" s="2">
        <v>38470</v>
      </c>
      <c r="F477" s="2">
        <v>46664</v>
      </c>
      <c r="G477" s="2">
        <v>34132</v>
      </c>
    </row>
    <row r="478" spans="1:7" x14ac:dyDescent="0.2">
      <c r="A478" t="s" s="0">
        <v>3519</v>
      </c>
      <c r="B478" s="2">
        <v>1088612</v>
      </c>
      <c r="C478" s="2">
        <v>33974</v>
      </c>
      <c r="D478" s="2">
        <v>36391</v>
      </c>
      <c r="E478" s="2">
        <v>38250</v>
      </c>
      <c r="F478" s="2">
        <v>63582</v>
      </c>
      <c r="G478" s="2">
        <v>41224</v>
      </c>
    </row>
    <row r="479" spans="1:7" x14ac:dyDescent="0.2">
      <c r="A479" t="s" s="0">
        <v>3518</v>
      </c>
      <c r="B479" s="2">
        <v>1044829</v>
      </c>
      <c r="C479" s="2">
        <v>43783</v>
      </c>
      <c r="D479" s="2">
        <v>36150</v>
      </c>
      <c r="E479" s="2">
        <v>38494</v>
      </c>
      <c r="F479" s="2">
        <v>62865</v>
      </c>
      <c r="G479" s="2">
        <v>40689</v>
      </c>
    </row>
    <row r="480" spans="1:7" x14ac:dyDescent="0.2">
      <c r="A480" t="s" s="0">
        <v>3517</v>
      </c>
      <c r="B480" s="2">
        <v>1020548</v>
      </c>
      <c r="C480" s="2">
        <v>36452</v>
      </c>
      <c r="D480" s="2">
        <v>39091</v>
      </c>
      <c r="E480" s="2">
        <v>37721</v>
      </c>
      <c r="F480" s="2">
        <v>52328</v>
      </c>
      <c r="G480" s="2">
        <v>41417</v>
      </c>
    </row>
    <row r="481" spans="1:7" x14ac:dyDescent="0.2">
      <c r="A481" t="s" s="0">
        <v>3516</v>
      </c>
      <c r="B481" s="2">
        <v>1054286</v>
      </c>
      <c r="C481" s="2">
        <v>37059</v>
      </c>
      <c r="D481" s="2">
        <v>38528</v>
      </c>
      <c r="E481" s="2">
        <v>37349</v>
      </c>
      <c r="F481" s="2">
        <v>57451</v>
      </c>
      <c r="G481" s="2">
        <v>43308</v>
      </c>
    </row>
    <row r="482" spans="1:7" x14ac:dyDescent="0.2">
      <c r="A482" t="s" s="0">
        <v>3515</v>
      </c>
      <c r="B482" s="3">
        <v>1054286</v>
      </c>
      <c r="C482" s="3">
        <v>37059</v>
      </c>
      <c r="D482" s="3">
        <v>38528</v>
      </c>
      <c r="E482" s="3">
        <v>37349</v>
      </c>
      <c r="F482" s="3">
        <v>57451</v>
      </c>
      <c r="G482" s="3">
        <v>43308</v>
      </c>
    </row>
    <row r="483" spans="1:7" x14ac:dyDescent="0.2">
      <c r="A483" t="s" s="0">
        <v>3514</v>
      </c>
      <c r="B483" s="3">
        <v>1054286</v>
      </c>
      <c r="C483" s="3">
        <v>37059</v>
      </c>
      <c r="D483" s="3">
        <v>38528</v>
      </c>
      <c r="E483" s="3">
        <v>37349</v>
      </c>
      <c r="F483" s="3">
        <v>57451</v>
      </c>
      <c r="G483" s="3">
        <v>43308</v>
      </c>
    </row>
    <row r="484" spans="1:7" x14ac:dyDescent="0.2">
      <c r="A484" t="s" s="0">
        <v>3513</v>
      </c>
      <c r="B484" s="2">
        <v>1026816</v>
      </c>
      <c r="C484" s="2">
        <v>20528</v>
      </c>
      <c r="D484" s="2">
        <v>43711</v>
      </c>
      <c r="E484" s="2">
        <v>37935</v>
      </c>
      <c r="F484" s="2">
        <v>61650</v>
      </c>
      <c r="G484" s="2">
        <v>44403</v>
      </c>
    </row>
    <row r="485" spans="1:7" x14ac:dyDescent="0.2">
      <c r="A485" t="s" s="0">
        <v>3512</v>
      </c>
      <c r="B485" s="2">
        <v>1001365</v>
      </c>
      <c r="C485" s="2">
        <v>34646</v>
      </c>
      <c r="D485" s="2">
        <v>45955</v>
      </c>
      <c r="E485" s="2">
        <v>38319</v>
      </c>
      <c r="F485" s="2">
        <v>32511</v>
      </c>
      <c r="G485" s="2">
        <v>45271</v>
      </c>
    </row>
    <row r="486" spans="1:7" x14ac:dyDescent="0.2">
      <c r="A486" t="s" s="0">
        <v>3511</v>
      </c>
      <c r="B486" s="2">
        <v>984491</v>
      </c>
      <c r="C486" s="2">
        <v>34086</v>
      </c>
      <c r="D486" s="2">
        <v>45284</v>
      </c>
      <c r="E486" s="2">
        <v>37408</v>
      </c>
      <c r="F486" s="2">
        <v>35684</v>
      </c>
      <c r="G486" s="2">
        <v>46084</v>
      </c>
    </row>
    <row r="487" spans="1:7" x14ac:dyDescent="0.2">
      <c r="A487" t="s" s="0">
        <v>3510</v>
      </c>
      <c r="B487" s="2">
        <v>1012775</v>
      </c>
      <c r="C487" s="2">
        <v>38901</v>
      </c>
      <c r="D487" s="2">
        <v>47018</v>
      </c>
      <c r="E487" s="2">
        <v>38334</v>
      </c>
      <c r="F487" s="2">
        <v>44928</v>
      </c>
      <c r="G487" s="2">
        <v>48050</v>
      </c>
    </row>
    <row r="488" spans="1:7" x14ac:dyDescent="0.2">
      <c r="A488" t="s" s="0">
        <v>3509</v>
      </c>
      <c r="B488" s="2">
        <v>967237</v>
      </c>
      <c r="C488" s="2">
        <v>32626</v>
      </c>
      <c r="D488" s="2">
        <v>48528</v>
      </c>
      <c r="E488" s="2">
        <v>38618</v>
      </c>
      <c r="F488" s="2">
        <v>35656</v>
      </c>
      <c r="G488" s="2">
        <v>48015</v>
      </c>
    </row>
    <row r="489" spans="1:7" x14ac:dyDescent="0.2">
      <c r="A489" t="s" s="0">
        <v>3508</v>
      </c>
      <c r="B489" s="3">
        <v>967237</v>
      </c>
      <c r="C489" s="3">
        <v>32626</v>
      </c>
      <c r="D489" s="3">
        <v>48528</v>
      </c>
      <c r="E489" s="3">
        <v>38618</v>
      </c>
      <c r="F489" s="3">
        <v>35656</v>
      </c>
      <c r="G489" s="3">
        <v>48015</v>
      </c>
    </row>
    <row r="490" spans="1:7" x14ac:dyDescent="0.2">
      <c r="A490" t="s" s="0">
        <v>3507</v>
      </c>
      <c r="B490" s="3">
        <v>967237</v>
      </c>
      <c r="C490" s="3">
        <v>32626</v>
      </c>
      <c r="D490" s="3">
        <v>48528</v>
      </c>
      <c r="E490" s="3">
        <v>38618</v>
      </c>
      <c r="F490" s="3">
        <v>35656</v>
      </c>
      <c r="G490" s="3">
        <v>48015</v>
      </c>
    </row>
    <row r="491" spans="1:7" x14ac:dyDescent="0.2">
      <c r="A491" t="s" s="0">
        <v>3506</v>
      </c>
      <c r="B491" s="2">
        <v>966184</v>
      </c>
      <c r="C491" s="2">
        <v>17054</v>
      </c>
      <c r="D491" s="2">
        <v>39154</v>
      </c>
      <c r="E491" s="2">
        <v>38235</v>
      </c>
      <c r="F491" s="2">
        <v>29839</v>
      </c>
      <c r="G491" s="2">
        <v>43134</v>
      </c>
    </row>
    <row r="492" spans="1:7" x14ac:dyDescent="0.2">
      <c r="A492" t="s" s="0">
        <v>3505</v>
      </c>
      <c r="B492" s="2">
        <v>1065841</v>
      </c>
      <c r="C492" s="2">
        <v>28803</v>
      </c>
      <c r="D492" s="2">
        <v>36171</v>
      </c>
      <c r="E492" s="2">
        <v>37423</v>
      </c>
      <c r="F492" s="2">
        <v>44729</v>
      </c>
      <c r="G492" s="2">
        <v>45597</v>
      </c>
    </row>
    <row r="493" spans="1:7" x14ac:dyDescent="0.2">
      <c r="A493" t="s" s="0">
        <v>3504</v>
      </c>
      <c r="B493" s="2">
        <v>1041805</v>
      </c>
      <c r="C493" s="2">
        <v>31996</v>
      </c>
      <c r="D493" s="2">
        <v>40758</v>
      </c>
      <c r="E493" s="2">
        <v>38189</v>
      </c>
      <c r="F493" s="2">
        <v>48293</v>
      </c>
      <c r="G493" s="2">
        <v>47288</v>
      </c>
    </row>
    <row r="494" spans="1:7" x14ac:dyDescent="0.2">
      <c r="A494" t="s" s="0">
        <v>3503</v>
      </c>
      <c r="B494" s="2">
        <v>1013968</v>
      </c>
      <c r="C494" s="2">
        <v>27838</v>
      </c>
      <c r="D494" s="2">
        <v>35246</v>
      </c>
      <c r="E494" s="2">
        <v>38165</v>
      </c>
      <c r="F494" s="2">
        <v>34764</v>
      </c>
      <c r="G494" s="2">
        <v>45736</v>
      </c>
    </row>
    <row r="495" spans="1:7" x14ac:dyDescent="0.2">
      <c r="A495" t="s" s="0">
        <v>3502</v>
      </c>
      <c r="B495" s="2">
        <v>992268</v>
      </c>
      <c r="C495" s="2">
        <v>31659</v>
      </c>
      <c r="D495" s="2">
        <v>35111</v>
      </c>
      <c r="E495" s="2">
        <v>38794</v>
      </c>
      <c r="F495" s="2">
        <v>37044</v>
      </c>
      <c r="G495" s="2">
        <v>44128</v>
      </c>
    </row>
    <row r="496" spans="1:7" x14ac:dyDescent="0.2">
      <c r="A496" t="s" s="0">
        <v>3501</v>
      </c>
      <c r="B496" s="3">
        <v>992268</v>
      </c>
      <c r="C496" s="3">
        <v>31659</v>
      </c>
      <c r="D496" s="3">
        <v>35111</v>
      </c>
      <c r="E496" s="3">
        <v>38794</v>
      </c>
      <c r="F496" s="3">
        <v>37044</v>
      </c>
      <c r="G496" s="3">
        <v>44128</v>
      </c>
    </row>
    <row r="497" spans="1:7" x14ac:dyDescent="0.2">
      <c r="A497" t="s" s="0">
        <v>3500</v>
      </c>
      <c r="B497" s="3">
        <v>992268</v>
      </c>
      <c r="C497" s="3">
        <v>31659</v>
      </c>
      <c r="D497" s="3">
        <v>35111</v>
      </c>
      <c r="E497" s="3">
        <v>38794</v>
      </c>
      <c r="F497" s="3">
        <v>37044</v>
      </c>
      <c r="G497" s="3">
        <v>44128</v>
      </c>
    </row>
    <row r="498" spans="1:7" x14ac:dyDescent="0.2">
      <c r="A498" t="s" s="0">
        <v>3499</v>
      </c>
      <c r="B498" s="2">
        <v>917797</v>
      </c>
      <c r="C498" s="2">
        <v>21135</v>
      </c>
      <c r="D498" s="2">
        <v>39048</v>
      </c>
      <c r="E498" s="2">
        <v>39436</v>
      </c>
      <c r="F498" s="2">
        <v>30711</v>
      </c>
      <c r="G498" s="2">
        <v>42216</v>
      </c>
    </row>
    <row r="499" spans="1:7" x14ac:dyDescent="0.2">
      <c r="A499" t="s" s="0">
        <v>3498</v>
      </c>
      <c r="B499" s="2">
        <v>910454</v>
      </c>
      <c r="C499" s="2">
        <v>36731</v>
      </c>
      <c r="D499" s="2">
        <v>40181</v>
      </c>
      <c r="E499" s="2">
        <v>39675</v>
      </c>
      <c r="F499" s="2">
        <v>16557</v>
      </c>
      <c r="G499" s="2">
        <v>39345</v>
      </c>
    </row>
    <row r="500" spans="1:7" x14ac:dyDescent="0.2">
      <c r="A500" t="s" s="0">
        <v>3497</v>
      </c>
      <c r="B500" s="2">
        <v>906752</v>
      </c>
      <c r="C500" s="2">
        <v>38402</v>
      </c>
      <c r="D500" s="2">
        <v>35496</v>
      </c>
      <c r="E500" s="2">
        <v>39422</v>
      </c>
      <c r="F500" s="2">
        <v>14778</v>
      </c>
      <c r="G500" s="2">
        <v>40405</v>
      </c>
    </row>
    <row r="501" spans="1:7" x14ac:dyDescent="0.2">
      <c r="A501" t="s" s="0">
        <v>3496</v>
      </c>
      <c r="B501" s="2">
        <v>876437</v>
      </c>
      <c r="C501" s="2">
        <v>36278</v>
      </c>
      <c r="D501" s="2">
        <v>38703</v>
      </c>
      <c r="E501" s="2">
        <v>40015</v>
      </c>
      <c r="F501" s="2">
        <v>17631</v>
      </c>
      <c r="G501" s="2">
        <v>37413</v>
      </c>
    </row>
    <row r="502" spans="1:7" x14ac:dyDescent="0.2">
      <c r="A502" t="s" s="0">
        <v>3495</v>
      </c>
      <c r="B502" s="2">
        <v>832528</v>
      </c>
      <c r="C502" s="2">
        <v>34940</v>
      </c>
      <c r="D502" s="2">
        <v>38761</v>
      </c>
      <c r="E502" s="2">
        <v>40232</v>
      </c>
      <c r="F502" s="2">
        <v>14764</v>
      </c>
      <c r="G502" s="2">
        <v>36229</v>
      </c>
    </row>
    <row r="503" spans="1:7" x14ac:dyDescent="0.2">
      <c r="A503" t="s" s="0">
        <v>3494</v>
      </c>
      <c r="B503" s="3">
        <v>832528</v>
      </c>
      <c r="C503" s="3">
        <v>34940</v>
      </c>
      <c r="D503" s="3">
        <v>38761</v>
      </c>
      <c r="E503" s="3">
        <v>40232</v>
      </c>
      <c r="F503" s="3">
        <v>14764</v>
      </c>
      <c r="G503" s="3">
        <v>36229</v>
      </c>
    </row>
    <row r="504" spans="1:7" x14ac:dyDescent="0.2">
      <c r="A504" t="s" s="0">
        <v>3493</v>
      </c>
      <c r="B504" s="3">
        <v>832528</v>
      </c>
      <c r="C504" s="3">
        <v>34940</v>
      </c>
      <c r="D504" s="3">
        <v>38761</v>
      </c>
      <c r="E504" s="3">
        <v>40232</v>
      </c>
      <c r="F504" s="3">
        <v>14764</v>
      </c>
      <c r="G504" s="3">
        <v>36229</v>
      </c>
    </row>
    <row r="505" spans="1:7" x14ac:dyDescent="0.2">
      <c r="A505" t="s" s="0">
        <v>3492</v>
      </c>
      <c r="B505" s="2">
        <v>817699</v>
      </c>
      <c r="C505" s="2">
        <v>22900</v>
      </c>
      <c r="D505" s="2">
        <v>37263</v>
      </c>
      <c r="E505" s="2">
        <v>39794</v>
      </c>
      <c r="F505" s="2">
        <v>19500</v>
      </c>
      <c r="G505" s="2">
        <v>35425</v>
      </c>
    </row>
    <row r="506" spans="1:7" x14ac:dyDescent="0.2">
      <c r="A506" t="s" s="0">
        <v>3491</v>
      </c>
      <c r="B506" s="2">
        <v>776772</v>
      </c>
      <c r="C506" s="2">
        <v>35013</v>
      </c>
      <c r="D506" s="2">
        <v>38442</v>
      </c>
      <c r="E506" s="2">
        <v>40187</v>
      </c>
      <c r="F506" s="2">
        <v>15302</v>
      </c>
      <c r="G506" s="2">
        <v>27275</v>
      </c>
    </row>
    <row r="507" spans="1:7" x14ac:dyDescent="0.2">
      <c r="A507" t="s" s="0">
        <v>3490</v>
      </c>
      <c r="B507" s="2">
        <v>796786</v>
      </c>
      <c r="C507" s="2">
        <v>39544</v>
      </c>
      <c r="D507" s="2">
        <v>38606</v>
      </c>
      <c r="E507" s="2">
        <v>40036</v>
      </c>
      <c r="F507" s="2">
        <v>18853</v>
      </c>
      <c r="G507" s="2">
        <v>29402</v>
      </c>
    </row>
    <row r="508" spans="1:7" x14ac:dyDescent="0.2">
      <c r="A508" t="s" s="0">
        <v>3489</v>
      </c>
      <c r="B508" s="2">
        <v>750887</v>
      </c>
      <c r="C508" s="2">
        <v>34350</v>
      </c>
      <c r="D508" s="2">
        <v>38164</v>
      </c>
      <c r="E508" s="2">
        <v>39783</v>
      </c>
      <c r="F508" s="2">
        <v>16185</v>
      </c>
      <c r="G508" s="2">
        <v>28377</v>
      </c>
    </row>
    <row r="509" spans="1:7" x14ac:dyDescent="0.2">
      <c r="A509" t="s" s="0">
        <v>3488</v>
      </c>
      <c r="B509" s="2">
        <v>748669</v>
      </c>
      <c r="C509" s="2">
        <v>40043</v>
      </c>
      <c r="D509" s="2">
        <v>37158</v>
      </c>
      <c r="E509" s="2">
        <v>39890</v>
      </c>
      <c r="F509" s="2">
        <v>22197</v>
      </c>
      <c r="G509" s="2">
        <v>27415</v>
      </c>
    </row>
    <row r="510" spans="1:7" x14ac:dyDescent="0.2">
      <c r="A510" t="s" s="0">
        <v>3487</v>
      </c>
      <c r="B510" s="3">
        <v>748669</v>
      </c>
      <c r="C510" s="3">
        <v>40043</v>
      </c>
      <c r="D510" s="3">
        <v>37158</v>
      </c>
      <c r="E510" s="3">
        <v>39890</v>
      </c>
      <c r="F510" s="3">
        <v>22197</v>
      </c>
      <c r="G510" s="3">
        <v>27415</v>
      </c>
    </row>
    <row r="511" spans="1:7" x14ac:dyDescent="0.2">
      <c r="A511" t="s" s="0">
        <v>3486</v>
      </c>
      <c r="B511" s="3">
        <v>748669</v>
      </c>
      <c r="C511" s="3">
        <v>40043</v>
      </c>
      <c r="D511" s="3">
        <v>37158</v>
      </c>
      <c r="E511" s="3">
        <v>39890</v>
      </c>
      <c r="F511" s="3">
        <v>22197</v>
      </c>
      <c r="G511" s="3">
        <v>27415</v>
      </c>
    </row>
    <row r="512" spans="1:7" x14ac:dyDescent="0.2">
      <c r="A512" t="s" s="0">
        <v>3485</v>
      </c>
      <c r="B512" s="2">
        <v>735523</v>
      </c>
      <c r="C512" s="2">
        <v>20309</v>
      </c>
      <c r="D512" s="2">
        <v>36414</v>
      </c>
      <c r="E512" s="2">
        <v>37970</v>
      </c>
      <c r="F512" s="2">
        <v>23979</v>
      </c>
      <c r="G512" s="2">
        <v>26007</v>
      </c>
    </row>
    <row r="513" spans="1:7" x14ac:dyDescent="0.2">
      <c r="A513" t="s" s="0">
        <v>3484</v>
      </c>
      <c r="B513" s="2">
        <v>717380</v>
      </c>
      <c r="C513" s="2">
        <v>36836</v>
      </c>
      <c r="D513" s="2">
        <v>35249</v>
      </c>
      <c r="E513" s="2">
        <v>37511</v>
      </c>
      <c r="F513" s="2">
        <v>26649</v>
      </c>
      <c r="G513" s="2">
        <v>25809</v>
      </c>
    </row>
    <row r="514" spans="1:7" x14ac:dyDescent="0.2">
      <c r="A514" t="s" s="0">
        <v>3483</v>
      </c>
      <c r="B514" s="2">
        <v>743180</v>
      </c>
      <c r="C514" s="2">
        <v>49334</v>
      </c>
      <c r="D514" s="2">
        <v>38768</v>
      </c>
      <c r="E514" s="2">
        <v>38407</v>
      </c>
      <c r="F514" s="2">
        <v>30994</v>
      </c>
      <c r="G514" s="2">
        <v>28229</v>
      </c>
    </row>
    <row r="515" spans="1:7" x14ac:dyDescent="0.2">
      <c r="A515" t="s" s="0">
        <v>3482</v>
      </c>
      <c r="B515" s="2">
        <v>727285</v>
      </c>
      <c r="C515" s="2">
        <v>41858</v>
      </c>
      <c r="D515" s="2">
        <v>39447</v>
      </c>
      <c r="E515" s="2">
        <v>37890</v>
      </c>
      <c r="F515" s="2">
        <v>35960</v>
      </c>
      <c r="G515" s="2">
        <v>26135</v>
      </c>
    </row>
    <row r="516" spans="1:7" x14ac:dyDescent="0.2">
      <c r="A516" t="s" s="0">
        <v>3481</v>
      </c>
      <c r="B516" s="2">
        <v>792618</v>
      </c>
      <c r="C516" s="2">
        <v>17657</v>
      </c>
      <c r="D516" s="2">
        <v>36249</v>
      </c>
      <c r="E516" s="2">
        <v>36820</v>
      </c>
      <c r="F516" s="2">
        <v>42528</v>
      </c>
      <c r="G516" s="2">
        <v>29133</v>
      </c>
    </row>
    <row r="517" spans="1:7" x14ac:dyDescent="0.2">
      <c r="A517" t="s" s="0">
        <v>3480</v>
      </c>
      <c r="B517" s="3">
        <v>792618</v>
      </c>
      <c r="C517" s="3">
        <v>17657</v>
      </c>
      <c r="D517" s="3">
        <v>36249</v>
      </c>
      <c r="E517" s="3">
        <v>36820</v>
      </c>
      <c r="F517" s="3">
        <v>42528</v>
      </c>
      <c r="G517" s="3">
        <v>29133</v>
      </c>
    </row>
    <row r="518" spans="1:7" x14ac:dyDescent="0.2">
      <c r="A518" t="s" s="0">
        <v>3479</v>
      </c>
      <c r="B518" s="3">
        <v>792618</v>
      </c>
      <c r="C518" s="3">
        <v>17657</v>
      </c>
      <c r="D518" s="3">
        <v>36249</v>
      </c>
      <c r="E518" s="3">
        <v>36820</v>
      </c>
      <c r="F518" s="3">
        <v>42528</v>
      </c>
      <c r="G518" s="3">
        <v>29133</v>
      </c>
    </row>
    <row r="519" spans="1:7" x14ac:dyDescent="0.2">
      <c r="A519" t="s" s="0">
        <v>3478</v>
      </c>
      <c r="B519" s="2">
        <v>776521</v>
      </c>
      <c r="C519" s="2">
        <v>18087</v>
      </c>
      <c r="D519" s="2">
        <v>35100</v>
      </c>
      <c r="E519" s="2">
        <v>36956</v>
      </c>
      <c r="F519" s="2">
        <v>40957</v>
      </c>
      <c r="G519" s="2">
        <v>28787</v>
      </c>
    </row>
    <row r="520" spans="1:7" x14ac:dyDescent="0.2">
      <c r="A520" t="s" s="0">
        <v>3477</v>
      </c>
      <c r="B520" s="2">
        <v>767944</v>
      </c>
      <c r="C520" s="2">
        <v>30411</v>
      </c>
      <c r="D520" s="2">
        <v>34182</v>
      </c>
      <c r="E520" s="2">
        <v>37014</v>
      </c>
      <c r="F520" s="2">
        <v>40839</v>
      </c>
      <c r="G520" s="2">
        <v>24837</v>
      </c>
    </row>
    <row r="521" spans="1:7" x14ac:dyDescent="0.2">
      <c r="A521" t="s" s="0">
        <v>3476</v>
      </c>
      <c r="B521" s="2">
        <v>810671</v>
      </c>
      <c r="C521" s="2">
        <v>37847</v>
      </c>
      <c r="D521" s="2">
        <v>30421</v>
      </c>
      <c r="E521" s="2">
        <v>35823</v>
      </c>
      <c r="F521" s="2">
        <v>39496</v>
      </c>
      <c r="G521" s="2">
        <v>26030</v>
      </c>
    </row>
    <row r="522" spans="1:7" x14ac:dyDescent="0.2">
      <c r="A522" t="s" s="0">
        <v>3475</v>
      </c>
      <c r="B522" s="2">
        <v>812809</v>
      </c>
      <c r="C522" s="2">
        <v>32862</v>
      </c>
      <c r="D522" s="2">
        <v>27694</v>
      </c>
      <c r="E522" s="2">
        <v>36002</v>
      </c>
      <c r="F522" s="2">
        <v>39345</v>
      </c>
      <c r="G522" s="2">
        <v>27280</v>
      </c>
    </row>
    <row r="523" spans="1:7" x14ac:dyDescent="0.2">
      <c r="A523" t="s" s="0">
        <v>3474</v>
      </c>
      <c r="B523" s="2">
        <v>775490</v>
      </c>
      <c r="C523" s="2">
        <v>35213</v>
      </c>
      <c r="D523" s="2">
        <v>34774</v>
      </c>
      <c r="E523" s="2">
        <v>36736</v>
      </c>
      <c r="F523" s="2">
        <v>31761</v>
      </c>
      <c r="G523" s="2">
        <v>27813</v>
      </c>
    </row>
    <row r="524" spans="1:7" x14ac:dyDescent="0.2">
      <c r="A524" t="s" s="0">
        <v>3473</v>
      </c>
      <c r="B524" s="3">
        <v>775490</v>
      </c>
      <c r="C524" s="3">
        <v>35213</v>
      </c>
      <c r="D524" s="3">
        <v>34774</v>
      </c>
      <c r="E524" s="3">
        <v>36736</v>
      </c>
      <c r="F524" s="3">
        <v>31761</v>
      </c>
      <c r="G524" s="3">
        <v>27813</v>
      </c>
    </row>
    <row r="525" spans="1:7" x14ac:dyDescent="0.2">
      <c r="A525" t="s" s="0">
        <v>3472</v>
      </c>
      <c r="B525" s="3">
        <v>775490</v>
      </c>
      <c r="C525" s="3">
        <v>35213</v>
      </c>
      <c r="D525" s="3">
        <v>34774</v>
      </c>
      <c r="E525" s="3">
        <v>36736</v>
      </c>
      <c r="F525" s="3">
        <v>31761</v>
      </c>
      <c r="G525" s="3">
        <v>27813</v>
      </c>
    </row>
    <row r="526" spans="1:7" x14ac:dyDescent="0.2">
      <c r="A526" t="s" s="0">
        <v>3471</v>
      </c>
      <c r="B526" s="2">
        <v>823393</v>
      </c>
      <c r="C526" s="2">
        <v>17150</v>
      </c>
      <c r="D526" s="2">
        <v>35067</v>
      </c>
      <c r="E526" s="2">
        <v>35961</v>
      </c>
      <c r="F526" s="2">
        <v>41196</v>
      </c>
      <c r="G526" s="2">
        <v>31408</v>
      </c>
    </row>
    <row r="527" spans="1:7" x14ac:dyDescent="0.2">
      <c r="A527" t="s" s="0">
        <v>3470</v>
      </c>
      <c r="B527" s="2">
        <v>845027</v>
      </c>
      <c r="C527" s="2">
        <v>29085</v>
      </c>
      <c r="D527" s="2">
        <v>34877</v>
      </c>
      <c r="E527" s="2">
        <v>35688</v>
      </c>
      <c r="F527" s="2">
        <v>45889</v>
      </c>
      <c r="G527" s="2">
        <v>32170</v>
      </c>
    </row>
    <row r="528" spans="1:7" x14ac:dyDescent="0.2">
      <c r="A528" t="s" s="0">
        <v>3469</v>
      </c>
      <c r="B528" s="2">
        <v>829433</v>
      </c>
      <c r="C528" s="2">
        <v>38418</v>
      </c>
      <c r="D528" s="2">
        <v>37374</v>
      </c>
      <c r="E528" s="2">
        <v>36292</v>
      </c>
      <c r="F528" s="2">
        <v>40054</v>
      </c>
      <c r="G528" s="2">
        <v>32350</v>
      </c>
    </row>
    <row r="529" spans="1:7" x14ac:dyDescent="0.2">
      <c r="A529" t="s" s="0">
        <v>3468</v>
      </c>
      <c r="B529" s="2">
        <v>786166</v>
      </c>
      <c r="C529" s="2">
        <v>33051</v>
      </c>
      <c r="D529" s="2">
        <v>38832</v>
      </c>
      <c r="E529" s="2">
        <v>36034</v>
      </c>
      <c r="F529" s="2">
        <v>35026</v>
      </c>
      <c r="G529" s="2">
        <v>31629</v>
      </c>
    </row>
    <row r="530" spans="1:7" x14ac:dyDescent="0.2">
      <c r="A530" t="s" s="0">
        <v>3467</v>
      </c>
      <c r="B530" s="2">
        <v>795654</v>
      </c>
      <c r="C530" s="2">
        <v>35950</v>
      </c>
      <c r="D530" s="2">
        <v>34365</v>
      </c>
      <c r="E530" s="2">
        <v>35637</v>
      </c>
      <c r="F530" s="2">
        <v>35849</v>
      </c>
      <c r="G530" s="2">
        <v>33084</v>
      </c>
    </row>
    <row r="531" spans="1:7" x14ac:dyDescent="0.2">
      <c r="A531" t="s" s="0">
        <v>3466</v>
      </c>
      <c r="B531" s="3">
        <v>795654</v>
      </c>
      <c r="C531" s="3">
        <v>35950</v>
      </c>
      <c r="D531" s="3">
        <v>34365</v>
      </c>
      <c r="E531" s="3">
        <v>35637</v>
      </c>
      <c r="F531" s="3">
        <v>35849</v>
      </c>
      <c r="G531" s="3">
        <v>33084</v>
      </c>
    </row>
    <row r="532" spans="1:7" x14ac:dyDescent="0.2">
      <c r="A532" t="s" s="0">
        <v>3465</v>
      </c>
      <c r="B532" s="3">
        <v>795654</v>
      </c>
      <c r="C532" s="3">
        <v>35950</v>
      </c>
      <c r="D532" s="3">
        <v>34365</v>
      </c>
      <c r="E532" s="3">
        <v>35637</v>
      </c>
      <c r="F532" s="3">
        <v>35849</v>
      </c>
      <c r="G532" s="3">
        <v>33084</v>
      </c>
    </row>
    <row r="533" spans="1:7" x14ac:dyDescent="0.2">
      <c r="A533" t="s" s="0">
        <v>3464</v>
      </c>
      <c r="B533" s="2">
        <v>840955</v>
      </c>
      <c r="C533" s="2">
        <v>17398</v>
      </c>
      <c r="D533" s="2">
        <v>34684</v>
      </c>
      <c r="E533" s="2">
        <v>35316</v>
      </c>
      <c r="F533" s="2">
        <v>35797</v>
      </c>
      <c r="G533" s="2">
        <v>35482</v>
      </c>
    </row>
    <row r="534" spans="1:7" x14ac:dyDescent="0.2">
      <c r="A534" t="s" s="0">
        <v>3463</v>
      </c>
      <c r="B534" s="2">
        <v>807671</v>
      </c>
      <c r="C534" s="2">
        <v>31229</v>
      </c>
      <c r="D534" s="2">
        <v>34991</v>
      </c>
      <c r="E534" s="2">
        <v>34825</v>
      </c>
      <c r="F534" s="2">
        <v>28258</v>
      </c>
      <c r="G534" s="2">
        <v>35409</v>
      </c>
    </row>
    <row r="535" spans="1:7" x14ac:dyDescent="0.2">
      <c r="A535" t="s" s="0">
        <v>3462</v>
      </c>
      <c r="B535" s="2">
        <v>806187</v>
      </c>
      <c r="C535" s="2">
        <v>31583</v>
      </c>
      <c r="D535" s="2">
        <v>31599</v>
      </c>
      <c r="E535" s="2">
        <v>34541</v>
      </c>
      <c r="F535" s="2">
        <v>26868</v>
      </c>
      <c r="G535" s="2">
        <v>34353</v>
      </c>
    </row>
    <row r="536" spans="1:7" x14ac:dyDescent="0.2">
      <c r="A536" t="s" s="0">
        <v>3461</v>
      </c>
      <c r="B536" s="2">
        <v>896943</v>
      </c>
      <c r="C536" s="2">
        <v>29129</v>
      </c>
      <c r="D536" s="2">
        <v>30268</v>
      </c>
      <c r="E536" s="2">
        <v>34060</v>
      </c>
      <c r="F536" s="2">
        <v>44682</v>
      </c>
      <c r="G536" s="2">
        <v>38753</v>
      </c>
    </row>
    <row r="537" spans="1:7" x14ac:dyDescent="0.2">
      <c r="A537" t="s" s="0">
        <v>3460</v>
      </c>
      <c r="B537" s="2">
        <v>843467</v>
      </c>
      <c r="C537" s="2">
        <v>37375</v>
      </c>
      <c r="D537" s="2">
        <v>32997</v>
      </c>
      <c r="E537" s="2">
        <v>34596</v>
      </c>
      <c r="F537" s="2">
        <v>39557</v>
      </c>
      <c r="G537" s="2">
        <v>37424</v>
      </c>
    </row>
    <row r="538" spans="1:7" x14ac:dyDescent="0.2">
      <c r="A538" t="s" s="0">
        <v>3459</v>
      </c>
      <c r="B538" s="3">
        <v>843467</v>
      </c>
      <c r="C538" s="3">
        <v>37375</v>
      </c>
      <c r="D538" s="3">
        <v>32997</v>
      </c>
      <c r="E538" s="3">
        <v>34596</v>
      </c>
      <c r="F538" s="3">
        <v>39557</v>
      </c>
      <c r="G538" s="3">
        <v>37424</v>
      </c>
    </row>
    <row r="539" spans="1:7" x14ac:dyDescent="0.2">
      <c r="A539" t="s" s="0">
        <v>3458</v>
      </c>
      <c r="B539" s="3">
        <v>843467</v>
      </c>
      <c r="C539" s="3">
        <v>37375</v>
      </c>
      <c r="D539" s="3">
        <v>32997</v>
      </c>
      <c r="E539" s="3">
        <v>34596</v>
      </c>
      <c r="F539" s="3">
        <v>39557</v>
      </c>
      <c r="G539" s="3">
        <v>37424</v>
      </c>
    </row>
    <row r="540" spans="1:7" x14ac:dyDescent="0.2">
      <c r="A540" t="s" s="0">
        <v>3457</v>
      </c>
      <c r="B540" s="2">
        <v>848878</v>
      </c>
      <c r="C540" s="2">
        <v>20764</v>
      </c>
      <c r="D540" s="2">
        <v>34958</v>
      </c>
      <c r="E540" s="2">
        <v>34952</v>
      </c>
      <c r="F540" s="2">
        <v>35819</v>
      </c>
      <c r="G540" s="2">
        <v>38442</v>
      </c>
    </row>
    <row r="541" spans="1:7" x14ac:dyDescent="0.2">
      <c r="A541" t="s" s="0">
        <v>3456</v>
      </c>
      <c r="B541" s="2">
        <v>883133</v>
      </c>
      <c r="C541" s="2">
        <v>29669</v>
      </c>
      <c r="D541" s="2">
        <v>34735</v>
      </c>
      <c r="E541" s="2">
        <v>34697</v>
      </c>
      <c r="F541" s="2">
        <v>45245</v>
      </c>
      <c r="G541" s="2">
        <v>40058</v>
      </c>
    </row>
    <row r="542" spans="1:7" x14ac:dyDescent="0.2">
      <c r="A542" t="s" s="0">
        <v>3455</v>
      </c>
      <c r="B542" s="2">
        <v>845803</v>
      </c>
      <c r="C542" s="2">
        <v>37330</v>
      </c>
      <c r="D542" s="2">
        <v>35556</v>
      </c>
      <c r="E542" s="2">
        <v>33738</v>
      </c>
      <c r="F542" s="2">
        <v>40959</v>
      </c>
      <c r="G542" s="2">
        <v>36844</v>
      </c>
    </row>
    <row r="543" spans="1:7" x14ac:dyDescent="0.2">
      <c r="A543" t="s" s="0">
        <v>3454</v>
      </c>
      <c r="B543" s="2">
        <v>871872</v>
      </c>
      <c r="C543" s="2">
        <v>47706</v>
      </c>
      <c r="D543" s="2">
        <v>37657</v>
      </c>
      <c r="E543" s="2">
        <v>33613</v>
      </c>
      <c r="F543" s="2">
        <v>33818</v>
      </c>
      <c r="G543" s="2">
        <v>38218</v>
      </c>
    </row>
    <row r="544" spans="1:7" x14ac:dyDescent="0.2">
      <c r="A544" t="s" s="0">
        <v>3453</v>
      </c>
      <c r="B544" s="2">
        <v>839657</v>
      </c>
      <c r="C544" s="2">
        <v>32222</v>
      </c>
      <c r="D544" s="2">
        <v>34395</v>
      </c>
      <c r="E544" s="2">
        <v>34133</v>
      </c>
      <c r="F544" s="2">
        <v>33850</v>
      </c>
      <c r="G544" s="2">
        <v>35254</v>
      </c>
    </row>
    <row r="545" spans="1:7" x14ac:dyDescent="0.2">
      <c r="A545" t="s" s="0">
        <v>3452</v>
      </c>
      <c r="B545" s="3">
        <v>839657</v>
      </c>
      <c r="C545" s="3">
        <v>32222</v>
      </c>
      <c r="D545" s="3">
        <v>34395</v>
      </c>
      <c r="E545" s="3">
        <v>34133</v>
      </c>
      <c r="F545" s="3">
        <v>33850</v>
      </c>
      <c r="G545" s="3">
        <v>35254</v>
      </c>
    </row>
    <row r="546" spans="1:7" x14ac:dyDescent="0.2">
      <c r="A546" t="s" s="0">
        <v>3451</v>
      </c>
      <c r="B546" s="3">
        <v>839657</v>
      </c>
      <c r="C546" s="3">
        <v>32222</v>
      </c>
      <c r="D546" s="3">
        <v>34395</v>
      </c>
      <c r="E546" s="3">
        <v>34133</v>
      </c>
      <c r="F546" s="3">
        <v>33850</v>
      </c>
      <c r="G546" s="3">
        <v>35254</v>
      </c>
    </row>
    <row r="547" spans="1:7" x14ac:dyDescent="0.2">
      <c r="A547" t="s" s="0">
        <v>3450</v>
      </c>
      <c r="B547" s="2">
        <v>958785</v>
      </c>
      <c r="C547" s="2">
        <v>20664</v>
      </c>
      <c r="D547" s="2">
        <v>31810</v>
      </c>
      <c r="E547" s="2">
        <v>34130</v>
      </c>
      <c r="F547" s="2">
        <v>47511</v>
      </c>
      <c r="G547" s="2">
        <v>40081</v>
      </c>
    </row>
    <row r="548" spans="1:7" x14ac:dyDescent="0.2">
      <c r="A548" t="s" s="0">
        <v>3449</v>
      </c>
      <c r="B548" s="2">
        <v>948405</v>
      </c>
      <c r="C548" s="2">
        <v>28881</v>
      </c>
      <c r="D548" s="2">
        <v>31592</v>
      </c>
      <c r="E548" s="2">
        <v>34049</v>
      </c>
      <c r="F548" s="2">
        <v>40326</v>
      </c>
      <c r="G548" s="2">
        <v>39929</v>
      </c>
    </row>
    <row r="549" spans="1:7" x14ac:dyDescent="0.2">
      <c r="A549" t="s" s="0">
        <v>3448</v>
      </c>
      <c r="B549" s="2">
        <v>988772</v>
      </c>
      <c r="C549" s="2">
        <v>41131</v>
      </c>
      <c r="D549" s="2">
        <v>32135</v>
      </c>
      <c r="E549" s="2">
        <v>34166</v>
      </c>
      <c r="F549" s="2">
        <v>51969</v>
      </c>
      <c r="G549" s="2">
        <v>39962</v>
      </c>
    </row>
    <row r="550" spans="1:7" x14ac:dyDescent="0.2">
      <c r="A550" t="s" s="0">
        <v>3447</v>
      </c>
      <c r="B550" s="2">
        <v>1092266</v>
      </c>
      <c r="C550" s="2">
        <v>37688</v>
      </c>
      <c r="D550" s="2">
        <v>31454</v>
      </c>
      <c r="E550" s="2">
        <v>34553</v>
      </c>
      <c r="F550" s="2">
        <v>62349</v>
      </c>
      <c r="G550" s="2">
        <v>43969</v>
      </c>
    </row>
    <row r="551" spans="1:7" x14ac:dyDescent="0.2">
      <c r="A551" t="s" s="0">
        <v>3446</v>
      </c>
      <c r="B551" s="2">
        <v>1026789</v>
      </c>
      <c r="C551" s="2">
        <v>43722</v>
      </c>
      <c r="D551" s="2">
        <v>36133</v>
      </c>
      <c r="E551" s="2">
        <v>34473</v>
      </c>
      <c r="F551" s="2">
        <v>62333</v>
      </c>
      <c r="G551" s="2">
        <v>42897</v>
      </c>
    </row>
    <row r="552" spans="1:7" x14ac:dyDescent="0.2">
      <c r="A552" t="s" s="0">
        <v>3445</v>
      </c>
      <c r="B552" s="3">
        <v>1026789</v>
      </c>
      <c r="C552" s="3">
        <v>43722</v>
      </c>
      <c r="D552" s="3">
        <v>36133</v>
      </c>
      <c r="E552" s="3">
        <v>34473</v>
      </c>
      <c r="F552" s="3">
        <v>62333</v>
      </c>
      <c r="G552" s="3">
        <v>42897</v>
      </c>
    </row>
    <row r="553" spans="1:7" x14ac:dyDescent="0.2">
      <c r="A553" t="s" s="0">
        <v>3444</v>
      </c>
      <c r="B553" s="3">
        <v>1026789</v>
      </c>
      <c r="C553" s="3">
        <v>43722</v>
      </c>
      <c r="D553" s="3">
        <v>36133</v>
      </c>
      <c r="E553" s="3">
        <v>34473</v>
      </c>
      <c r="F553" s="3">
        <v>62333</v>
      </c>
      <c r="G553" s="3">
        <v>42897</v>
      </c>
    </row>
    <row r="554" spans="1:7" x14ac:dyDescent="0.2">
      <c r="A554" t="s" s="0">
        <v>3443</v>
      </c>
      <c r="B554" s="2">
        <v>1106428</v>
      </c>
      <c r="C554" s="2">
        <v>18028</v>
      </c>
      <c r="D554" s="2">
        <v>34035</v>
      </c>
      <c r="E554" s="2">
        <v>33872</v>
      </c>
      <c r="F554" s="2">
        <v>54593</v>
      </c>
      <c r="G554" s="2">
        <v>43430</v>
      </c>
    </row>
    <row r="555" spans="1:7" x14ac:dyDescent="0.2">
      <c r="A555" t="s" s="0">
        <v>3442</v>
      </c>
      <c r="B555" s="2">
        <v>1067340</v>
      </c>
      <c r="C555" s="2">
        <v>39088</v>
      </c>
      <c r="D555" s="2">
        <v>35599</v>
      </c>
      <c r="E555" s="2">
        <v>34229</v>
      </c>
      <c r="F555" s="2">
        <v>52647</v>
      </c>
      <c r="G555" s="2">
        <v>41619</v>
      </c>
    </row>
    <row r="556" spans="1:7" x14ac:dyDescent="0.2">
      <c r="A556" t="s" s="0">
        <v>3441</v>
      </c>
      <c r="B556" s="2">
        <v>1081022</v>
      </c>
      <c r="C556" s="2">
        <v>32605</v>
      </c>
      <c r="D556" s="2">
        <v>35205</v>
      </c>
      <c r="E556" s="2">
        <v>33624</v>
      </c>
      <c r="F556" s="2">
        <v>47975</v>
      </c>
      <c r="G556" s="2">
        <v>41943</v>
      </c>
    </row>
    <row r="557" spans="1:7" x14ac:dyDescent="0.2">
      <c r="A557" t="s" s="0">
        <v>3440</v>
      </c>
      <c r="B557" s="2">
        <v>1191291</v>
      </c>
      <c r="C557" s="2">
        <v>29570</v>
      </c>
      <c r="D557" s="2">
        <v>33188</v>
      </c>
      <c r="E557" s="2">
        <v>33142</v>
      </c>
      <c r="F557" s="2">
        <v>46926</v>
      </c>
      <c r="G557" s="2">
        <v>46944</v>
      </c>
    </row>
    <row r="558" spans="1:7" x14ac:dyDescent="0.2">
      <c r="A558" t="s" s="0">
        <v>3439</v>
      </c>
      <c r="B558" s="2">
        <v>1239194</v>
      </c>
      <c r="C558" s="2">
        <v>37075</v>
      </c>
      <c r="D558" s="2">
        <v>29203</v>
      </c>
      <c r="E558" s="2">
        <v>33182</v>
      </c>
      <c r="F558" s="2">
        <v>59081</v>
      </c>
      <c r="G558" s="2">
        <v>48705</v>
      </c>
    </row>
    <row r="559" spans="1:7" x14ac:dyDescent="0.2">
      <c r="A559" t="s" s="0">
        <v>3438</v>
      </c>
      <c r="B559" s="3">
        <v>1239194</v>
      </c>
      <c r="C559" s="3">
        <v>37075</v>
      </c>
      <c r="D559" s="3">
        <v>29203</v>
      </c>
      <c r="E559" s="3">
        <v>33182</v>
      </c>
      <c r="F559" s="3">
        <v>59081</v>
      </c>
      <c r="G559" s="3">
        <v>48705</v>
      </c>
    </row>
    <row r="560" spans="1:7" x14ac:dyDescent="0.2">
      <c r="A560" t="s" s="0">
        <v>3437</v>
      </c>
      <c r="B560" s="3">
        <v>1239194</v>
      </c>
      <c r="C560" s="3">
        <v>37075</v>
      </c>
      <c r="D560" s="3">
        <v>29203</v>
      </c>
      <c r="E560" s="3">
        <v>33182</v>
      </c>
      <c r="F560" s="3">
        <v>59081</v>
      </c>
      <c r="G560" s="3">
        <v>48705</v>
      </c>
    </row>
    <row r="561" spans="1:7" x14ac:dyDescent="0.2">
      <c r="A561" t="s" s="0">
        <v>3436</v>
      </c>
      <c r="B561" s="2">
        <v>1191393</v>
      </c>
      <c r="C561" s="2">
        <v>19110</v>
      </c>
      <c r="D561" s="2">
        <v>34385</v>
      </c>
      <c r="E561" s="2">
        <v>33797</v>
      </c>
      <c r="F561" s="2">
        <v>46057</v>
      </c>
      <c r="G561" s="2">
        <v>45995</v>
      </c>
    </row>
    <row r="562" spans="1:7" x14ac:dyDescent="0.2">
      <c r="A562" t="s" s="0">
        <v>3435</v>
      </c>
      <c r="B562" s="2">
        <v>1193808</v>
      </c>
      <c r="C562" s="2">
        <v>31868</v>
      </c>
      <c r="D562" s="2">
        <v>33353</v>
      </c>
      <c r="E562" s="2">
        <v>33820</v>
      </c>
      <c r="F562" s="2">
        <v>50954</v>
      </c>
      <c r="G562" s="2">
        <v>47293</v>
      </c>
    </row>
    <row r="563" spans="1:7" x14ac:dyDescent="0.2">
      <c r="A563" t="s" s="0">
        <v>3434</v>
      </c>
      <c r="B563" s="2">
        <v>1339146</v>
      </c>
      <c r="C563" s="2">
        <v>37474</v>
      </c>
      <c r="D563" s="2">
        <v>33939</v>
      </c>
      <c r="E563" s="2">
        <v>34209</v>
      </c>
      <c r="F563" s="2">
        <v>70814</v>
      </c>
      <c r="G563" s="2">
        <v>52929</v>
      </c>
    </row>
    <row r="564" spans="1:7" x14ac:dyDescent="0.2">
      <c r="A564" t="s" s="0">
        <v>3433</v>
      </c>
      <c r="B564" s="2">
        <v>1305204</v>
      </c>
      <c r="C564" s="2">
        <v>33942</v>
      </c>
      <c r="D564" s="2">
        <v>34563</v>
      </c>
      <c r="E564" s="2">
        <v>34216</v>
      </c>
      <c r="F564" s="2">
        <v>50837</v>
      </c>
      <c r="G564" s="2">
        <v>48483</v>
      </c>
    </row>
    <row r="565" spans="1:7" x14ac:dyDescent="0.2">
      <c r="A565" t="s" s="0">
        <v>3432</v>
      </c>
      <c r="B565" s="2">
        <v>1318581</v>
      </c>
      <c r="C565" s="2">
        <v>39900</v>
      </c>
      <c r="D565" s="2">
        <v>37828</v>
      </c>
      <c r="E565" s="2">
        <v>34390</v>
      </c>
      <c r="F565" s="2">
        <v>47268</v>
      </c>
      <c r="G565" s="2">
        <v>50633</v>
      </c>
    </row>
    <row r="566" spans="1:7" x14ac:dyDescent="0.2">
      <c r="A566" t="s" s="0">
        <v>3431</v>
      </c>
      <c r="B566" s="3">
        <v>1318581</v>
      </c>
      <c r="C566" s="3">
        <v>39900</v>
      </c>
      <c r="D566" s="3">
        <v>37828</v>
      </c>
      <c r="E566" s="3">
        <v>34390</v>
      </c>
      <c r="F566" s="3">
        <v>47268</v>
      </c>
      <c r="G566" s="3">
        <v>50633</v>
      </c>
    </row>
    <row r="567" spans="1:7" x14ac:dyDescent="0.2">
      <c r="A567" t="s" s="0">
        <v>3430</v>
      </c>
      <c r="B567" s="3">
        <v>1318581</v>
      </c>
      <c r="C567" s="3">
        <v>39900</v>
      </c>
      <c r="D567" s="3">
        <v>37828</v>
      </c>
      <c r="E567" s="3">
        <v>34390</v>
      </c>
      <c r="F567" s="3">
        <v>47268</v>
      </c>
      <c r="G567" s="3">
        <v>50633</v>
      </c>
    </row>
    <row r="568" spans="1:7" x14ac:dyDescent="0.2">
      <c r="A568" t="s" s="0">
        <v>3429</v>
      </c>
      <c r="B568" s="2">
        <v>1293872</v>
      </c>
      <c r="C568" s="2">
        <v>21865</v>
      </c>
      <c r="D568" s="2">
        <v>36086</v>
      </c>
      <c r="E568" s="2">
        <v>34079</v>
      </c>
      <c r="F568" s="2">
        <v>48825</v>
      </c>
      <c r="G568" s="2">
        <v>49247</v>
      </c>
    </row>
    <row r="569" spans="1:7" x14ac:dyDescent="0.2">
      <c r="A569" t="s" s="0">
        <v>3428</v>
      </c>
      <c r="B569" s="2">
        <v>1278529</v>
      </c>
      <c r="C569" s="2">
        <v>35921</v>
      </c>
      <c r="D569" s="2">
        <v>44700</v>
      </c>
      <c r="E569" s="2">
        <v>36311</v>
      </c>
      <c r="F569" s="2">
        <v>54902</v>
      </c>
      <c r="G569" s="2">
        <v>49707</v>
      </c>
    </row>
    <row r="570" spans="1:7" x14ac:dyDescent="0.2">
      <c r="A570" t="s" s="0">
        <v>3427</v>
      </c>
      <c r="B570" s="2">
        <v>1239081</v>
      </c>
      <c r="C570" s="2">
        <v>36448</v>
      </c>
      <c r="D570" s="2">
        <v>43839</v>
      </c>
      <c r="E570" s="2">
        <v>36280</v>
      </c>
      <c r="F570" s="2">
        <v>27644</v>
      </c>
      <c r="G570" s="2">
        <v>49600</v>
      </c>
    </row>
    <row r="571" spans="1:7" x14ac:dyDescent="0.2">
      <c r="A571" t="s" s="0">
        <v>3426</v>
      </c>
      <c r="B571" s="2">
        <v>1243534</v>
      </c>
      <c r="C571" s="2">
        <v>29688</v>
      </c>
      <c r="D571" s="2">
        <v>45037</v>
      </c>
      <c r="E571" s="2">
        <v>36061</v>
      </c>
      <c r="F571" s="2">
        <v>34326</v>
      </c>
      <c r="G571" s="2">
        <v>48610</v>
      </c>
    </row>
    <row r="572" spans="1:7" x14ac:dyDescent="0.2">
      <c r="A572" t="s" s="0">
        <v>3425</v>
      </c>
      <c r="B572" s="2">
        <v>1261561</v>
      </c>
      <c r="C572" s="2">
        <v>36979</v>
      </c>
      <c r="D572" s="2">
        <v>41759</v>
      </c>
      <c r="E572" s="2">
        <v>36231</v>
      </c>
      <c r="F572" s="2">
        <v>32870</v>
      </c>
      <c r="G572" s="2">
        <v>50388</v>
      </c>
    </row>
    <row r="573" spans="1:7" x14ac:dyDescent="0.2">
      <c r="A573" t="s" s="0">
        <v>3424</v>
      </c>
      <c r="B573" s="3">
        <v>1261561</v>
      </c>
      <c r="C573" s="3">
        <v>36979</v>
      </c>
      <c r="D573" s="3">
        <v>41759</v>
      </c>
      <c r="E573" s="3">
        <v>36231</v>
      </c>
      <c r="F573" s="3">
        <v>32870</v>
      </c>
      <c r="G573" s="3">
        <v>50388</v>
      </c>
    </row>
    <row r="574" spans="1:7" x14ac:dyDescent="0.2">
      <c r="A574" t="s" s="0">
        <v>3423</v>
      </c>
      <c r="B574" s="3">
        <v>1261561</v>
      </c>
      <c r="C574" s="3">
        <v>36979</v>
      </c>
      <c r="D574" s="3">
        <v>41759</v>
      </c>
      <c r="E574" s="3">
        <v>36231</v>
      </c>
      <c r="F574" s="3">
        <v>32870</v>
      </c>
      <c r="G574" s="3">
        <v>50388</v>
      </c>
    </row>
    <row r="575" spans="1:7" x14ac:dyDescent="0.2">
      <c r="A575" t="s" s="0">
        <v>3422</v>
      </c>
      <c r="B575" s="2">
        <v>1235595</v>
      </c>
      <c r="C575" s="2">
        <v>20034</v>
      </c>
      <c r="D575" s="2">
        <v>41983</v>
      </c>
      <c r="E575" s="2">
        <v>36622</v>
      </c>
      <c r="F575" s="2">
        <v>32915</v>
      </c>
      <c r="G575" s="2">
        <v>45598</v>
      </c>
    </row>
    <row r="576" spans="1:7" x14ac:dyDescent="0.2">
      <c r="A576" t="s" s="0">
        <v>3421</v>
      </c>
      <c r="B576" s="2">
        <v>1253760</v>
      </c>
      <c r="C576" s="2">
        <v>30919</v>
      </c>
      <c r="D576" s="2">
        <v>33234</v>
      </c>
      <c r="E576" s="2">
        <v>36722</v>
      </c>
      <c r="F576" s="2">
        <v>28952</v>
      </c>
      <c r="G576" s="2">
        <v>46864</v>
      </c>
    </row>
    <row r="577" spans="1:7" x14ac:dyDescent="0.2">
      <c r="A577" t="s" s="0">
        <v>3420</v>
      </c>
      <c r="B577" s="2">
        <v>1239482</v>
      </c>
      <c r="C577" s="2">
        <v>34016</v>
      </c>
      <c r="D577" s="2">
        <v>34991</v>
      </c>
      <c r="E577" s="2">
        <v>36994</v>
      </c>
      <c r="F577" s="2">
        <v>34305</v>
      </c>
      <c r="G577" s="2">
        <v>45184</v>
      </c>
    </row>
    <row r="578" spans="1:7" x14ac:dyDescent="0.2">
      <c r="A578" t="s" s="0">
        <v>3419</v>
      </c>
      <c r="B578" s="2">
        <v>1231553</v>
      </c>
      <c r="C578" s="2">
        <v>31697</v>
      </c>
      <c r="D578" s="2">
        <v>33472</v>
      </c>
      <c r="E578" s="2">
        <v>36565</v>
      </c>
      <c r="F578" s="2">
        <v>31017</v>
      </c>
      <c r="G578" s="2">
        <v>40777</v>
      </c>
    </row>
    <row r="579" spans="1:7" x14ac:dyDescent="0.2">
      <c r="A579" t="s" s="0">
        <v>3418</v>
      </c>
      <c r="B579" s="2">
        <v>1239265</v>
      </c>
      <c r="C579" s="2">
        <v>40420</v>
      </c>
      <c r="D579" s="2">
        <v>33964</v>
      </c>
      <c r="E579" s="2">
        <v>35688</v>
      </c>
      <c r="F579" s="2">
        <v>30264</v>
      </c>
      <c r="G579" s="2">
        <v>42371</v>
      </c>
    </row>
    <row r="580" spans="1:7" x14ac:dyDescent="0.2">
      <c r="A580" t="s" s="0">
        <v>3417</v>
      </c>
      <c r="B580" s="3">
        <v>1239265</v>
      </c>
      <c r="C580" s="3">
        <v>40420</v>
      </c>
      <c r="D580" s="3">
        <v>33964</v>
      </c>
      <c r="E580" s="3">
        <v>35688</v>
      </c>
      <c r="F580" s="3">
        <v>30264</v>
      </c>
      <c r="G580" s="3">
        <v>42371</v>
      </c>
    </row>
    <row r="581" spans="1:7" x14ac:dyDescent="0.2">
      <c r="A581" t="s" s="0">
        <v>3416</v>
      </c>
      <c r="B581" s="3">
        <v>1239265</v>
      </c>
      <c r="C581" s="3">
        <v>40420</v>
      </c>
      <c r="D581" s="3">
        <v>33964</v>
      </c>
      <c r="E581" s="3">
        <v>35688</v>
      </c>
      <c r="F581" s="3">
        <v>30264</v>
      </c>
      <c r="G581" s="3">
        <v>42371</v>
      </c>
    </row>
    <row r="582" spans="1:7" x14ac:dyDescent="0.2">
      <c r="A582" t="s" s="0">
        <v>3415</v>
      </c>
      <c r="B582" s="2">
        <v>1194578</v>
      </c>
      <c r="C582" s="2">
        <v>20846</v>
      </c>
      <c r="D582" s="2">
        <v>37162</v>
      </c>
      <c r="E582" s="2">
        <v>37404</v>
      </c>
      <c r="F582" s="2">
        <v>30842</v>
      </c>
      <c r="G582" s="2">
        <v>39660</v>
      </c>
    </row>
    <row r="583" spans="1:7" x14ac:dyDescent="0.2">
      <c r="A583" t="s" s="0">
        <v>3414</v>
      </c>
      <c r="B583" s="2">
        <v>1153595</v>
      </c>
      <c r="C583" s="2">
        <v>39033</v>
      </c>
      <c r="D583" s="2">
        <v>38321</v>
      </c>
      <c r="E583" s="2">
        <v>37402</v>
      </c>
      <c r="F583" s="2">
        <v>23552</v>
      </c>
      <c r="G583" s="2">
        <v>39590</v>
      </c>
    </row>
    <row r="584" spans="1:7" x14ac:dyDescent="0.2">
      <c r="A584" t="s" s="0">
        <v>3413</v>
      </c>
      <c r="B584" s="2">
        <v>1133341</v>
      </c>
      <c r="C584" s="2">
        <v>29981</v>
      </c>
      <c r="D584" s="2">
        <v>36613</v>
      </c>
      <c r="E584" s="2">
        <v>37345</v>
      </c>
      <c r="F584" s="2">
        <v>20989</v>
      </c>
      <c r="G584" s="2">
        <v>38438</v>
      </c>
    </row>
    <row r="585" spans="1:7" x14ac:dyDescent="0.2">
      <c r="A585" t="s" s="0">
        <v>3412</v>
      </c>
      <c r="B585" s="2">
        <v>1156662</v>
      </c>
      <c r="C585" s="2">
        <v>34179</v>
      </c>
      <c r="D585" s="2">
        <v>37324</v>
      </c>
      <c r="E585" s="2">
        <v>37599</v>
      </c>
      <c r="F585" s="2">
        <v>26165</v>
      </c>
      <c r="G585" s="2">
        <v>35586</v>
      </c>
    </row>
    <row r="586" spans="1:7" x14ac:dyDescent="0.2">
      <c r="A586" t="s" s="0">
        <v>3411</v>
      </c>
      <c r="B586" s="2">
        <v>1117484</v>
      </c>
      <c r="C586" s="2">
        <v>39860</v>
      </c>
      <c r="D586" s="2">
        <v>37244</v>
      </c>
      <c r="E586" s="2">
        <v>37699</v>
      </c>
      <c r="F586" s="2">
        <v>19818</v>
      </c>
      <c r="G586" s="2">
        <v>32555</v>
      </c>
    </row>
    <row r="587" spans="1:7" x14ac:dyDescent="0.2">
      <c r="A587" t="s" s="0">
        <v>3410</v>
      </c>
      <c r="B587" s="3">
        <v>1117484</v>
      </c>
      <c r="C587" s="3">
        <v>39860</v>
      </c>
      <c r="D587" s="3">
        <v>37244</v>
      </c>
      <c r="E587" s="3">
        <v>37699</v>
      </c>
      <c r="F587" s="3">
        <v>19818</v>
      </c>
      <c r="G587" s="3">
        <v>32555</v>
      </c>
    </row>
    <row r="588" spans="1:7" x14ac:dyDescent="0.2">
      <c r="A588" t="s" s="0">
        <v>3409</v>
      </c>
      <c r="B588" s="3">
        <v>1117484</v>
      </c>
      <c r="C588" s="3">
        <v>39860</v>
      </c>
      <c r="D588" s="3">
        <v>37244</v>
      </c>
      <c r="E588" s="3">
        <v>37699</v>
      </c>
      <c r="F588" s="3">
        <v>19818</v>
      </c>
      <c r="G588" s="3">
        <v>32555</v>
      </c>
    </row>
    <row r="589" spans="1:7" x14ac:dyDescent="0.2">
      <c r="A589" t="s" s="0">
        <v>3408</v>
      </c>
      <c r="B589" s="2">
        <v>1054758</v>
      </c>
      <c r="C589" s="2">
        <v>22687</v>
      </c>
      <c r="D589" s="2">
        <v>36253</v>
      </c>
      <c r="E589" s="2">
        <v>37871</v>
      </c>
      <c r="F589" s="2">
        <v>16195</v>
      </c>
      <c r="G589" s="2">
        <v>32194</v>
      </c>
    </row>
    <row r="590" spans="1:7" x14ac:dyDescent="0.2">
      <c r="A590" t="s" s="0">
        <v>3407</v>
      </c>
      <c r="B590" s="2">
        <v>1121212</v>
      </c>
      <c r="C590" s="2">
        <v>30042</v>
      </c>
      <c r="D590" s="2">
        <v>35254</v>
      </c>
      <c r="E590" s="2">
        <v>37877</v>
      </c>
      <c r="F590" s="2">
        <v>30545</v>
      </c>
      <c r="G590" s="2">
        <v>34488</v>
      </c>
    </row>
    <row r="591" spans="1:7" x14ac:dyDescent="0.2">
      <c r="A591" t="s" s="0">
        <v>3406</v>
      </c>
      <c r="B591" s="2">
        <v>1082346</v>
      </c>
      <c r="C591" s="2">
        <v>32348</v>
      </c>
      <c r="D591" s="2">
        <v>35479</v>
      </c>
      <c r="E591" s="2">
        <v>37730</v>
      </c>
      <c r="F591" s="2">
        <v>28111</v>
      </c>
      <c r="G591" s="2">
        <v>27762</v>
      </c>
    </row>
    <row r="592" spans="1:7" x14ac:dyDescent="0.2">
      <c r="A592" t="s" s="0">
        <v>3405</v>
      </c>
      <c r="B592" s="2">
        <v>1031501</v>
      </c>
      <c r="C592" s="2">
        <v>45996</v>
      </c>
      <c r="D592" s="2">
        <v>37518</v>
      </c>
      <c r="E592" s="2">
        <v>38338</v>
      </c>
      <c r="F592" s="2">
        <v>19468</v>
      </c>
      <c r="G592" s="2">
        <v>27744</v>
      </c>
    </row>
    <row r="593" spans="1:7" x14ac:dyDescent="0.2">
      <c r="A593" t="s" s="0">
        <v>3404</v>
      </c>
      <c r="B593" s="2">
        <v>1016923</v>
      </c>
      <c r="C593" s="2">
        <v>43301</v>
      </c>
      <c r="D593" s="2">
        <v>38388</v>
      </c>
      <c r="E593" s="2">
        <v>37839</v>
      </c>
      <c r="F593" s="2">
        <v>22926</v>
      </c>
      <c r="G593" s="2">
        <v>26469</v>
      </c>
    </row>
    <row r="594" spans="1:7" x14ac:dyDescent="0.2">
      <c r="A594" t="s" s="0">
        <v>3403</v>
      </c>
      <c r="B594" s="3">
        <v>1016923</v>
      </c>
      <c r="C594" s="3">
        <v>43301</v>
      </c>
      <c r="D594" s="3">
        <v>38388</v>
      </c>
      <c r="E594" s="3">
        <v>37839</v>
      </c>
      <c r="F594" s="3">
        <v>22926</v>
      </c>
      <c r="G594" s="3">
        <v>26469</v>
      </c>
    </row>
    <row r="595" spans="1:7" x14ac:dyDescent="0.2">
      <c r="A595" t="s" s="0">
        <v>3402</v>
      </c>
      <c r="B595" s="3">
        <v>1016923</v>
      </c>
      <c r="C595" s="3">
        <v>43301</v>
      </c>
      <c r="D595" s="3">
        <v>38388</v>
      </c>
      <c r="E595" s="3">
        <v>37839</v>
      </c>
      <c r="F595" s="3">
        <v>22926</v>
      </c>
      <c r="G595" s="3">
        <v>26469</v>
      </c>
    </row>
    <row r="596" spans="1:7" x14ac:dyDescent="0.2">
      <c r="A596" t="s" s="0">
        <v>3401</v>
      </c>
      <c r="B596" s="2">
        <v>966146</v>
      </c>
      <c r="C596" s="2">
        <v>21444</v>
      </c>
      <c r="D596" s="2">
        <v>42283</v>
      </c>
      <c r="E596" s="2">
        <v>39420</v>
      </c>
      <c r="F596" s="2">
        <v>28528</v>
      </c>
      <c r="G596" s="2">
        <v>27120</v>
      </c>
    </row>
    <row r="597" spans="1:7" x14ac:dyDescent="0.2">
      <c r="A597" t="s" s="0">
        <v>3400</v>
      </c>
      <c r="B597" s="2">
        <v>975294</v>
      </c>
      <c r="C597" s="2">
        <v>31604</v>
      </c>
      <c r="D597" s="2">
        <v>42220</v>
      </c>
      <c r="E597" s="2">
        <v>37257</v>
      </c>
      <c r="F597" s="2">
        <v>20278</v>
      </c>
      <c r="G597" s="2">
        <v>25832</v>
      </c>
    </row>
    <row r="598" spans="1:7" x14ac:dyDescent="0.2">
      <c r="A598" t="s" s="0">
        <v>3399</v>
      </c>
      <c r="B598" s="2">
        <v>985150</v>
      </c>
      <c r="C598" s="2">
        <v>33290</v>
      </c>
      <c r="D598" s="2">
        <v>41496</v>
      </c>
      <c r="E598" s="2">
        <v>37145</v>
      </c>
      <c r="F598" s="2">
        <v>26515</v>
      </c>
      <c r="G598" s="2">
        <v>27480</v>
      </c>
    </row>
    <row r="599" spans="1:7" x14ac:dyDescent="0.2">
      <c r="A599" t="s" s="0">
        <v>3398</v>
      </c>
      <c r="B599" s="2">
        <v>942048</v>
      </c>
      <c r="C599" s="2">
        <v>43322</v>
      </c>
      <c r="D599" s="2">
        <v>40406</v>
      </c>
      <c r="E599" s="2">
        <v>37180</v>
      </c>
      <c r="F599" s="2">
        <v>26618</v>
      </c>
      <c r="G599" s="2">
        <v>25817</v>
      </c>
    </row>
    <row r="600" spans="1:7" x14ac:dyDescent="0.2">
      <c r="A600" t="s" s="0">
        <v>3397</v>
      </c>
      <c r="B600" s="2">
        <v>913990</v>
      </c>
      <c r="C600" s="2">
        <v>32317</v>
      </c>
      <c r="D600" s="2">
        <v>38458</v>
      </c>
      <c r="E600" s="2">
        <v>37014</v>
      </c>
      <c r="F600" s="2">
        <v>23288</v>
      </c>
      <c r="G600" s="2">
        <v>24074</v>
      </c>
    </row>
    <row r="601" spans="1:7" x14ac:dyDescent="0.2">
      <c r="A601" t="s" s="0">
        <v>3396</v>
      </c>
      <c r="B601" s="3">
        <v>913990</v>
      </c>
      <c r="C601" s="3">
        <v>32317</v>
      </c>
      <c r="D601" s="3">
        <v>38458</v>
      </c>
      <c r="E601" s="3">
        <v>37014</v>
      </c>
      <c r="F601" s="3">
        <v>23288</v>
      </c>
      <c r="G601" s="3">
        <v>24074</v>
      </c>
    </row>
    <row r="602" spans="1:7" x14ac:dyDescent="0.2">
      <c r="A602" t="s" s="0">
        <v>3395</v>
      </c>
      <c r="B602" s="3">
        <v>913990</v>
      </c>
      <c r="C602" s="3">
        <v>32317</v>
      </c>
      <c r="D602" s="3">
        <v>38458</v>
      </c>
      <c r="E602" s="3">
        <v>37014</v>
      </c>
      <c r="F602" s="3">
        <v>23288</v>
      </c>
      <c r="G602" s="3">
        <v>24074</v>
      </c>
    </row>
    <row r="603" spans="1:7" x14ac:dyDescent="0.2">
      <c r="A603" t="s" s="0">
        <v>3394</v>
      </c>
      <c r="B603" s="2">
        <v>895352</v>
      </c>
      <c r="C603" s="2">
        <v>22220</v>
      </c>
      <c r="D603" s="2">
        <v>32671</v>
      </c>
      <c r="E603" s="2">
        <v>37092</v>
      </c>
      <c r="F603" s="2">
        <v>22092</v>
      </c>
      <c r="G603" s="2">
        <v>24414</v>
      </c>
    </row>
    <row r="604" spans="1:7" x14ac:dyDescent="0.2">
      <c r="A604" t="s" s="0">
        <v>3393</v>
      </c>
      <c r="B604" s="2">
        <v>913902</v>
      </c>
      <c r="C604" s="2">
        <v>41454</v>
      </c>
      <c r="D604" s="2">
        <v>34078</v>
      </c>
      <c r="E604" s="2">
        <v>37468</v>
      </c>
      <c r="F604" s="2">
        <v>24842</v>
      </c>
      <c r="G604" s="2">
        <v>24804</v>
      </c>
    </row>
    <row r="605" spans="1:7" x14ac:dyDescent="0.2">
      <c r="A605" t="s" s="0">
        <v>3392</v>
      </c>
      <c r="B605" s="2">
        <v>984117</v>
      </c>
      <c r="C605" s="2">
        <v>31025</v>
      </c>
      <c r="D605" s="2">
        <v>33754</v>
      </c>
      <c r="E605" s="2">
        <v>36836</v>
      </c>
      <c r="F605" s="2">
        <v>33141</v>
      </c>
      <c r="G605" s="2">
        <v>27189</v>
      </c>
    </row>
    <row r="606" spans="1:7" x14ac:dyDescent="0.2">
      <c r="A606" t="s" s="0">
        <v>3391</v>
      </c>
      <c r="B606" s="2">
        <v>940770</v>
      </c>
      <c r="C606" s="2">
        <v>40178</v>
      </c>
      <c r="D606" s="2">
        <v>33768</v>
      </c>
      <c r="E606" s="2">
        <v>37254</v>
      </c>
      <c r="F606" s="2">
        <v>33120</v>
      </c>
      <c r="G606" s="2">
        <v>26343</v>
      </c>
    </row>
    <row r="607" spans="1:7" x14ac:dyDescent="0.2">
      <c r="A607" t="s" s="0">
        <v>3390</v>
      </c>
      <c r="B607" s="2">
        <v>910389</v>
      </c>
      <c r="C607" s="2">
        <v>35445</v>
      </c>
      <c r="D607" s="2">
        <v>36642</v>
      </c>
      <c r="E607" s="2">
        <v>37683</v>
      </c>
      <c r="F607" s="2">
        <v>35557</v>
      </c>
      <c r="G607" s="2">
        <v>25397</v>
      </c>
    </row>
    <row r="608" spans="1:7" x14ac:dyDescent="0.2">
      <c r="A608" t="s" s="0">
        <v>3389</v>
      </c>
      <c r="B608" s="3">
        <v>910389</v>
      </c>
      <c r="C608" s="3">
        <v>35445</v>
      </c>
      <c r="D608" s="3">
        <v>36642</v>
      </c>
      <c r="E608" s="3">
        <v>37683</v>
      </c>
      <c r="F608" s="3">
        <v>35557</v>
      </c>
      <c r="G608" s="3">
        <v>25397</v>
      </c>
    </row>
    <row r="609" spans="1:7" x14ac:dyDescent="0.2">
      <c r="A609" t="s" s="0">
        <v>3388</v>
      </c>
      <c r="B609" s="3">
        <v>910389</v>
      </c>
      <c r="C609" s="3">
        <v>35445</v>
      </c>
      <c r="D609" s="3">
        <v>36642</v>
      </c>
      <c r="E609" s="3">
        <v>37683</v>
      </c>
      <c r="F609" s="3">
        <v>35557</v>
      </c>
      <c r="G609" s="3">
        <v>25397</v>
      </c>
    </row>
    <row r="610" spans="1:7" x14ac:dyDescent="0.2">
      <c r="A610" t="s" s="0">
        <v>3387</v>
      </c>
      <c r="B610" s="2">
        <v>876344</v>
      </c>
      <c r="C610" s="2">
        <v>21678</v>
      </c>
      <c r="D610" s="2">
        <v>37579</v>
      </c>
      <c r="E610" s="2">
        <v>37196</v>
      </c>
      <c r="F610" s="2">
        <v>34294</v>
      </c>
      <c r="G610" s="2">
        <v>25277</v>
      </c>
    </row>
    <row r="611" spans="1:7" x14ac:dyDescent="0.2">
      <c r="A611" t="s" s="0">
        <v>3386</v>
      </c>
      <c r="B611" s="2">
        <v>825588</v>
      </c>
      <c r="C611" s="2">
        <v>32169</v>
      </c>
      <c r="D611" s="2">
        <v>38704</v>
      </c>
      <c r="E611" s="2">
        <v>37358</v>
      </c>
      <c r="F611" s="2">
        <v>15578</v>
      </c>
      <c r="G611" s="2">
        <v>25836</v>
      </c>
    </row>
    <row r="612" spans="1:7" x14ac:dyDescent="0.2">
      <c r="A612" t="s" s="0">
        <v>3385</v>
      </c>
      <c r="B612" s="2">
        <v>864527</v>
      </c>
      <c r="C612" s="2">
        <v>33593</v>
      </c>
      <c r="D612" s="2">
        <v>37300</v>
      </c>
      <c r="E612" s="2">
        <v>37248</v>
      </c>
      <c r="F612" s="2">
        <v>25930</v>
      </c>
      <c r="G612" s="2">
        <v>26284</v>
      </c>
    </row>
    <row r="613" spans="1:7" x14ac:dyDescent="0.2">
      <c r="A613" t="s" s="0">
        <v>3384</v>
      </c>
      <c r="B613" s="2">
        <v>921451</v>
      </c>
      <c r="C613" s="2">
        <v>35966</v>
      </c>
      <c r="D613" s="2">
        <v>34948</v>
      </c>
      <c r="E613" s="2">
        <v>37109</v>
      </c>
      <c r="F613" s="2">
        <v>36063</v>
      </c>
      <c r="G613" s="2">
        <v>29459</v>
      </c>
    </row>
    <row r="614" spans="1:7" x14ac:dyDescent="0.2">
      <c r="A614" t="s" s="0">
        <v>3383</v>
      </c>
      <c r="B614" s="3">
        <v>921451</v>
      </c>
      <c r="C614" s="3">
        <v>35966</v>
      </c>
      <c r="D614" s="3">
        <v>34948</v>
      </c>
      <c r="E614" s="3">
        <v>37109</v>
      </c>
      <c r="F614" s="3">
        <v>36063</v>
      </c>
      <c r="G614" s="3">
        <v>29459</v>
      </c>
    </row>
    <row r="615" spans="1:7" x14ac:dyDescent="0.2">
      <c r="A615" t="s" s="0">
        <v>3382</v>
      </c>
      <c r="B615" s="3">
        <v>921451</v>
      </c>
      <c r="C615" s="3">
        <v>35966</v>
      </c>
      <c r="D615" s="3">
        <v>34948</v>
      </c>
      <c r="E615" s="3">
        <v>37109</v>
      </c>
      <c r="F615" s="3">
        <v>36063</v>
      </c>
      <c r="G615" s="3">
        <v>29459</v>
      </c>
    </row>
    <row r="616" spans="1:7" x14ac:dyDescent="0.2">
      <c r="A616" t="s" s="0">
        <v>3381</v>
      </c>
      <c r="B616" s="2">
        <v>956499</v>
      </c>
      <c r="C616" s="2">
        <v>19956</v>
      </c>
      <c r="D616" s="2">
        <v>36115</v>
      </c>
      <c r="E616" s="2">
        <v>37162</v>
      </c>
      <c r="F616" s="2">
        <v>47102</v>
      </c>
      <c r="G616" s="2">
        <v>33004</v>
      </c>
    </row>
    <row r="617" spans="1:7" x14ac:dyDescent="0.2">
      <c r="A617" t="s" s="0">
        <v>3380</v>
      </c>
      <c r="B617" s="2">
        <v>977110</v>
      </c>
      <c r="C617" s="2">
        <v>39380</v>
      </c>
      <c r="D617" s="2">
        <v>35573</v>
      </c>
      <c r="E617" s="2">
        <v>37424</v>
      </c>
      <c r="F617" s="2">
        <v>51387</v>
      </c>
      <c r="G617" s="2">
        <v>31629</v>
      </c>
    </row>
    <row r="618" spans="1:7" x14ac:dyDescent="0.2">
      <c r="A618" t="s" s="0">
        <v>3379</v>
      </c>
      <c r="B618" s="2">
        <v>938143</v>
      </c>
      <c r="C618" s="2">
        <v>33590</v>
      </c>
      <c r="D618" s="2">
        <v>35715</v>
      </c>
      <c r="E618" s="2">
        <v>37417</v>
      </c>
      <c r="F618" s="2">
        <v>51238</v>
      </c>
      <c r="G618" s="2">
        <v>31618</v>
      </c>
    </row>
    <row r="619" spans="1:7" x14ac:dyDescent="0.2">
      <c r="A619" t="s" s="0">
        <v>3378</v>
      </c>
      <c r="B619" s="2">
        <v>947697</v>
      </c>
      <c r="C619" s="2">
        <v>39989</v>
      </c>
      <c r="D619" s="2">
        <v>36629</v>
      </c>
      <c r="E619" s="2">
        <v>37026</v>
      </c>
      <c r="F619" s="2">
        <v>47954</v>
      </c>
      <c r="G619" s="2">
        <v>33405</v>
      </c>
    </row>
    <row r="620" spans="1:7" x14ac:dyDescent="0.2">
      <c r="A620" t="s" s="0">
        <v>3377</v>
      </c>
      <c r="B620" s="2">
        <v>921564</v>
      </c>
      <c r="C620" s="2">
        <v>26393</v>
      </c>
      <c r="D620" s="2">
        <v>35261</v>
      </c>
      <c r="E620" s="2">
        <v>36327</v>
      </c>
      <c r="F620" s="2">
        <v>35278</v>
      </c>
      <c r="G620" s="2">
        <v>32547</v>
      </c>
    </row>
    <row r="621" spans="1:7" x14ac:dyDescent="0.2">
      <c r="A621" t="s" s="0">
        <v>3376</v>
      </c>
      <c r="B621" s="3">
        <v>921564</v>
      </c>
      <c r="C621" s="3">
        <v>26393</v>
      </c>
      <c r="D621" s="3">
        <v>35261</v>
      </c>
      <c r="E621" s="3">
        <v>36327</v>
      </c>
      <c r="F621" s="3">
        <v>35278</v>
      </c>
      <c r="G621" s="3">
        <v>32547</v>
      </c>
    </row>
    <row r="622" spans="1:7" x14ac:dyDescent="0.2">
      <c r="A622" t="s" s="0">
        <v>3375</v>
      </c>
      <c r="B622" s="3">
        <v>921564</v>
      </c>
      <c r="C622" s="3">
        <v>26393</v>
      </c>
      <c r="D622" s="3">
        <v>35261</v>
      </c>
      <c r="E622" s="3">
        <v>36327</v>
      </c>
      <c r="F622" s="3">
        <v>35278</v>
      </c>
      <c r="G622" s="3">
        <v>32547</v>
      </c>
    </row>
    <row r="623" spans="1:7" x14ac:dyDescent="0.2">
      <c r="A623" t="s" s="0">
        <v>3374</v>
      </c>
      <c r="B623" s="2">
        <v>994347</v>
      </c>
      <c r="C623" s="2">
        <v>20305</v>
      </c>
      <c r="D623" s="2">
        <v>34106</v>
      </c>
      <c r="E623" s="2">
        <v>35118</v>
      </c>
      <c r="F623" s="2">
        <v>37681</v>
      </c>
      <c r="G623" s="2">
        <v>35292</v>
      </c>
    </row>
    <row r="624" spans="1:7" x14ac:dyDescent="0.2">
      <c r="A624" t="s" s="0">
        <v>3373</v>
      </c>
      <c r="B624" s="2">
        <v>963661</v>
      </c>
      <c r="C624" s="2">
        <v>26991</v>
      </c>
      <c r="D624" s="2">
        <v>32336</v>
      </c>
      <c r="E624" s="2">
        <v>34953</v>
      </c>
      <c r="F624" s="2">
        <v>28583</v>
      </c>
      <c r="G624" s="2">
        <v>33705</v>
      </c>
    </row>
    <row r="625" spans="1:7" x14ac:dyDescent="0.2">
      <c r="A625" t="s" s="0">
        <v>3372</v>
      </c>
      <c r="B625" s="2">
        <v>925550</v>
      </c>
      <c r="C625" s="2">
        <v>32612</v>
      </c>
      <c r="D625" s="2">
        <v>32256</v>
      </c>
      <c r="E625" s="2">
        <v>35107</v>
      </c>
      <c r="F625" s="2">
        <v>28625</v>
      </c>
      <c r="G625" s="2">
        <v>32146</v>
      </c>
    </row>
    <row r="626" spans="1:7" x14ac:dyDescent="0.2">
      <c r="A626" t="s" s="0">
        <v>3371</v>
      </c>
      <c r="B626" s="2">
        <v>950176</v>
      </c>
      <c r="C626" s="2">
        <v>35290</v>
      </c>
      <c r="D626" s="2">
        <v>31585</v>
      </c>
      <c r="E626" s="2">
        <v>34821</v>
      </c>
      <c r="F626" s="2">
        <v>30107</v>
      </c>
      <c r="G626" s="2">
        <v>34278</v>
      </c>
    </row>
    <row r="627" spans="1:7" x14ac:dyDescent="0.2">
      <c r="A627" t="s" s="0">
        <v>3370</v>
      </c>
      <c r="B627" s="2">
        <v>945698</v>
      </c>
      <c r="C627" s="2">
        <v>39263</v>
      </c>
      <c r="D627" s="2">
        <v>33424</v>
      </c>
      <c r="E627" s="2">
        <v>35069</v>
      </c>
      <c r="F627" s="2">
        <v>34297</v>
      </c>
      <c r="G627" s="2">
        <v>35299</v>
      </c>
    </row>
    <row r="628" spans="1:7" x14ac:dyDescent="0.2">
      <c r="A628" t="s" s="0">
        <v>3369</v>
      </c>
      <c r="B628" s="3">
        <v>945698</v>
      </c>
      <c r="C628" s="3">
        <v>39263</v>
      </c>
      <c r="D628" s="3">
        <v>33424</v>
      </c>
      <c r="E628" s="3">
        <v>35069</v>
      </c>
      <c r="F628" s="3">
        <v>34297</v>
      </c>
      <c r="G628" s="3">
        <v>35299</v>
      </c>
    </row>
    <row r="629" spans="1:7" x14ac:dyDescent="0.2">
      <c r="A629" t="s" s="0">
        <v>3368</v>
      </c>
      <c r="B629" s="3">
        <v>945698</v>
      </c>
      <c r="C629" s="3">
        <v>39263</v>
      </c>
      <c r="D629" s="3">
        <v>33424</v>
      </c>
      <c r="E629" s="3">
        <v>35069</v>
      </c>
      <c r="F629" s="3">
        <v>34297</v>
      </c>
      <c r="G629" s="3">
        <v>35299</v>
      </c>
    </row>
    <row r="630" spans="1:7" x14ac:dyDescent="0.2">
      <c r="A630" t="s" s="0">
        <v>3367</v>
      </c>
      <c r="B630" s="2">
        <v>903772</v>
      </c>
      <c r="C630" s="2">
        <v>19103</v>
      </c>
      <c r="D630" s="2">
        <v>31525</v>
      </c>
      <c r="E630" s="2">
        <v>34831</v>
      </c>
      <c r="F630" s="2">
        <v>17843</v>
      </c>
      <c r="G630" s="2">
        <v>34230</v>
      </c>
    </row>
    <row r="631" spans="1:7" x14ac:dyDescent="0.2">
      <c r="A631" t="s" s="0">
        <v>3366</v>
      </c>
      <c r="B631" s="2">
        <v>916781</v>
      </c>
      <c r="C631" s="2">
        <v>36974</v>
      </c>
      <c r="D631" s="2">
        <v>32951</v>
      </c>
      <c r="E631" s="2">
        <v>34671</v>
      </c>
      <c r="F631" s="2">
        <v>25512</v>
      </c>
      <c r="G631" s="2">
        <v>33872</v>
      </c>
    </row>
    <row r="632" spans="1:7" x14ac:dyDescent="0.2">
      <c r="A632" t="s" s="0">
        <v>3365</v>
      </c>
      <c r="B632" s="2">
        <v>910041</v>
      </c>
      <c r="C632" s="2">
        <v>42451</v>
      </c>
      <c r="D632" s="2">
        <v>35047</v>
      </c>
      <c r="E632" s="2">
        <v>35431</v>
      </c>
      <c r="F632" s="2">
        <v>32090</v>
      </c>
      <c r="G632" s="2">
        <v>31883</v>
      </c>
    </row>
    <row r="633" spans="1:7" x14ac:dyDescent="0.2">
      <c r="A633" t="s" s="0">
        <v>3364</v>
      </c>
      <c r="B633" s="2">
        <v>874319</v>
      </c>
      <c r="C633" s="2">
        <v>28721</v>
      </c>
      <c r="D633" s="2">
        <v>35109</v>
      </c>
      <c r="E633" s="2">
        <v>35156</v>
      </c>
      <c r="F633" s="2">
        <v>23530</v>
      </c>
      <c r="G633" s="2">
        <v>31880</v>
      </c>
    </row>
    <row r="634" spans="1:7" x14ac:dyDescent="0.2">
      <c r="A634" t="s" s="0">
        <v>3363</v>
      </c>
      <c r="B634" s="2">
        <v>892425</v>
      </c>
      <c r="C634" s="2">
        <v>36058</v>
      </c>
      <c r="D634" s="2">
        <v>34651</v>
      </c>
      <c r="E634" s="2">
        <v>34571</v>
      </c>
      <c r="F634" s="2">
        <v>26442</v>
      </c>
      <c r="G634" s="2">
        <v>33020</v>
      </c>
    </row>
    <row r="635" spans="1:7" x14ac:dyDescent="0.2">
      <c r="A635" t="s" s="0">
        <v>3362</v>
      </c>
      <c r="B635" s="3">
        <v>892425</v>
      </c>
      <c r="C635" s="3">
        <v>36058</v>
      </c>
      <c r="D635" s="3">
        <v>34651</v>
      </c>
      <c r="E635" s="3">
        <v>34571</v>
      </c>
      <c r="F635" s="3">
        <v>26442</v>
      </c>
      <c r="G635" s="3">
        <v>33020</v>
      </c>
    </row>
    <row r="636" spans="1:7" x14ac:dyDescent="0.2">
      <c r="A636" t="s" s="0">
        <v>3361</v>
      </c>
      <c r="B636" s="3">
        <v>892425</v>
      </c>
      <c r="C636" s="3">
        <v>36058</v>
      </c>
      <c r="D636" s="3">
        <v>34651</v>
      </c>
      <c r="E636" s="3">
        <v>34571</v>
      </c>
      <c r="F636" s="3">
        <v>26442</v>
      </c>
      <c r="G636" s="3">
        <v>33020</v>
      </c>
    </row>
    <row r="637" spans="1:7" x14ac:dyDescent="0.2">
      <c r="A637" t="s" s="0">
        <v>3360</v>
      </c>
      <c r="B637" s="2">
        <v>869518</v>
      </c>
      <c r="C637" s="2">
        <v>20663</v>
      </c>
      <c r="D637" s="2">
        <v>38482</v>
      </c>
      <c r="E637" s="2">
        <v>35057</v>
      </c>
      <c r="F637" s="2">
        <v>32990</v>
      </c>
      <c r="G637" s="2">
        <v>33904</v>
      </c>
    </row>
    <row r="638" spans="1:7" x14ac:dyDescent="0.2">
      <c r="A638" t="s" s="0">
        <v>3359</v>
      </c>
      <c r="B638" s="2">
        <v>866942</v>
      </c>
      <c r="C638" s="2">
        <v>32761</v>
      </c>
      <c r="D638" s="2">
        <v>37880</v>
      </c>
      <c r="E638" s="2">
        <v>34685</v>
      </c>
      <c r="F638" s="2">
        <v>30162</v>
      </c>
      <c r="G638" s="2">
        <v>33911</v>
      </c>
    </row>
    <row r="639" spans="1:7" x14ac:dyDescent="0.2">
      <c r="A639" t="s" s="0">
        <v>3358</v>
      </c>
      <c r="B639" s="2">
        <v>811981</v>
      </c>
      <c r="C639" s="2">
        <v>39261</v>
      </c>
      <c r="D639" s="2">
        <v>39691</v>
      </c>
      <c r="E639" s="2">
        <v>35678</v>
      </c>
      <c r="F639" s="2">
        <v>25084</v>
      </c>
      <c r="G639" s="2">
        <v>34259</v>
      </c>
    </row>
    <row r="640" spans="1:7" x14ac:dyDescent="0.2">
      <c r="A640" t="s" s="0">
        <v>3357</v>
      </c>
      <c r="B640" s="2">
        <v>771475</v>
      </c>
      <c r="C640" s="2">
        <v>44710</v>
      </c>
      <c r="D640" s="2">
        <v>41694</v>
      </c>
      <c r="E640" s="2">
        <v>36254</v>
      </c>
      <c r="F640" s="2">
        <v>26403</v>
      </c>
      <c r="G640" s="2">
        <v>31999</v>
      </c>
    </row>
    <row r="641" spans="1:7" x14ac:dyDescent="0.2">
      <c r="A641" t="s" s="0">
        <v>3356</v>
      </c>
      <c r="B641" s="2">
        <v>828353</v>
      </c>
      <c r="C641" s="2">
        <v>42086</v>
      </c>
      <c r="D641" s="2">
        <v>42555</v>
      </c>
      <c r="E641" s="2">
        <v>36473</v>
      </c>
      <c r="F641" s="2">
        <v>32621</v>
      </c>
      <c r="G641" s="2">
        <v>32159</v>
      </c>
    </row>
    <row r="642" spans="1:7" x14ac:dyDescent="0.2">
      <c r="A642" t="s" s="0">
        <v>3355</v>
      </c>
      <c r="B642" s="3">
        <v>828353</v>
      </c>
      <c r="C642" s="3">
        <v>42086</v>
      </c>
      <c r="D642" s="3">
        <v>42555</v>
      </c>
      <c r="E642" s="3">
        <v>36473</v>
      </c>
      <c r="F642" s="3">
        <v>32621</v>
      </c>
      <c r="G642" s="3">
        <v>32159</v>
      </c>
    </row>
    <row r="643" spans="1:7" x14ac:dyDescent="0.2">
      <c r="A643" t="s" s="0">
        <v>3354</v>
      </c>
      <c r="B643" s="3">
        <v>828353</v>
      </c>
      <c r="C643" s="3">
        <v>42086</v>
      </c>
      <c r="D643" s="3">
        <v>42555</v>
      </c>
      <c r="E643" s="3">
        <v>36473</v>
      </c>
      <c r="F643" s="3">
        <v>32621</v>
      </c>
      <c r="G643" s="3">
        <v>32159</v>
      </c>
    </row>
    <row r="644" spans="1:7" x14ac:dyDescent="0.2">
      <c r="A644" t="s" s="0">
        <v>3353</v>
      </c>
      <c r="B644" s="2">
        <v>889338</v>
      </c>
      <c r="C644" s="2">
        <v>23077</v>
      </c>
      <c r="D644" s="2">
        <v>40503</v>
      </c>
      <c r="E644" s="2">
        <v>36154</v>
      </c>
      <c r="F644" s="2">
        <v>42554</v>
      </c>
      <c r="G644" s="2">
        <v>32767</v>
      </c>
    </row>
    <row r="645" spans="1:7" x14ac:dyDescent="0.2">
      <c r="A645" t="s" s="0">
        <v>3352</v>
      </c>
      <c r="B645" s="2">
        <v>840904</v>
      </c>
      <c r="C645" s="2">
        <v>41584</v>
      </c>
      <c r="D645" s="2">
        <v>42650</v>
      </c>
      <c r="E645" s="2">
        <v>36454</v>
      </c>
      <c r="F645" s="2">
        <v>38149</v>
      </c>
      <c r="G645" s="2">
        <v>30601</v>
      </c>
    </row>
    <row r="646" spans="1:7" x14ac:dyDescent="0.2">
      <c r="A646" t="s" s="0">
        <v>3351</v>
      </c>
      <c r="B646" s="2">
        <v>784067</v>
      </c>
      <c r="C646" s="2">
        <v>39838</v>
      </c>
      <c r="D646" s="2">
        <v>41489</v>
      </c>
      <c r="E646" s="2">
        <v>37121</v>
      </c>
      <c r="F646" s="2">
        <v>36721</v>
      </c>
      <c r="G646" s="2">
        <v>30630</v>
      </c>
    </row>
    <row r="647" spans="1:7" x14ac:dyDescent="0.2">
      <c r="A647" t="s" s="0">
        <v>3350</v>
      </c>
      <c r="B647" s="2">
        <v>858125</v>
      </c>
      <c r="C647" s="2">
        <v>43883</v>
      </c>
      <c r="D647" s="2">
        <v>42155</v>
      </c>
      <c r="E647" s="2">
        <v>37636</v>
      </c>
      <c r="F647" s="2">
        <v>53753</v>
      </c>
      <c r="G647" s="2">
        <v>33448</v>
      </c>
    </row>
    <row r="648" spans="1:7" x14ac:dyDescent="0.2">
      <c r="A648" t="s" s="0">
        <v>3349</v>
      </c>
      <c r="B648" s="2">
        <v>868451</v>
      </c>
      <c r="C648" s="2">
        <v>37030</v>
      </c>
      <c r="D648" s="2">
        <v>40359</v>
      </c>
      <c r="E648" s="2">
        <v>37747</v>
      </c>
      <c r="F648" s="2">
        <v>44678</v>
      </c>
      <c r="G648" s="2">
        <v>34510</v>
      </c>
    </row>
    <row r="649" spans="1:7" x14ac:dyDescent="0.2">
      <c r="A649" t="s" s="0">
        <v>3348</v>
      </c>
      <c r="B649" s="3">
        <v>868451</v>
      </c>
      <c r="C649" s="3">
        <v>37030</v>
      </c>
      <c r="D649" s="3">
        <v>40359</v>
      </c>
      <c r="E649" s="3">
        <v>37747</v>
      </c>
      <c r="F649" s="3">
        <v>44678</v>
      </c>
      <c r="G649" s="3">
        <v>34510</v>
      </c>
    </row>
    <row r="650" spans="1:7" x14ac:dyDescent="0.2">
      <c r="A650" t="s" s="0">
        <v>3347</v>
      </c>
      <c r="B650" s="3">
        <v>868451</v>
      </c>
      <c r="C650" s="3">
        <v>37030</v>
      </c>
      <c r="D650" s="3">
        <v>40359</v>
      </c>
      <c r="E650" s="3">
        <v>37747</v>
      </c>
      <c r="F650" s="3">
        <v>44678</v>
      </c>
      <c r="G650" s="3">
        <v>34510</v>
      </c>
    </row>
    <row r="651" spans="1:7" x14ac:dyDescent="0.2">
      <c r="A651" t="s" s="0">
        <v>3346</v>
      </c>
      <c r="B651" s="2">
        <v>856348</v>
      </c>
      <c r="C651" s="2">
        <v>23699</v>
      </c>
      <c r="D651" s="2">
        <v>44313</v>
      </c>
      <c r="E651" s="2">
        <v>38706</v>
      </c>
      <c r="F651" s="2">
        <v>38191</v>
      </c>
      <c r="G651" s="2">
        <v>32894</v>
      </c>
    </row>
    <row r="652" spans="1:7" x14ac:dyDescent="0.2">
      <c r="A652" t="s" s="0">
        <v>3345</v>
      </c>
      <c r="B652" s="2">
        <v>869972</v>
      </c>
      <c r="C652" s="2">
        <v>40310</v>
      </c>
      <c r="D652" s="2">
        <v>44674</v>
      </c>
      <c r="E652" s="2">
        <v>39539</v>
      </c>
      <c r="F652" s="2">
        <v>47418</v>
      </c>
      <c r="G652" s="2">
        <v>35310</v>
      </c>
    </row>
    <row r="653" spans="1:7" x14ac:dyDescent="0.2">
      <c r="A653" t="s" s="0">
        <v>3344</v>
      </c>
      <c r="B653" s="2">
        <v>862712</v>
      </c>
      <c r="C653" s="2">
        <v>37260</v>
      </c>
      <c r="D653" s="2">
        <v>41878</v>
      </c>
      <c r="E653" s="2">
        <v>39526</v>
      </c>
      <c r="F653" s="2">
        <v>51703</v>
      </c>
      <c r="G653" s="2">
        <v>36400</v>
      </c>
    </row>
    <row r="654" spans="1:7" x14ac:dyDescent="0.2">
      <c r="A654" t="s" s="0">
        <v>3343</v>
      </c>
      <c r="B654" s="2">
        <v>980763</v>
      </c>
      <c r="C654" s="2">
        <v>35495</v>
      </c>
      <c r="D654" s="2">
        <v>39177</v>
      </c>
      <c r="E654" s="2">
        <v>39534</v>
      </c>
      <c r="F654" s="2">
        <v>55062</v>
      </c>
      <c r="G654" s="2">
        <v>39687</v>
      </c>
    </row>
    <row r="655" spans="1:7" x14ac:dyDescent="0.2">
      <c r="A655" t="s" s="0">
        <v>3342</v>
      </c>
      <c r="B655" s="2">
        <v>1011905</v>
      </c>
      <c r="C655" s="2">
        <v>39800</v>
      </c>
      <c r="D655" s="2">
        <v>42075</v>
      </c>
      <c r="E655" s="2">
        <v>39910</v>
      </c>
      <c r="F655" s="2">
        <v>61276</v>
      </c>
      <c r="G655" s="2">
        <v>41254</v>
      </c>
    </row>
    <row r="656" spans="1:7" x14ac:dyDescent="0.2">
      <c r="A656" t="s" s="0">
        <v>3341</v>
      </c>
      <c r="B656" s="3">
        <v>1011905</v>
      </c>
      <c r="C656" s="3">
        <v>39800</v>
      </c>
      <c r="D656" s="3">
        <v>42075</v>
      </c>
      <c r="E656" s="3">
        <v>39910</v>
      </c>
      <c r="F656" s="3">
        <v>61276</v>
      </c>
      <c r="G656" s="3">
        <v>41254</v>
      </c>
    </row>
    <row r="657" spans="1:7" x14ac:dyDescent="0.2">
      <c r="A657" t="s" s="0">
        <v>3340</v>
      </c>
      <c r="B657" s="3">
        <v>1011905</v>
      </c>
      <c r="C657" s="3">
        <v>39800</v>
      </c>
      <c r="D657" s="3">
        <v>42075</v>
      </c>
      <c r="E657" s="3">
        <v>39910</v>
      </c>
      <c r="F657" s="3">
        <v>61276</v>
      </c>
      <c r="G657" s="3">
        <v>41254</v>
      </c>
    </row>
    <row r="658" spans="1:7" x14ac:dyDescent="0.2">
      <c r="A658" t="s" s="0">
        <v>3339</v>
      </c>
      <c r="B658" s="2">
        <v>984999</v>
      </c>
      <c r="C658" s="2">
        <v>20501</v>
      </c>
      <c r="D658" s="2">
        <v>37733</v>
      </c>
      <c r="E658" s="2">
        <v>40258</v>
      </c>
      <c r="F658" s="2">
        <v>54819</v>
      </c>
      <c r="G658" s="2">
        <v>42138</v>
      </c>
    </row>
    <row r="659" spans="1:7" x14ac:dyDescent="0.2">
      <c r="A659" t="s" s="0">
        <v>3338</v>
      </c>
      <c r="B659" s="2">
        <v>966802</v>
      </c>
      <c r="C659" s="2">
        <v>37925</v>
      </c>
      <c r="D659" s="2">
        <v>35962</v>
      </c>
      <c r="E659" s="2">
        <v>40292</v>
      </c>
      <c r="F659" s="2">
        <v>48502</v>
      </c>
      <c r="G659" s="2">
        <v>41058</v>
      </c>
    </row>
    <row r="660" spans="1:7" x14ac:dyDescent="0.2">
      <c r="A660" t="s" s="0">
        <v>3337</v>
      </c>
      <c r="B660" s="2">
        <v>962619</v>
      </c>
      <c r="C660" s="2">
        <v>48807</v>
      </c>
      <c r="D660" s="2">
        <v>38287</v>
      </c>
      <c r="E660" s="2">
        <v>40336</v>
      </c>
      <c r="F660" s="2">
        <v>51267</v>
      </c>
      <c r="G660" s="2">
        <v>41194</v>
      </c>
    </row>
    <row r="661" spans="1:7" x14ac:dyDescent="0.2">
      <c r="A661" t="s" s="0">
        <v>3336</v>
      </c>
      <c r="B661" s="2">
        <v>998529</v>
      </c>
      <c r="C661" s="2">
        <v>35816</v>
      </c>
      <c r="D661" s="2">
        <v>39925</v>
      </c>
      <c r="E661" s="2">
        <v>40738</v>
      </c>
      <c r="F661" s="2">
        <v>41396</v>
      </c>
      <c r="G661" s="2">
        <v>44153</v>
      </c>
    </row>
    <row r="662" spans="1:7" x14ac:dyDescent="0.2">
      <c r="A662" t="s" s="0">
        <v>3335</v>
      </c>
      <c r="B662" s="2">
        <v>943345</v>
      </c>
      <c r="C662" s="2">
        <v>41596</v>
      </c>
      <c r="D662" s="2">
        <v>41607</v>
      </c>
      <c r="E662" s="2">
        <v>41649</v>
      </c>
      <c r="F662" s="2">
        <v>30902</v>
      </c>
      <c r="G662" s="2">
        <v>42369</v>
      </c>
    </row>
    <row r="663" spans="1:7" x14ac:dyDescent="0.2">
      <c r="A663" t="s" s="0">
        <v>3334</v>
      </c>
      <c r="B663" s="3">
        <v>943345</v>
      </c>
      <c r="C663" s="3">
        <v>41596</v>
      </c>
      <c r="D663" s="3">
        <v>41607</v>
      </c>
      <c r="E663" s="3">
        <v>41649</v>
      </c>
      <c r="F663" s="3">
        <v>30902</v>
      </c>
      <c r="G663" s="3">
        <v>42369</v>
      </c>
    </row>
    <row r="664" spans="1:7" x14ac:dyDescent="0.2">
      <c r="A664" t="s" s="0">
        <v>3333</v>
      </c>
      <c r="B664" s="3">
        <v>943345</v>
      </c>
      <c r="C664" s="3">
        <v>41596</v>
      </c>
      <c r="D664" s="3">
        <v>41607</v>
      </c>
      <c r="E664" s="3">
        <v>41649</v>
      </c>
      <c r="F664" s="3">
        <v>30902</v>
      </c>
      <c r="G664" s="3">
        <v>42369</v>
      </c>
    </row>
    <row r="665" spans="1:7" x14ac:dyDescent="0.2">
      <c r="A665" t="s" s="0">
        <v>3332</v>
      </c>
      <c r="B665" s="2">
        <v>912447</v>
      </c>
      <c r="C665" s="2">
        <v>22936</v>
      </c>
      <c r="D665" s="2">
        <v>42994</v>
      </c>
      <c r="E665" s="2">
        <v>41386</v>
      </c>
      <c r="F665" s="2">
        <v>31719</v>
      </c>
      <c r="G665" s="2">
        <v>41820</v>
      </c>
    </row>
    <row r="666" spans="1:7" x14ac:dyDescent="0.2">
      <c r="A666" t="s" s="0">
        <v>3331</v>
      </c>
      <c r="B666" s="2">
        <v>896599</v>
      </c>
      <c r="C666" s="2">
        <v>39857</v>
      </c>
      <c r="D666" s="2">
        <v>43270</v>
      </c>
      <c r="E666" s="2">
        <v>41639</v>
      </c>
      <c r="F666" s="2">
        <v>32330</v>
      </c>
      <c r="G666" s="2">
        <v>41600</v>
      </c>
    </row>
    <row r="667" spans="1:7" x14ac:dyDescent="0.2">
      <c r="A667" t="s" s="0">
        <v>3330</v>
      </c>
      <c r="B667" s="2">
        <v>846122</v>
      </c>
      <c r="C667" s="2">
        <v>46448</v>
      </c>
      <c r="D667" s="2">
        <v>45690</v>
      </c>
      <c r="E667" s="2">
        <v>41836</v>
      </c>
      <c r="F667" s="2">
        <v>28137</v>
      </c>
      <c r="G667" s="2">
        <v>41957</v>
      </c>
    </row>
    <row r="668" spans="1:7" x14ac:dyDescent="0.2">
      <c r="A668" t="s" s="0">
        <v>3329</v>
      </c>
      <c r="B668" s="2">
        <v>831341</v>
      </c>
      <c r="C668" s="2">
        <v>39086</v>
      </c>
      <c r="D668" s="2">
        <v>47416</v>
      </c>
      <c r="E668" s="2">
        <v>42169</v>
      </c>
      <c r="F668" s="2">
        <v>22048</v>
      </c>
      <c r="G668" s="2">
        <v>43065</v>
      </c>
    </row>
    <row r="669" spans="1:7" x14ac:dyDescent="0.2">
      <c r="A669" t="s" s="0">
        <v>3328</v>
      </c>
      <c r="B669" s="2">
        <v>886119</v>
      </c>
      <c r="C669" s="2">
        <v>41423</v>
      </c>
      <c r="D669" s="2">
        <v>45214</v>
      </c>
      <c r="E669" s="2">
        <v>42314</v>
      </c>
      <c r="F669" s="2">
        <v>36466</v>
      </c>
      <c r="G669" s="2">
        <v>43330</v>
      </c>
    </row>
    <row r="670" spans="1:7" x14ac:dyDescent="0.2">
      <c r="A670" t="s" s="0">
        <v>3327</v>
      </c>
      <c r="B670" s="3">
        <v>886119</v>
      </c>
      <c r="C670" s="3">
        <v>41423</v>
      </c>
      <c r="D670" s="3">
        <v>45214</v>
      </c>
      <c r="E670" s="3">
        <v>42314</v>
      </c>
      <c r="F670" s="3">
        <v>36466</v>
      </c>
      <c r="G670" s="3">
        <v>43330</v>
      </c>
    </row>
    <row r="671" spans="1:7" x14ac:dyDescent="0.2">
      <c r="A671" t="s" s="0">
        <v>3326</v>
      </c>
      <c r="B671" s="3">
        <v>886119</v>
      </c>
      <c r="C671" s="3">
        <v>41423</v>
      </c>
      <c r="D671" s="3">
        <v>45214</v>
      </c>
      <c r="E671" s="3">
        <v>42314</v>
      </c>
      <c r="F671" s="3">
        <v>36466</v>
      </c>
      <c r="G671" s="3">
        <v>43330</v>
      </c>
    </row>
    <row r="672" spans="1:7" x14ac:dyDescent="0.2">
      <c r="A672" t="s" s="0">
        <v>3325</v>
      </c>
      <c r="B672" s="2">
        <v>840856</v>
      </c>
      <c r="C672" s="2">
        <v>20830</v>
      </c>
      <c r="D672" s="2">
        <v>48767</v>
      </c>
      <c r="E672" s="2">
        <v>43452</v>
      </c>
      <c r="F672" s="2">
        <v>37778</v>
      </c>
      <c r="G672" s="2">
        <v>40627</v>
      </c>
    </row>
    <row r="673" spans="1:7" x14ac:dyDescent="0.2">
      <c r="A673" t="s" s="0">
        <v>3324</v>
      </c>
      <c r="B673" s="2">
        <v>804123</v>
      </c>
      <c r="C673" s="2">
        <v>36057</v>
      </c>
      <c r="D673" s="2">
        <v>48224</v>
      </c>
      <c r="E673" s="2">
        <v>43033</v>
      </c>
      <c r="F673" s="2">
        <v>34252</v>
      </c>
      <c r="G673" s="2">
        <v>40625</v>
      </c>
    </row>
    <row r="674" spans="1:7" x14ac:dyDescent="0.2">
      <c r="A674" t="s" s="0">
        <v>3323</v>
      </c>
      <c r="B674" s="2">
        <v>822600</v>
      </c>
      <c r="C674" s="2">
        <v>39609</v>
      </c>
      <c r="D674" s="2">
        <v>43814</v>
      </c>
      <c r="E674" s="2">
        <v>42417</v>
      </c>
      <c r="F674" s="2">
        <v>39764</v>
      </c>
      <c r="G674" s="2">
        <v>42718</v>
      </c>
    </row>
    <row r="675" spans="1:7" x14ac:dyDescent="0.2">
      <c r="A675" t="s" s="0">
        <v>3322</v>
      </c>
      <c r="B675" s="2">
        <v>852731</v>
      </c>
      <c r="C675" s="2">
        <v>42892</v>
      </c>
      <c r="D675" s="2">
        <v>41507</v>
      </c>
      <c r="E675" s="2">
        <v>42006</v>
      </c>
      <c r="F675" s="2">
        <v>44446</v>
      </c>
      <c r="G675" s="2">
        <v>40738</v>
      </c>
    </row>
    <row r="676" spans="1:7" x14ac:dyDescent="0.2">
      <c r="A676" t="s" s="0">
        <v>3321</v>
      </c>
      <c r="B676" s="2">
        <v>791447</v>
      </c>
      <c r="C676" s="2">
        <v>42092</v>
      </c>
      <c r="D676" s="2">
        <v>43212</v>
      </c>
      <c r="E676" s="2">
        <v>43027</v>
      </c>
      <c r="F676" s="2">
        <v>29515</v>
      </c>
      <c r="G676" s="2">
        <v>39540</v>
      </c>
    </row>
    <row r="677" spans="1:7" x14ac:dyDescent="0.2">
      <c r="A677" t="s" s="0">
        <v>3320</v>
      </c>
      <c r="B677" s="3">
        <v>791447</v>
      </c>
      <c r="C677" s="3">
        <v>42092</v>
      </c>
      <c r="D677" s="3">
        <v>43212</v>
      </c>
      <c r="E677" s="3">
        <v>43027</v>
      </c>
      <c r="F677" s="3">
        <v>29515</v>
      </c>
      <c r="G677" s="3">
        <v>39540</v>
      </c>
    </row>
    <row r="678" spans="1:7" x14ac:dyDescent="0.2">
      <c r="A678" t="s" s="0">
        <v>3319</v>
      </c>
      <c r="B678" s="3">
        <v>791447</v>
      </c>
      <c r="C678" s="3">
        <v>42092</v>
      </c>
      <c r="D678" s="3">
        <v>43212</v>
      </c>
      <c r="E678" s="3">
        <v>43027</v>
      </c>
      <c r="F678" s="3">
        <v>29515</v>
      </c>
      <c r="G678" s="3">
        <v>39540</v>
      </c>
    </row>
    <row r="679" spans="1:7" x14ac:dyDescent="0.2">
      <c r="A679" t="s" s="0">
        <v>3318</v>
      </c>
      <c r="B679" s="2">
        <v>869795</v>
      </c>
      <c r="C679" s="2">
        <v>23898</v>
      </c>
      <c r="D679" s="2">
        <v>38687</v>
      </c>
      <c r="E679" s="2">
        <v>42045</v>
      </c>
      <c r="F679" s="2">
        <v>42837</v>
      </c>
      <c r="G679" s="2">
        <v>41788</v>
      </c>
    </row>
    <row r="680" spans="1:7" x14ac:dyDescent="0.2">
      <c r="A680" t="s" s="0">
        <v>3317</v>
      </c>
      <c r="B680" s="2">
        <v>828055</v>
      </c>
      <c r="C680" s="2">
        <v>38492</v>
      </c>
      <c r="D680" s="2">
        <v>39034</v>
      </c>
      <c r="E680" s="2">
        <v>41623</v>
      </c>
      <c r="F680" s="2">
        <v>42470</v>
      </c>
      <c r="G680" s="2">
        <v>39388</v>
      </c>
    </row>
    <row r="681" spans="1:7" x14ac:dyDescent="0.2">
      <c r="A681" t="s" s="0">
        <v>3316</v>
      </c>
      <c r="B681" s="2">
        <v>776349</v>
      </c>
      <c r="C681" s="2">
        <v>51706</v>
      </c>
      <c r="D681" s="2">
        <v>40763</v>
      </c>
      <c r="E681" s="2">
        <v>42139</v>
      </c>
      <c r="F681" s="2">
        <v>34100</v>
      </c>
      <c r="G681" s="2">
        <v>38317</v>
      </c>
    </row>
    <row r="682" spans="1:7" x14ac:dyDescent="0.2">
      <c r="A682" t="s" s="0">
        <v>3315</v>
      </c>
      <c r="B682" s="2">
        <v>796186</v>
      </c>
      <c r="C682" s="2">
        <v>48674</v>
      </c>
      <c r="D682" s="2">
        <v>44367</v>
      </c>
      <c r="E682" s="2">
        <v>43304</v>
      </c>
      <c r="F682" s="2">
        <v>36234</v>
      </c>
      <c r="G682" s="2">
        <v>36031</v>
      </c>
    </row>
    <row r="683" spans="1:7" x14ac:dyDescent="0.2">
      <c r="A683" t="s" s="0">
        <v>3314</v>
      </c>
      <c r="B683" s="2">
        <v>828148</v>
      </c>
      <c r="C683" s="2">
        <v>39479</v>
      </c>
      <c r="D683" s="2">
        <v>43103</v>
      </c>
      <c r="E683" s="2">
        <v>43284</v>
      </c>
      <c r="F683" s="2">
        <v>48175</v>
      </c>
      <c r="G683" s="2">
        <v>36265</v>
      </c>
    </row>
    <row r="684" spans="1:7" x14ac:dyDescent="0.2">
      <c r="A684" t="s" s="0">
        <v>3313</v>
      </c>
      <c r="B684" s="3">
        <v>828148</v>
      </c>
      <c r="C684" s="3">
        <v>39479</v>
      </c>
      <c r="D684" s="3">
        <v>43103</v>
      </c>
      <c r="E684" s="3">
        <v>43284</v>
      </c>
      <c r="F684" s="3">
        <v>48175</v>
      </c>
      <c r="G684" s="3">
        <v>36265</v>
      </c>
    </row>
    <row r="685" spans="1:7" x14ac:dyDescent="0.2">
      <c r="A685" t="s" s="0">
        <v>3312</v>
      </c>
      <c r="B685" s="3">
        <v>828148</v>
      </c>
      <c r="C685" s="3">
        <v>39479</v>
      </c>
      <c r="D685" s="3">
        <v>43103</v>
      </c>
      <c r="E685" s="3">
        <v>43284</v>
      </c>
      <c r="F685" s="3">
        <v>48175</v>
      </c>
      <c r="G685" s="3">
        <v>36265</v>
      </c>
    </row>
    <row r="686" spans="1:7" x14ac:dyDescent="0.2">
      <c r="A686" t="s" s="0">
        <v>3311</v>
      </c>
      <c r="B686" s="2">
        <v>771667</v>
      </c>
      <c r="C686" s="2">
        <v>21765</v>
      </c>
      <c r="D686" s="2">
        <v>43398</v>
      </c>
      <c r="E686" s="2">
        <v>43461</v>
      </c>
      <c r="F686" s="2">
        <v>29208</v>
      </c>
      <c r="G686" s="2">
        <v>35386</v>
      </c>
    </row>
    <row r="687" spans="1:7" x14ac:dyDescent="0.2">
      <c r="A687" t="s" s="0">
        <v>3310</v>
      </c>
      <c r="B687" s="2">
        <v>725325</v>
      </c>
      <c r="C687" s="2">
        <v>46561</v>
      </c>
      <c r="D687" s="2">
        <v>44551</v>
      </c>
      <c r="E687" s="2">
        <v>43770</v>
      </c>
      <c r="F687" s="2">
        <v>29672</v>
      </c>
      <c r="G687" s="2">
        <v>34681</v>
      </c>
    </row>
    <row r="688" spans="1:7" x14ac:dyDescent="0.2">
      <c r="A688" t="s" s="0">
        <v>3309</v>
      </c>
      <c r="B688" s="2">
        <v>785101</v>
      </c>
      <c r="C688" s="2">
        <v>49716</v>
      </c>
      <c r="D688" s="2">
        <v>44266</v>
      </c>
      <c r="E688" s="2">
        <v>43633</v>
      </c>
      <c r="F688" s="2">
        <v>45314</v>
      </c>
      <c r="G688" s="2">
        <v>36829</v>
      </c>
    </row>
    <row r="689" spans="1:7" x14ac:dyDescent="0.2">
      <c r="A689" t="s" s="0">
        <v>3308</v>
      </c>
      <c r="B689" s="2">
        <v>772508</v>
      </c>
      <c r="C689" s="2">
        <v>42167</v>
      </c>
      <c r="D689" s="2">
        <v>42489</v>
      </c>
      <c r="E689" s="2">
        <v>43945</v>
      </c>
      <c r="F689" s="2">
        <v>38904</v>
      </c>
      <c r="G689" s="2">
        <v>35408</v>
      </c>
    </row>
    <row r="690" spans="1:7" x14ac:dyDescent="0.2">
      <c r="A690" t="s" s="0">
        <v>3307</v>
      </c>
      <c r="B690" s="2">
        <v>735183</v>
      </c>
      <c r="C690" s="2">
        <v>39927</v>
      </c>
      <c r="D690" s="2">
        <v>43813</v>
      </c>
      <c r="E690" s="2">
        <v>43836</v>
      </c>
      <c r="F690" s="2">
        <v>30403</v>
      </c>
      <c r="G690" s="2">
        <v>36140</v>
      </c>
    </row>
    <row r="691" spans="1:7" x14ac:dyDescent="0.2">
      <c r="A691" t="s" s="0">
        <v>3306</v>
      </c>
      <c r="B691" s="3">
        <v>735183</v>
      </c>
      <c r="C691" s="3">
        <v>39927</v>
      </c>
      <c r="D691" s="3">
        <v>43813</v>
      </c>
      <c r="E691" s="3">
        <v>43836</v>
      </c>
      <c r="F691" s="3">
        <v>30403</v>
      </c>
      <c r="G691" s="3">
        <v>36140</v>
      </c>
    </row>
    <row r="692" spans="1:7" x14ac:dyDescent="0.2">
      <c r="A692" t="s" s="0">
        <v>3305</v>
      </c>
      <c r="B692" s="3">
        <v>735183</v>
      </c>
      <c r="C692" s="3">
        <v>39927</v>
      </c>
      <c r="D692" s="3">
        <v>43813</v>
      </c>
      <c r="E692" s="3">
        <v>43836</v>
      </c>
      <c r="F692" s="3">
        <v>30403</v>
      </c>
      <c r="G692" s="3">
        <v>36140</v>
      </c>
    </row>
    <row r="693" spans="1:7" x14ac:dyDescent="0.2">
      <c r="A693" t="s" s="0">
        <v>3304</v>
      </c>
      <c r="B693" s="2">
        <v>687792</v>
      </c>
      <c r="C693" s="2">
        <v>23524</v>
      </c>
      <c r="D693" s="2">
        <v>45359</v>
      </c>
      <c r="E693" s="2">
        <v>44053</v>
      </c>
      <c r="F693" s="2">
        <v>33247</v>
      </c>
      <c r="G693" s="2">
        <v>35768</v>
      </c>
    </row>
    <row r="694" spans="1:7" x14ac:dyDescent="0.2">
      <c r="A694" t="s" s="0">
        <v>3303</v>
      </c>
      <c r="B694" s="2">
        <v>754328</v>
      </c>
      <c r="C694" s="2">
        <v>40290</v>
      </c>
      <c r="D694" s="2">
        <v>44464</v>
      </c>
      <c r="E694" s="2">
        <v>44068</v>
      </c>
      <c r="F694" s="2">
        <v>48508</v>
      </c>
      <c r="G694" s="2">
        <v>38725</v>
      </c>
    </row>
    <row r="695" spans="1:7" x14ac:dyDescent="0.2">
      <c r="A695" t="s" s="0">
        <v>3302</v>
      </c>
      <c r="B695" s="2">
        <v>822307</v>
      </c>
      <c r="C695" s="2">
        <v>42003</v>
      </c>
      <c r="D695" s="2">
        <v>43362</v>
      </c>
      <c r="E695" s="2">
        <v>43051</v>
      </c>
      <c r="F695" s="2">
        <v>48578</v>
      </c>
      <c r="G695" s="2">
        <v>41939</v>
      </c>
    </row>
    <row r="696" spans="1:7" x14ac:dyDescent="0.2">
      <c r="A696" t="s" s="0">
        <v>3301</v>
      </c>
      <c r="B696" s="2">
        <v>782634</v>
      </c>
      <c r="C696" s="2">
        <v>38673</v>
      </c>
      <c r="D696" s="2">
        <v>40932</v>
      </c>
      <c r="E696" s="2">
        <v>42324</v>
      </c>
      <c r="F696" s="2">
        <v>42279</v>
      </c>
      <c r="G696" s="2">
        <v>40466</v>
      </c>
    </row>
    <row r="697" spans="1:7" x14ac:dyDescent="0.2">
      <c r="A697" t="s" s="0">
        <v>3300</v>
      </c>
      <c r="B697" s="2">
        <v>802545</v>
      </c>
      <c r="C697" s="2">
        <v>39564</v>
      </c>
      <c r="D697" s="2">
        <v>38224</v>
      </c>
      <c r="E697" s="2">
        <v>42088</v>
      </c>
      <c r="F697" s="2">
        <v>47780</v>
      </c>
      <c r="G697" s="2">
        <v>38968</v>
      </c>
    </row>
    <row r="698" spans="1:7" x14ac:dyDescent="0.2">
      <c r="A698" t="s" s="0">
        <v>3299</v>
      </c>
      <c r="B698" s="3">
        <v>802545</v>
      </c>
      <c r="C698" s="3">
        <v>39564</v>
      </c>
      <c r="D698" s="3">
        <v>38224</v>
      </c>
      <c r="E698" s="3">
        <v>42088</v>
      </c>
      <c r="F698" s="3">
        <v>47780</v>
      </c>
      <c r="G698" s="3">
        <v>38968</v>
      </c>
    </row>
    <row r="699" spans="1:7" x14ac:dyDescent="0.2">
      <c r="A699" t="s" s="0">
        <v>3298</v>
      </c>
      <c r="B699" s="3">
        <v>802545</v>
      </c>
      <c r="C699" s="3">
        <v>39564</v>
      </c>
      <c r="D699" s="3">
        <v>38224</v>
      </c>
      <c r="E699" s="3">
        <v>42088</v>
      </c>
      <c r="F699" s="3">
        <v>47780</v>
      </c>
      <c r="G699" s="3">
        <v>38968</v>
      </c>
    </row>
    <row r="700" spans="1:7" x14ac:dyDescent="0.2">
      <c r="A700" t="s" s="0">
        <v>3297</v>
      </c>
      <c r="B700" s="2">
        <v>755065</v>
      </c>
      <c r="C700" s="2">
        <v>21232</v>
      </c>
      <c r="D700" s="2">
        <v>39381</v>
      </c>
      <c r="E700" s="2">
        <v>41706</v>
      </c>
      <c r="F700" s="2">
        <v>48924</v>
      </c>
      <c r="G700" s="2">
        <v>38554</v>
      </c>
    </row>
    <row r="701" spans="1:7" x14ac:dyDescent="0.2">
      <c r="A701" t="s" s="0">
        <v>3296</v>
      </c>
      <c r="B701" s="2">
        <v>778015</v>
      </c>
      <c r="C701" s="2">
        <v>27050</v>
      </c>
      <c r="D701" s="2">
        <v>37490</v>
      </c>
      <c r="E701" s="2">
        <v>41385</v>
      </c>
      <c r="F701" s="2">
        <v>40806</v>
      </c>
      <c r="G701" s="2">
        <v>40364</v>
      </c>
    </row>
    <row r="702" spans="1:7" x14ac:dyDescent="0.2">
      <c r="A702" t="s" s="0">
        <v>3295</v>
      </c>
      <c r="B702" s="2">
        <v>785931</v>
      </c>
      <c r="C702" s="2">
        <v>42001</v>
      </c>
      <c r="D702" s="2">
        <v>38939</v>
      </c>
      <c r="E702" s="2">
        <v>41832</v>
      </c>
      <c r="F702" s="2">
        <v>33376</v>
      </c>
      <c r="G702" s="2">
        <v>40342</v>
      </c>
    </row>
    <row r="703" spans="1:7" x14ac:dyDescent="0.2">
      <c r="A703" t="s" s="0">
        <v>3294</v>
      </c>
      <c r="B703" s="2">
        <v>744733</v>
      </c>
      <c r="C703" s="2">
        <v>41198</v>
      </c>
      <c r="D703" s="2">
        <v>39300</v>
      </c>
      <c r="E703" s="2">
        <v>41772</v>
      </c>
      <c r="F703" s="2">
        <v>33519</v>
      </c>
      <c r="G703" s="2">
        <v>37734</v>
      </c>
    </row>
    <row r="704" spans="1:7" x14ac:dyDescent="0.2">
      <c r="A704" t="s" s="0">
        <v>3293</v>
      </c>
      <c r="B704" s="2">
        <v>739024</v>
      </c>
      <c r="C704" s="2">
        <v>43965</v>
      </c>
      <c r="D704" s="2">
        <v>39928</v>
      </c>
      <c r="E704" s="2">
        <v>41267</v>
      </c>
      <c r="F704" s="2">
        <v>30502</v>
      </c>
      <c r="G704" s="2">
        <v>39215</v>
      </c>
    </row>
    <row r="705" spans="1:7" x14ac:dyDescent="0.2">
      <c r="A705" t="s" s="0">
        <v>3292</v>
      </c>
      <c r="B705" s="3">
        <v>739024</v>
      </c>
      <c r="C705" s="3">
        <v>43965</v>
      </c>
      <c r="D705" s="3">
        <v>39928</v>
      </c>
      <c r="E705" s="3">
        <v>41267</v>
      </c>
      <c r="F705" s="3">
        <v>30502</v>
      </c>
      <c r="G705" s="3">
        <v>39215</v>
      </c>
    </row>
    <row r="706" spans="1:7" x14ac:dyDescent="0.2">
      <c r="A706" t="s" s="0">
        <v>3291</v>
      </c>
      <c r="B706" s="3">
        <v>739024</v>
      </c>
      <c r="C706" s="3">
        <v>43965</v>
      </c>
      <c r="D706" s="3">
        <v>39928</v>
      </c>
      <c r="E706" s="3">
        <v>41267</v>
      </c>
      <c r="F706" s="3">
        <v>30502</v>
      </c>
      <c r="G706" s="3">
        <v>39215</v>
      </c>
    </row>
    <row r="707" spans="1:7" x14ac:dyDescent="0.2">
      <c r="A707" t="s" s="0">
        <v>3290</v>
      </c>
      <c r="B707" s="2">
        <v>735855</v>
      </c>
      <c r="C707" s="2">
        <v>24232</v>
      </c>
      <c r="D707" s="2">
        <v>39037</v>
      </c>
      <c r="E707" s="2">
        <v>41794</v>
      </c>
      <c r="F707" s="2">
        <v>35941</v>
      </c>
      <c r="G707" s="2">
        <v>36830</v>
      </c>
    </row>
    <row r="708" spans="1:7" x14ac:dyDescent="0.2">
      <c r="A708" t="s" s="0">
        <v>3289</v>
      </c>
      <c r="B708" s="2">
        <v>756843</v>
      </c>
      <c r="C708" s="2">
        <v>39153</v>
      </c>
      <c r="D708" s="2">
        <v>40766</v>
      </c>
      <c r="E708" s="2">
        <v>41817</v>
      </c>
      <c r="F708" s="2">
        <v>37389</v>
      </c>
      <c r="G708" s="2">
        <v>39094</v>
      </c>
    </row>
    <row r="709" spans="1:7" x14ac:dyDescent="0.2">
      <c r="A709" t="s" s="0">
        <v>3288</v>
      </c>
      <c r="B709" s="2">
        <v>773224</v>
      </c>
      <c r="C709" s="2">
        <v>43511</v>
      </c>
      <c r="D709" s="2">
        <v>39532</v>
      </c>
      <c r="E709" s="2">
        <v>41525</v>
      </c>
      <c r="F709" s="2">
        <v>37664</v>
      </c>
      <c r="G709" s="2">
        <v>41233</v>
      </c>
    </row>
    <row r="710" spans="1:7" x14ac:dyDescent="0.2">
      <c r="A710" t="s" s="0">
        <v>3287</v>
      </c>
      <c r="B710" s="2">
        <v>727991</v>
      </c>
      <c r="C710" s="2">
        <v>45891</v>
      </c>
      <c r="D710" s="2">
        <v>43016</v>
      </c>
      <c r="E710" s="2">
        <v>41434</v>
      </c>
      <c r="F710" s="2">
        <v>40571</v>
      </c>
      <c r="G710" s="2">
        <v>38818</v>
      </c>
    </row>
    <row r="711" spans="1:7" x14ac:dyDescent="0.2">
      <c r="A711" t="s" s="0">
        <v>3286</v>
      </c>
      <c r="B711" s="2">
        <v>791306</v>
      </c>
      <c r="C711" s="2">
        <v>41444</v>
      </c>
      <c r="D711" s="2">
        <v>46034</v>
      </c>
      <c r="E711" s="2">
        <v>42000</v>
      </c>
      <c r="F711" s="2">
        <v>53396</v>
      </c>
      <c r="G711" s="2">
        <v>40520</v>
      </c>
    </row>
    <row r="712" spans="1:7" x14ac:dyDescent="0.2">
      <c r="A712" t="s" s="0">
        <v>3285</v>
      </c>
      <c r="B712" s="3">
        <v>791306</v>
      </c>
      <c r="C712" s="3">
        <v>41444</v>
      </c>
      <c r="D712" s="3">
        <v>46034</v>
      </c>
      <c r="E712" s="3">
        <v>42000</v>
      </c>
      <c r="F712" s="3">
        <v>53396</v>
      </c>
      <c r="G712" s="3">
        <v>40520</v>
      </c>
    </row>
    <row r="713" spans="1:7" x14ac:dyDescent="0.2">
      <c r="A713" t="s" s="0">
        <v>3284</v>
      </c>
      <c r="B713" s="3">
        <v>791306</v>
      </c>
      <c r="C713" s="3">
        <v>41444</v>
      </c>
      <c r="D713" s="3">
        <v>46034</v>
      </c>
      <c r="E713" s="3">
        <v>42000</v>
      </c>
      <c r="F713" s="3">
        <v>53396</v>
      </c>
      <c r="G713" s="3">
        <v>40520</v>
      </c>
    </row>
    <row r="714" spans="1:7" x14ac:dyDescent="0.2">
      <c r="A714" t="s" s="0">
        <v>3283</v>
      </c>
      <c r="B714" s="2">
        <v>806928</v>
      </c>
      <c r="C714" s="2">
        <v>24176</v>
      </c>
      <c r="D714" s="2">
        <v>45475</v>
      </c>
      <c r="E714" s="2">
        <v>42313</v>
      </c>
      <c r="F714" s="2">
        <v>55522</v>
      </c>
      <c r="G714" s="2">
        <v>43409</v>
      </c>
    </row>
    <row r="715" spans="1:7" x14ac:dyDescent="0.2">
      <c r="A715" t="s" s="0">
        <v>3282</v>
      </c>
      <c r="B715" s="2">
        <v>791740</v>
      </c>
      <c r="C715" s="2">
        <v>33772</v>
      </c>
      <c r="D715" s="2">
        <v>44707</v>
      </c>
      <c r="E715" s="2">
        <v>41856</v>
      </c>
      <c r="F715" s="2">
        <v>49572</v>
      </c>
      <c r="G715" s="2">
        <v>44069</v>
      </c>
    </row>
    <row r="716" spans="1:7" x14ac:dyDescent="0.2">
      <c r="A716" t="s" s="0">
        <v>3281</v>
      </c>
      <c r="B716" s="2">
        <v>847993</v>
      </c>
      <c r="C716" s="2">
        <v>38336</v>
      </c>
      <c r="D716" s="2">
        <v>43967</v>
      </c>
      <c r="E716" s="2">
        <v>41450</v>
      </c>
      <c r="F716" s="2">
        <v>54529</v>
      </c>
      <c r="G716" s="2">
        <v>43537</v>
      </c>
    </row>
    <row r="717" spans="1:7" x14ac:dyDescent="0.2">
      <c r="A717" t="s" s="0">
        <v>3280</v>
      </c>
      <c r="B717" s="2">
        <v>910581</v>
      </c>
      <c r="C717" s="2">
        <v>39280</v>
      </c>
      <c r="D717" s="2">
        <v>40819</v>
      </c>
      <c r="E717" s="2">
        <v>41016</v>
      </c>
      <c r="F717" s="2">
        <v>66783</v>
      </c>
      <c r="G717" s="2">
        <v>45788</v>
      </c>
    </row>
    <row r="718" spans="1:7" x14ac:dyDescent="0.2">
      <c r="A718" t="s" s="0">
        <v>3279</v>
      </c>
      <c r="B718" s="2">
        <v>928623</v>
      </c>
      <c r="C718" s="2">
        <v>39983</v>
      </c>
      <c r="D718" s="2">
        <v>37375</v>
      </c>
      <c r="E718" s="2">
        <v>40390</v>
      </c>
      <c r="F718" s="2">
        <v>56926</v>
      </c>
      <c r="G718" s="2">
        <v>47151</v>
      </c>
    </row>
    <row r="719" spans="1:7" x14ac:dyDescent="0.2">
      <c r="A719" t="s" s="0">
        <v>3278</v>
      </c>
      <c r="B719" s="3">
        <v>928623</v>
      </c>
      <c r="C719" s="3">
        <v>39983</v>
      </c>
      <c r="D719" s="3">
        <v>37375</v>
      </c>
      <c r="E719" s="3">
        <v>40390</v>
      </c>
      <c r="F719" s="3">
        <v>56926</v>
      </c>
      <c r="G719" s="3">
        <v>47151</v>
      </c>
    </row>
    <row r="720" spans="1:7" x14ac:dyDescent="0.2">
      <c r="A720" t="s" s="0">
        <v>3277</v>
      </c>
      <c r="B720" s="3">
        <v>928623</v>
      </c>
      <c r="C720" s="3">
        <v>39983</v>
      </c>
      <c r="D720" s="3">
        <v>37375</v>
      </c>
      <c r="E720" s="3">
        <v>40390</v>
      </c>
      <c r="F720" s="3">
        <v>56926</v>
      </c>
      <c r="G720" s="3">
        <v>47151</v>
      </c>
    </row>
    <row r="721" spans="1:7" x14ac:dyDescent="0.2">
      <c r="A721" t="s" s="0">
        <v>3276</v>
      </c>
      <c r="B721" s="2">
        <v>958741</v>
      </c>
      <c r="C721" s="2">
        <v>22884</v>
      </c>
      <c r="D721" s="2">
        <v>39241</v>
      </c>
      <c r="E721" s="2">
        <v>40784</v>
      </c>
      <c r="F721" s="2">
        <v>60863</v>
      </c>
      <c r="G721" s="2">
        <v>50313</v>
      </c>
    </row>
    <row r="722" spans="1:7" x14ac:dyDescent="0.2">
      <c r="A722" t="s" s="0">
        <v>3275</v>
      </c>
      <c r="B722" s="2">
        <v>934514</v>
      </c>
      <c r="C722" s="2">
        <v>47853</v>
      </c>
      <c r="D722" s="2">
        <v>42681</v>
      </c>
      <c r="E722" s="2">
        <v>41411</v>
      </c>
      <c r="F722" s="2">
        <v>63025</v>
      </c>
      <c r="G722" s="2">
        <v>47698</v>
      </c>
    </row>
    <row r="723" spans="1:7" x14ac:dyDescent="0.2">
      <c r="A723" t="s" s="0">
        <v>3274</v>
      </c>
      <c r="B723" s="2">
        <v>1120585</v>
      </c>
      <c r="C723" s="2">
        <v>42692</v>
      </c>
      <c r="D723" s="2">
        <v>43303</v>
      </c>
      <c r="E723" s="2">
        <v>41435</v>
      </c>
      <c r="F723" s="2">
        <v>82193</v>
      </c>
      <c r="G723" s="2">
        <v>51940</v>
      </c>
    </row>
    <row r="724" spans="1:7" x14ac:dyDescent="0.2">
      <c r="A724" t="s" s="0">
        <v>3273</v>
      </c>
      <c r="B724" s="2">
        <v>1059209</v>
      </c>
      <c r="C724" s="2">
        <v>40604</v>
      </c>
      <c r="D724" s="2">
        <v>44421</v>
      </c>
      <c r="E724" s="2">
        <v>41889</v>
      </c>
      <c r="F724" s="2">
        <v>65601</v>
      </c>
      <c r="G724" s="2">
        <v>51619</v>
      </c>
    </row>
    <row r="725" spans="1:7" x14ac:dyDescent="0.2">
      <c r="A725" t="s" s="0">
        <v>3272</v>
      </c>
      <c r="B725" s="2">
        <v>1164163</v>
      </c>
      <c r="C725" s="2">
        <v>38615</v>
      </c>
      <c r="D725" s="2">
        <v>45519</v>
      </c>
      <c r="E725" s="2">
        <v>42214</v>
      </c>
      <c r="F725" s="2">
        <v>79126</v>
      </c>
      <c r="G725" s="2">
        <v>54988</v>
      </c>
    </row>
    <row r="726" spans="1:7" x14ac:dyDescent="0.2">
      <c r="A726" t="s" s="0">
        <v>3271</v>
      </c>
      <c r="B726" s="3">
        <v>1164163</v>
      </c>
      <c r="C726" s="3">
        <v>38615</v>
      </c>
      <c r="D726" s="3">
        <v>45519</v>
      </c>
      <c r="E726" s="3">
        <v>42214</v>
      </c>
      <c r="F726" s="3">
        <v>79126</v>
      </c>
      <c r="G726" s="3">
        <v>54988</v>
      </c>
    </row>
    <row r="727" spans="1:7" x14ac:dyDescent="0.2">
      <c r="A727" t="s" s="0">
        <v>3270</v>
      </c>
      <c r="B727" s="3">
        <v>1164163</v>
      </c>
      <c r="C727" s="3">
        <v>38615</v>
      </c>
      <c r="D727" s="3">
        <v>45519</v>
      </c>
      <c r="E727" s="3">
        <v>42214</v>
      </c>
      <c r="F727" s="3">
        <v>79126</v>
      </c>
      <c r="G727" s="3">
        <v>54988</v>
      </c>
    </row>
    <row r="728" spans="1:7" x14ac:dyDescent="0.2">
      <c r="A728" t="s" s="0">
        <v>3269</v>
      </c>
      <c r="B728" s="2">
        <v>1107825</v>
      </c>
      <c r="C728" s="2">
        <v>22310</v>
      </c>
      <c r="D728" s="2">
        <v>48158</v>
      </c>
      <c r="E728" s="2">
        <v>42978</v>
      </c>
      <c r="F728" s="2">
        <v>69414</v>
      </c>
      <c r="G728" s="2">
        <v>55435</v>
      </c>
    </row>
    <row r="729" spans="1:7" x14ac:dyDescent="0.2">
      <c r="A729" t="s" s="0">
        <v>3268</v>
      </c>
      <c r="B729" s="2">
        <v>1219802</v>
      </c>
      <c r="C729" s="2">
        <v>37955</v>
      </c>
      <c r="D729" s="2">
        <v>46743</v>
      </c>
      <c r="E729" s="2">
        <v>43724</v>
      </c>
      <c r="F729" s="2">
        <v>87457</v>
      </c>
      <c r="G729" s="2">
        <v>59361</v>
      </c>
    </row>
    <row r="730" spans="1:7" x14ac:dyDescent="0.2">
      <c r="A730" t="s" s="0">
        <v>3267</v>
      </c>
      <c r="B730" s="2">
        <v>1156648</v>
      </c>
      <c r="C730" s="2">
        <v>51760</v>
      </c>
      <c r="D730" s="2">
        <v>54826</v>
      </c>
      <c r="E730" s="2">
        <v>45407</v>
      </c>
      <c r="F730" s="2">
        <v>59936</v>
      </c>
      <c r="G730" s="2">
        <v>58580</v>
      </c>
    </row>
    <row r="731" spans="1:7" x14ac:dyDescent="0.2">
      <c r="A731" t="s" s="0">
        <v>3266</v>
      </c>
      <c r="B731" s="2">
        <v>1186622</v>
      </c>
      <c r="C731" s="2">
        <v>49325</v>
      </c>
      <c r="D731" s="2">
        <v>54541</v>
      </c>
      <c r="E731" s="2">
        <v>45699</v>
      </c>
      <c r="F731" s="2">
        <v>72701</v>
      </c>
      <c r="G731" s="2">
        <v>61414</v>
      </c>
    </row>
    <row r="732" spans="1:7" x14ac:dyDescent="0.2">
      <c r="A732" t="s" s="0">
        <v>3265</v>
      </c>
      <c r="B732" s="2">
        <v>1140121</v>
      </c>
      <c r="C732" s="2">
        <v>45862</v>
      </c>
      <c r="D732" s="2">
        <v>54140</v>
      </c>
      <c r="E732" s="2">
        <v>45767</v>
      </c>
      <c r="F732" s="2">
        <v>50576</v>
      </c>
      <c r="G732" s="2">
        <v>60006</v>
      </c>
    </row>
    <row r="733" spans="1:7" x14ac:dyDescent="0.2">
      <c r="A733" t="s" s="0">
        <v>3264</v>
      </c>
      <c r="B733" s="3">
        <v>1140121</v>
      </c>
      <c r="C733" s="3">
        <v>45862</v>
      </c>
      <c r="D733" s="3">
        <v>54140</v>
      </c>
      <c r="E733" s="3">
        <v>45767</v>
      </c>
      <c r="F733" s="3">
        <v>50576</v>
      </c>
      <c r="G733" s="3">
        <v>60006</v>
      </c>
    </row>
    <row r="734" spans="1:7" x14ac:dyDescent="0.2">
      <c r="A734" t="s" s="0">
        <v>3263</v>
      </c>
      <c r="B734" s="3">
        <v>1140121</v>
      </c>
      <c r="C734" s="3">
        <v>45862</v>
      </c>
      <c r="D734" s="3">
        <v>54140</v>
      </c>
      <c r="E734" s="3">
        <v>45767</v>
      </c>
      <c r="F734" s="3">
        <v>50576</v>
      </c>
      <c r="G734" s="3">
        <v>60006</v>
      </c>
    </row>
    <row r="735" spans="1:7" x14ac:dyDescent="0.2">
      <c r="A735" t="s" s="0">
        <v>3262</v>
      </c>
      <c r="B735" s="2">
        <v>1040473</v>
      </c>
      <c r="C735" s="2">
        <v>29459</v>
      </c>
      <c r="D735" s="2">
        <v>57218</v>
      </c>
      <c r="E735" s="2">
        <v>47523</v>
      </c>
      <c r="F735" s="2">
        <v>47466</v>
      </c>
      <c r="G735" s="2">
        <v>58317</v>
      </c>
    </row>
    <row r="736" spans="1:7" x14ac:dyDescent="0.2">
      <c r="A736" t="s" s="0">
        <v>3261</v>
      </c>
      <c r="B736" s="2">
        <v>1076953</v>
      </c>
      <c r="C736" s="2">
        <v>28467</v>
      </c>
      <c r="D736" s="2">
        <v>54435</v>
      </c>
      <c r="E736" s="2">
        <v>47141</v>
      </c>
      <c r="F736" s="2">
        <v>33899</v>
      </c>
      <c r="G736" s="2">
        <v>58488</v>
      </c>
    </row>
    <row r="737" spans="1:7" x14ac:dyDescent="0.2">
      <c r="A737" t="s" s="0">
        <v>3260</v>
      </c>
      <c r="B737" s="2">
        <v>1087694</v>
      </c>
      <c r="C737" s="2">
        <v>38259</v>
      </c>
      <c r="D737" s="2">
        <v>45719</v>
      </c>
      <c r="E737" s="2">
        <v>46954</v>
      </c>
      <c r="F737" s="2">
        <v>35739</v>
      </c>
      <c r="G737" s="2">
        <v>58099</v>
      </c>
    </row>
    <row r="738" spans="1:7" x14ac:dyDescent="0.2">
      <c r="A738" t="s" s="0">
        <v>3259</v>
      </c>
      <c r="B738" s="2">
        <v>1087709</v>
      </c>
      <c r="C738" s="2">
        <v>43985</v>
      </c>
      <c r="D738" s="2">
        <v>44949</v>
      </c>
      <c r="E738" s="2">
        <v>46183</v>
      </c>
      <c r="F738" s="2">
        <v>30690</v>
      </c>
      <c r="G738" s="2">
        <v>58944</v>
      </c>
    </row>
    <row r="739" spans="1:7" x14ac:dyDescent="0.2">
      <c r="A739" t="s" s="0">
        <v>3258</v>
      </c>
      <c r="B739" s="2">
        <v>1061933</v>
      </c>
      <c r="C739" s="2">
        <v>45900</v>
      </c>
      <c r="D739" s="2">
        <v>45670</v>
      </c>
      <c r="E739" s="2">
        <v>45676</v>
      </c>
      <c r="F739" s="2">
        <v>34393</v>
      </c>
      <c r="G739" s="2">
        <v>55255</v>
      </c>
    </row>
    <row r="740" spans="1:7" x14ac:dyDescent="0.2">
      <c r="A740" t="s" s="0">
        <v>3257</v>
      </c>
      <c r="B740" s="3">
        <v>1061933</v>
      </c>
      <c r="C740" s="3">
        <v>45900</v>
      </c>
      <c r="D740" s="3">
        <v>45670</v>
      </c>
      <c r="E740" s="3">
        <v>45676</v>
      </c>
      <c r="F740" s="3">
        <v>34393</v>
      </c>
      <c r="G740" s="3">
        <v>55255</v>
      </c>
    </row>
    <row r="741" spans="1:7" x14ac:dyDescent="0.2">
      <c r="A741" t="s" s="0">
        <v>3256</v>
      </c>
      <c r="B741" s="3">
        <v>1061933</v>
      </c>
      <c r="C741" s="3">
        <v>45900</v>
      </c>
      <c r="D741" s="3">
        <v>45670</v>
      </c>
      <c r="E741" s="3">
        <v>45676</v>
      </c>
      <c r="F741" s="3">
        <v>34393</v>
      </c>
      <c r="G741" s="3">
        <v>55255</v>
      </c>
    </row>
    <row r="742" spans="1:7" x14ac:dyDescent="0.2">
      <c r="A742" t="s" s="0">
        <v>3255</v>
      </c>
      <c r="B742" s="2">
        <v>1001524</v>
      </c>
      <c r="C742" s="2">
        <v>23453</v>
      </c>
      <c r="D742" s="2">
        <v>38059</v>
      </c>
      <c r="E742" s="2">
        <v>45669</v>
      </c>
      <c r="F742" s="2">
        <v>32388</v>
      </c>
      <c r="G742" s="2">
        <v>52533</v>
      </c>
    </row>
    <row r="743" spans="1:7" x14ac:dyDescent="0.2">
      <c r="A743" t="s" s="0">
        <v>3254</v>
      </c>
      <c r="B743" s="2">
        <v>1041347</v>
      </c>
      <c r="C743" s="2">
        <v>45253</v>
      </c>
      <c r="D743" s="2">
        <v>40457</v>
      </c>
      <c r="E743" s="2">
        <v>46079</v>
      </c>
      <c r="F743" s="2">
        <v>35264</v>
      </c>
      <c r="G743" s="2">
        <v>54911</v>
      </c>
    </row>
    <row r="744" spans="1:7" x14ac:dyDescent="0.2">
      <c r="A744" t="s" s="0">
        <v>3253</v>
      </c>
      <c r="B744" s="2">
        <v>1058632</v>
      </c>
      <c r="C744" s="2">
        <v>48603</v>
      </c>
      <c r="D744" s="2">
        <v>45548</v>
      </c>
      <c r="E744" s="2">
        <v>47349</v>
      </c>
      <c r="F744" s="2">
        <v>41290</v>
      </c>
      <c r="G744" s="2">
        <v>54789</v>
      </c>
    </row>
    <row r="745" spans="1:7" x14ac:dyDescent="0.2">
      <c r="A745" t="s" s="0">
        <v>3252</v>
      </c>
      <c r="B745" s="2">
        <v>1037853</v>
      </c>
      <c r="C745" s="2">
        <v>39515</v>
      </c>
      <c r="D745" s="2">
        <v>47047</v>
      </c>
      <c r="E745" s="2">
        <v>47740</v>
      </c>
      <c r="F745" s="2">
        <v>39806</v>
      </c>
      <c r="G745" s="2">
        <v>52200</v>
      </c>
    </row>
    <row r="746" spans="1:7" x14ac:dyDescent="0.2">
      <c r="A746" t="s" s="0">
        <v>3251</v>
      </c>
      <c r="B746" s="2">
        <v>983872</v>
      </c>
      <c r="C746" s="2">
        <v>51442</v>
      </c>
      <c r="D746" s="2">
        <v>47124</v>
      </c>
      <c r="E746" s="2">
        <v>48113</v>
      </c>
      <c r="F746" s="2">
        <v>35937</v>
      </c>
      <c r="G746" s="2">
        <v>50008</v>
      </c>
    </row>
    <row r="747" spans="1:7" x14ac:dyDescent="0.2">
      <c r="A747" t="s" s="0">
        <v>3250</v>
      </c>
      <c r="B747" s="3">
        <v>983872</v>
      </c>
      <c r="C747" s="3">
        <v>51442</v>
      </c>
      <c r="D747" s="3">
        <v>47124</v>
      </c>
      <c r="E747" s="3">
        <v>48113</v>
      </c>
      <c r="F747" s="3">
        <v>35937</v>
      </c>
      <c r="G747" s="3">
        <v>50008</v>
      </c>
    </row>
    <row r="748" spans="1:7" x14ac:dyDescent="0.2">
      <c r="A748" t="s" s="0">
        <v>3249</v>
      </c>
      <c r="B748" s="3">
        <v>983872</v>
      </c>
      <c r="C748" s="3">
        <v>51442</v>
      </c>
      <c r="D748" s="3">
        <v>47124</v>
      </c>
      <c r="E748" s="3">
        <v>48113</v>
      </c>
      <c r="F748" s="3">
        <v>35937</v>
      </c>
      <c r="G748" s="3">
        <v>50008</v>
      </c>
    </row>
    <row r="749" spans="1:7" x14ac:dyDescent="0.2">
      <c r="A749" t="s" s="0">
        <v>3248</v>
      </c>
      <c r="B749" s="2">
        <v>969555</v>
      </c>
      <c r="C749" s="2">
        <v>19788</v>
      </c>
      <c r="D749" s="2">
        <v>46972</v>
      </c>
      <c r="E749" s="2">
        <v>47602</v>
      </c>
      <c r="F749" s="2">
        <v>42369</v>
      </c>
      <c r="G749" s="2">
        <v>47910</v>
      </c>
    </row>
    <row r="750" spans="1:7" x14ac:dyDescent="0.2">
      <c r="A750" t="s" s="0">
        <v>3247</v>
      </c>
      <c r="B750" s="2">
        <v>907378</v>
      </c>
      <c r="C750" s="2">
        <v>36672</v>
      </c>
      <c r="D750" s="2">
        <v>49333</v>
      </c>
      <c r="E750" s="2">
        <v>47742</v>
      </c>
      <c r="F750" s="2">
        <v>30158</v>
      </c>
      <c r="G750" s="2">
        <v>46694</v>
      </c>
    </row>
    <row r="751" spans="1:7" x14ac:dyDescent="0.2">
      <c r="A751" t="s" s="0">
        <v>3246</v>
      </c>
      <c r="B751" s="2">
        <v>961485</v>
      </c>
      <c r="C751" s="2">
        <v>50535</v>
      </c>
      <c r="D751" s="2">
        <v>45995</v>
      </c>
      <c r="E751" s="2">
        <v>48022</v>
      </c>
      <c r="F751" s="2">
        <v>32081</v>
      </c>
      <c r="G751" s="2">
        <v>42262</v>
      </c>
    </row>
    <row r="752" spans="1:7" x14ac:dyDescent="0.2">
      <c r="A752" t="s" s="0">
        <v>3245</v>
      </c>
      <c r="B752" s="2">
        <v>914668</v>
      </c>
      <c r="C752" s="2">
        <v>46517</v>
      </c>
      <c r="D752" s="2">
        <v>44858</v>
      </c>
      <c r="E752" s="2">
        <v>47849</v>
      </c>
      <c r="F752" s="2">
        <v>27236</v>
      </c>
      <c r="G752" s="2">
        <v>42608</v>
      </c>
    </row>
    <row r="753" spans="1:7" x14ac:dyDescent="0.2">
      <c r="A753" t="s" s="0">
        <v>3244</v>
      </c>
      <c r="B753" s="2">
        <v>919987</v>
      </c>
      <c r="C753" s="2">
        <v>45167</v>
      </c>
      <c r="D753" s="2">
        <v>45393</v>
      </c>
      <c r="E753" s="2">
        <v>48082</v>
      </c>
      <c r="F753" s="2">
        <v>36206</v>
      </c>
      <c r="G753" s="2">
        <v>39278</v>
      </c>
    </row>
    <row r="754" spans="1:7" x14ac:dyDescent="0.2">
      <c r="A754" t="s" s="0">
        <v>3243</v>
      </c>
      <c r="B754" s="3">
        <v>919987</v>
      </c>
      <c r="C754" s="3">
        <v>45167</v>
      </c>
      <c r="D754" s="3">
        <v>45393</v>
      </c>
      <c r="E754" s="3">
        <v>48082</v>
      </c>
      <c r="F754" s="3">
        <v>36206</v>
      </c>
      <c r="G754" s="3">
        <v>39278</v>
      </c>
    </row>
    <row r="755" spans="1:7" x14ac:dyDescent="0.2">
      <c r="A755" t="s" s="0">
        <v>3242</v>
      </c>
      <c r="B755" s="3">
        <v>919987</v>
      </c>
      <c r="C755" s="3">
        <v>45167</v>
      </c>
      <c r="D755" s="3">
        <v>45393</v>
      </c>
      <c r="E755" s="3">
        <v>48082</v>
      </c>
      <c r="F755" s="3">
        <v>36206</v>
      </c>
      <c r="G755" s="3">
        <v>39278</v>
      </c>
    </row>
    <row r="756" spans="1:7" x14ac:dyDescent="0.2">
      <c r="A756" t="s" s="0">
        <v>3241</v>
      </c>
      <c r="B756" s="2">
        <v>923374</v>
      </c>
      <c r="C756" s="2">
        <v>25935</v>
      </c>
      <c r="D756" s="2">
        <v>48184</v>
      </c>
      <c r="E756" s="2">
        <v>47608</v>
      </c>
      <c r="F756" s="2">
        <v>41526</v>
      </c>
      <c r="G756" s="2">
        <v>40938</v>
      </c>
    </row>
    <row r="757" spans="1:7" x14ac:dyDescent="0.2">
      <c r="A757" t="s" s="0">
        <v>3240</v>
      </c>
      <c r="B757" s="2">
        <v>978383</v>
      </c>
      <c r="C757" s="2">
        <v>37223</v>
      </c>
      <c r="D757" s="2">
        <v>48257</v>
      </c>
      <c r="E757" s="2">
        <v>48121</v>
      </c>
      <c r="F757" s="2">
        <v>58340</v>
      </c>
      <c r="G757" s="2">
        <v>39415</v>
      </c>
    </row>
    <row r="758" spans="1:7" x14ac:dyDescent="0.2">
      <c r="A758" t="s" s="0">
        <v>3239</v>
      </c>
      <c r="B758" s="2">
        <v>995450</v>
      </c>
      <c r="C758" s="2">
        <v>45047</v>
      </c>
      <c r="D758" s="2">
        <v>47473</v>
      </c>
      <c r="E758" s="2">
        <v>46184</v>
      </c>
      <c r="F758" s="2">
        <v>52265</v>
      </c>
      <c r="G758" s="2">
        <v>40344</v>
      </c>
    </row>
    <row r="759" spans="1:7" x14ac:dyDescent="0.2">
      <c r="A759" t="s" s="0">
        <v>3238</v>
      </c>
      <c r="B759" s="2">
        <v>1006731</v>
      </c>
      <c r="C759" s="2">
        <v>45040</v>
      </c>
      <c r="D759" s="2">
        <v>47262</v>
      </c>
      <c r="E759" s="2">
        <v>46029</v>
      </c>
      <c r="F759" s="2">
        <v>60353</v>
      </c>
      <c r="G759" s="2">
        <v>39521</v>
      </c>
    </row>
    <row r="760" spans="1:7" x14ac:dyDescent="0.2">
      <c r="A760" t="s" s="0">
        <v>3237</v>
      </c>
      <c r="B760" s="2">
        <v>1014684</v>
      </c>
      <c r="C760" s="2">
        <v>46339</v>
      </c>
      <c r="D760" s="2">
        <v>46746</v>
      </c>
      <c r="E760" s="2">
        <v>46233</v>
      </c>
      <c r="F760" s="2">
        <v>60205</v>
      </c>
      <c r="G760" s="2">
        <v>41685</v>
      </c>
    </row>
    <row r="761" spans="1:7" x14ac:dyDescent="0.2">
      <c r="A761" t="s" s="0">
        <v>3236</v>
      </c>
      <c r="B761" s="3">
        <v>1014684</v>
      </c>
      <c r="C761" s="3">
        <v>46339</v>
      </c>
      <c r="D761" s="3">
        <v>46746</v>
      </c>
      <c r="E761" s="3">
        <v>46233</v>
      </c>
      <c r="F761" s="3">
        <v>60205</v>
      </c>
      <c r="G761" s="3">
        <v>41685</v>
      </c>
    </row>
    <row r="762" spans="1:7" x14ac:dyDescent="0.2">
      <c r="A762" t="s" s="0">
        <v>3235</v>
      </c>
      <c r="B762" s="3">
        <v>1014684</v>
      </c>
      <c r="C762" s="3">
        <v>46339</v>
      </c>
      <c r="D762" s="3">
        <v>46746</v>
      </c>
      <c r="E762" s="3">
        <v>46233</v>
      </c>
      <c r="F762" s="3">
        <v>60205</v>
      </c>
      <c r="G762" s="3">
        <v>41685</v>
      </c>
    </row>
    <row r="763" spans="1:7" x14ac:dyDescent="0.2">
      <c r="A763" t="s" s="0">
        <v>3234</v>
      </c>
      <c r="B763" s="2">
        <v>972830</v>
      </c>
      <c r="C763" s="2">
        <v>25982</v>
      </c>
      <c r="D763" s="2">
        <v>49350</v>
      </c>
      <c r="E763" s="2">
        <v>45641</v>
      </c>
      <c r="F763" s="2">
        <v>56353</v>
      </c>
      <c r="G763" s="2">
        <v>43159</v>
      </c>
    </row>
    <row r="764" spans="1:7" x14ac:dyDescent="0.2">
      <c r="A764" t="s" s="0">
        <v>3233</v>
      </c>
      <c r="B764" s="2">
        <v>920965</v>
      </c>
      <c r="C764" s="2">
        <v>53469</v>
      </c>
      <c r="D764" s="2">
        <v>48090</v>
      </c>
      <c r="E764" s="2">
        <v>46534</v>
      </c>
      <c r="F764" s="2">
        <v>39826</v>
      </c>
      <c r="G764" s="2">
        <v>40897</v>
      </c>
    </row>
    <row r="765" spans="1:7" x14ac:dyDescent="0.2">
      <c r="A765" t="s" s="0">
        <v>3232</v>
      </c>
      <c r="B765" s="2">
        <v>879998</v>
      </c>
      <c r="C765" s="2">
        <v>55295</v>
      </c>
      <c r="D765" s="2">
        <v>54113</v>
      </c>
      <c r="E765" s="2">
        <v>48282</v>
      </c>
      <c r="F765" s="2">
        <v>37558</v>
      </c>
      <c r="G765" s="2">
        <v>40798</v>
      </c>
    </row>
    <row r="766" spans="1:7" x14ac:dyDescent="0.2">
      <c r="A766" t="s" s="0">
        <v>3231</v>
      </c>
      <c r="B766" s="2">
        <v>851173</v>
      </c>
      <c r="C766" s="2">
        <v>52414</v>
      </c>
      <c r="D766" s="2">
        <v>55166</v>
      </c>
      <c r="E766" s="2">
        <v>48583</v>
      </c>
      <c r="F766" s="2">
        <v>32882</v>
      </c>
      <c r="G766" s="2">
        <v>40069</v>
      </c>
    </row>
    <row r="767" spans="1:7" x14ac:dyDescent="0.2">
      <c r="A767" t="s" s="0">
        <v>3230</v>
      </c>
      <c r="B767" s="2">
        <v>830731</v>
      </c>
      <c r="C767" s="2">
        <v>47533</v>
      </c>
      <c r="D767" s="2">
        <v>54588</v>
      </c>
      <c r="E767" s="2">
        <v>48463</v>
      </c>
      <c r="F767" s="2">
        <v>28300</v>
      </c>
      <c r="G767" s="2">
        <v>40162</v>
      </c>
    </row>
    <row r="768" spans="1:7" x14ac:dyDescent="0.2">
      <c r="A768" t="s" s="0">
        <v>3229</v>
      </c>
      <c r="B768" s="3">
        <v>830731</v>
      </c>
      <c r="C768" s="3">
        <v>47533</v>
      </c>
      <c r="D768" s="3">
        <v>54588</v>
      </c>
      <c r="E768" s="3">
        <v>48463</v>
      </c>
      <c r="F768" s="3">
        <v>28300</v>
      </c>
      <c r="G768" s="3">
        <v>40162</v>
      </c>
    </row>
    <row r="769" spans="1:7" x14ac:dyDescent="0.2">
      <c r="A769" t="s" s="0">
        <v>3228</v>
      </c>
      <c r="B769" s="3">
        <v>830731</v>
      </c>
      <c r="C769" s="3">
        <v>47533</v>
      </c>
      <c r="D769" s="3">
        <v>54588</v>
      </c>
      <c r="E769" s="3">
        <v>48463</v>
      </c>
      <c r="F769" s="3">
        <v>28300</v>
      </c>
      <c r="G769" s="3">
        <v>40162</v>
      </c>
    </row>
    <row r="770" spans="1:7" x14ac:dyDescent="0.2">
      <c r="A770" t="s" s="0">
        <v>3227</v>
      </c>
      <c r="B770" s="2">
        <v>904084</v>
      </c>
      <c r="C770" s="2">
        <v>25876</v>
      </c>
      <c r="D770" s="2">
        <v>50087</v>
      </c>
      <c r="E770" s="2">
        <v>48648</v>
      </c>
      <c r="F770" s="2">
        <v>40250</v>
      </c>
      <c r="G770" s="2">
        <v>45125</v>
      </c>
    </row>
    <row r="771" spans="1:7" x14ac:dyDescent="0.2">
      <c r="A771" t="s" s="0">
        <v>3226</v>
      </c>
      <c r="B771" s="2">
        <v>815825</v>
      </c>
      <c r="C771" s="2">
        <v>43431</v>
      </c>
      <c r="D771" s="2">
        <v>55047</v>
      </c>
      <c r="E771" s="2">
        <v>50182</v>
      </c>
      <c r="F771" s="2">
        <v>40010</v>
      </c>
      <c r="G771" s="2">
        <v>42084</v>
      </c>
    </row>
    <row r="772" spans="1:7" x14ac:dyDescent="0.2">
      <c r="A772" t="s" s="0">
        <v>3225</v>
      </c>
      <c r="B772" s="2">
        <v>816422</v>
      </c>
      <c r="C772" s="2">
        <v>44403</v>
      </c>
      <c r="D772" s="2">
        <v>48933</v>
      </c>
      <c r="E772" s="2">
        <v>49129</v>
      </c>
      <c r="F772" s="2">
        <v>39834</v>
      </c>
      <c r="G772" s="2">
        <v>40434</v>
      </c>
    </row>
    <row r="773" spans="1:7" x14ac:dyDescent="0.2">
      <c r="A773" t="s" s="0">
        <v>3224</v>
      </c>
      <c r="B773" s="2">
        <v>824097</v>
      </c>
      <c r="C773" s="2">
        <v>45975</v>
      </c>
      <c r="D773" s="2">
        <v>48013</v>
      </c>
      <c r="E773" s="2">
        <v>48825</v>
      </c>
      <c r="F773" s="2">
        <v>44128</v>
      </c>
      <c r="G773" s="2">
        <v>41150</v>
      </c>
    </row>
    <row r="774" spans="1:7" x14ac:dyDescent="0.2">
      <c r="A774" t="s" s="0">
        <v>3223</v>
      </c>
      <c r="B774" s="2">
        <v>847850</v>
      </c>
      <c r="C774" s="2">
        <v>52519</v>
      </c>
      <c r="D774" s="2">
        <v>50582</v>
      </c>
      <c r="E774" s="2">
        <v>49328</v>
      </c>
      <c r="F774" s="2">
        <v>52997</v>
      </c>
      <c r="G774" s="2">
        <v>44427</v>
      </c>
    </row>
    <row r="775" spans="1:7" x14ac:dyDescent="0.2">
      <c r="A775" t="s" s="0">
        <v>3222</v>
      </c>
      <c r="B775" s="3">
        <v>847850</v>
      </c>
      <c r="C775" s="3">
        <v>52519</v>
      </c>
      <c r="D775" s="3">
        <v>50582</v>
      </c>
      <c r="E775" s="3">
        <v>49328</v>
      </c>
      <c r="F775" s="3">
        <v>52997</v>
      </c>
      <c r="G775" s="3">
        <v>44427</v>
      </c>
    </row>
    <row r="776" spans="1:7" x14ac:dyDescent="0.2">
      <c r="A776" t="s" s="0">
        <v>3221</v>
      </c>
      <c r="B776" s="3">
        <v>847850</v>
      </c>
      <c r="C776" s="3">
        <v>52519</v>
      </c>
      <c r="D776" s="3">
        <v>50582</v>
      </c>
      <c r="E776" s="3">
        <v>49328</v>
      </c>
      <c r="F776" s="3">
        <v>52997</v>
      </c>
      <c r="G776" s="3">
        <v>44427</v>
      </c>
    </row>
    <row r="777" spans="1:7" x14ac:dyDescent="0.2">
      <c r="A777" t="s" s="0">
        <v>3220</v>
      </c>
      <c r="B777" s="2">
        <v>846854</v>
      </c>
      <c r="C777" s="2">
        <v>25400</v>
      </c>
      <c r="D777" s="2">
        <v>51297</v>
      </c>
      <c r="E777" s="2">
        <v>49730</v>
      </c>
      <c r="F777" s="2">
        <v>43090</v>
      </c>
      <c r="G777" s="2">
        <v>45305</v>
      </c>
    </row>
    <row r="778" spans="1:7" x14ac:dyDescent="0.2">
      <c r="A778" t="s" s="0">
        <v>3219</v>
      </c>
      <c r="B778" s="2">
        <v>890797</v>
      </c>
      <c r="C778" s="2">
        <v>41515</v>
      </c>
      <c r="D778" s="2">
        <v>44630</v>
      </c>
      <c r="E778" s="2">
        <v>49006</v>
      </c>
      <c r="F778" s="2">
        <v>55309</v>
      </c>
      <c r="G778" s="2">
        <v>48371</v>
      </c>
    </row>
    <row r="779" spans="1:7" x14ac:dyDescent="0.2">
      <c r="A779" t="s" s="0">
        <v>3218</v>
      </c>
      <c r="B779" s="2">
        <v>825108</v>
      </c>
      <c r="C779" s="2">
        <v>40258</v>
      </c>
      <c r="D779" s="2">
        <v>47628</v>
      </c>
      <c r="E779" s="2">
        <v>49537</v>
      </c>
      <c r="F779" s="2">
        <v>48837</v>
      </c>
      <c r="G779" s="2">
        <v>44623</v>
      </c>
    </row>
    <row r="780" spans="1:7" x14ac:dyDescent="0.2">
      <c r="A780" t="s" s="0">
        <v>3217</v>
      </c>
      <c r="B780" s="2">
        <v>825330</v>
      </c>
      <c r="C780" s="2">
        <v>45198</v>
      </c>
      <c r="D780" s="2">
        <v>47517</v>
      </c>
      <c r="E780" s="2">
        <v>49489</v>
      </c>
      <c r="F780" s="2">
        <v>47661</v>
      </c>
      <c r="G780" s="2">
        <v>46256</v>
      </c>
    </row>
    <row r="781" spans="1:7" x14ac:dyDescent="0.2">
      <c r="A781" t="s" s="0">
        <v>3216</v>
      </c>
      <c r="B781" s="2">
        <v>827894</v>
      </c>
      <c r="C781" s="2">
        <v>39562</v>
      </c>
      <c r="D781" s="2">
        <v>44522</v>
      </c>
      <c r="E781" s="2">
        <v>49110</v>
      </c>
      <c r="F781" s="2">
        <v>41634</v>
      </c>
      <c r="G781" s="2">
        <v>45784</v>
      </c>
    </row>
    <row r="782" spans="1:7" x14ac:dyDescent="0.2">
      <c r="A782" t="s" s="0">
        <v>3215</v>
      </c>
      <c r="B782" s="3">
        <v>827894</v>
      </c>
      <c r="C782" s="3">
        <v>39562</v>
      </c>
      <c r="D782" s="3">
        <v>44522</v>
      </c>
      <c r="E782" s="3">
        <v>49110</v>
      </c>
      <c r="F782" s="3">
        <v>41634</v>
      </c>
      <c r="G782" s="3">
        <v>45784</v>
      </c>
    </row>
    <row r="783" spans="1:7" x14ac:dyDescent="0.2">
      <c r="A783" t="s" s="0">
        <v>3214</v>
      </c>
      <c r="B783" s="3">
        <v>827894</v>
      </c>
      <c r="C783" s="3">
        <v>39562</v>
      </c>
      <c r="D783" s="3">
        <v>44522</v>
      </c>
      <c r="E783" s="3">
        <v>49110</v>
      </c>
      <c r="F783" s="3">
        <v>41634</v>
      </c>
      <c r="G783" s="3">
        <v>45784</v>
      </c>
    </row>
    <row r="784" spans="1:7" x14ac:dyDescent="0.2">
      <c r="A784" t="s" s="0">
        <v>3213</v>
      </c>
      <c r="B784" s="2">
        <v>891203</v>
      </c>
      <c r="C784" s="2">
        <v>19078</v>
      </c>
      <c r="D784" s="2">
        <v>40505</v>
      </c>
      <c r="E784" s="2">
        <v>47810</v>
      </c>
      <c r="F784" s="2">
        <v>46804</v>
      </c>
      <c r="G784" s="2">
        <v>46624</v>
      </c>
    </row>
    <row r="785" spans="1:7" x14ac:dyDescent="0.2">
      <c r="A785" t="s" s="0">
        <v>3212</v>
      </c>
      <c r="B785" s="2">
        <v>856101</v>
      </c>
      <c r="C785" s="2">
        <v>35066</v>
      </c>
      <c r="D785" s="2">
        <v>39584</v>
      </c>
      <c r="E785" s="2">
        <v>46838</v>
      </c>
      <c r="F785" s="2">
        <v>34590</v>
      </c>
      <c r="G785" s="2">
        <v>42434</v>
      </c>
    </row>
    <row r="786" spans="1:7" x14ac:dyDescent="0.2">
      <c r="A786" t="s" s="0">
        <v>3211</v>
      </c>
      <c r="B786" s="2">
        <v>974278</v>
      </c>
      <c r="C786" s="2">
        <v>42645</v>
      </c>
      <c r="D786" s="2">
        <v>36335</v>
      </c>
      <c r="E786" s="2">
        <v>46752</v>
      </c>
      <c r="F786" s="2">
        <v>57608</v>
      </c>
      <c r="G786" s="2">
        <v>45959</v>
      </c>
    </row>
    <row r="787" spans="1:7" x14ac:dyDescent="0.2">
      <c r="A787" t="s" s="0">
        <v>3210</v>
      </c>
      <c r="B787" s="2">
        <v>984138</v>
      </c>
      <c r="C787" s="2">
        <v>43677</v>
      </c>
      <c r="D787" s="2">
        <v>41118</v>
      </c>
      <c r="E787" s="2">
        <v>47953</v>
      </c>
      <c r="F787" s="2">
        <v>63768</v>
      </c>
      <c r="G787" s="2">
        <v>47110</v>
      </c>
    </row>
    <row r="788" spans="1:7" x14ac:dyDescent="0.2">
      <c r="A788" t="s" s="0">
        <v>3209</v>
      </c>
      <c r="B788" s="2">
        <v>943216</v>
      </c>
      <c r="C788" s="2">
        <v>36237</v>
      </c>
      <c r="D788" s="2">
        <v>40615</v>
      </c>
      <c r="E788" s="2">
        <v>47577</v>
      </c>
      <c r="F788" s="2">
        <v>57090</v>
      </c>
      <c r="G788" s="2">
        <v>45005</v>
      </c>
    </row>
    <row r="789" spans="1:7" x14ac:dyDescent="0.2">
      <c r="A789" t="s" s="0">
        <v>3208</v>
      </c>
      <c r="B789" s="3">
        <v>943216</v>
      </c>
      <c r="C789" s="3">
        <v>36237</v>
      </c>
      <c r="D789" s="3">
        <v>40615</v>
      </c>
      <c r="E789" s="3">
        <v>47577</v>
      </c>
      <c r="F789" s="3">
        <v>57090</v>
      </c>
      <c r="G789" s="3">
        <v>45005</v>
      </c>
    </row>
    <row r="790" spans="1:7" x14ac:dyDescent="0.2">
      <c r="A790" t="s" s="0">
        <v>3207</v>
      </c>
      <c r="B790" s="3">
        <v>943216</v>
      </c>
      <c r="C790" s="3">
        <v>36237</v>
      </c>
      <c r="D790" s="3">
        <v>40615</v>
      </c>
      <c r="E790" s="3">
        <v>47577</v>
      </c>
      <c r="F790" s="3">
        <v>57090</v>
      </c>
      <c r="G790" s="3">
        <v>45005</v>
      </c>
    </row>
    <row r="791" spans="1:7" x14ac:dyDescent="0.2">
      <c r="A791" t="s" s="0">
        <v>3206</v>
      </c>
      <c r="B791" s="2">
        <v>841290</v>
      </c>
      <c r="C791" s="2">
        <v>18143</v>
      </c>
      <c r="D791" s="2">
        <v>48082</v>
      </c>
      <c r="E791" s="2">
        <v>47493</v>
      </c>
      <c r="F791" s="2">
        <v>40952</v>
      </c>
      <c r="G791" s="2">
        <v>42774</v>
      </c>
    </row>
    <row r="792" spans="1:7" x14ac:dyDescent="0.2">
      <c r="A792" t="s" s="0">
        <v>3205</v>
      </c>
      <c r="B792" s="2">
        <v>887972</v>
      </c>
      <c r="C792" s="2">
        <v>35441</v>
      </c>
      <c r="D792" s="2">
        <v>48136</v>
      </c>
      <c r="E792" s="2">
        <v>46849</v>
      </c>
      <c r="F792" s="2">
        <v>52670</v>
      </c>
      <c r="G792" s="2">
        <v>45645</v>
      </c>
    </row>
    <row r="793" spans="1:7" x14ac:dyDescent="0.2">
      <c r="A793" t="s" s="0">
        <v>3204</v>
      </c>
      <c r="B793" s="2">
        <v>831363</v>
      </c>
      <c r="C793" s="2">
        <v>46285</v>
      </c>
      <c r="D793" s="2">
        <v>49010</v>
      </c>
      <c r="E793" s="2">
        <v>45476</v>
      </c>
      <c r="F793" s="2">
        <v>28575</v>
      </c>
      <c r="G793" s="2">
        <v>43713</v>
      </c>
    </row>
    <row r="794" spans="1:7" x14ac:dyDescent="0.2">
      <c r="A794" t="s" s="0">
        <v>3203</v>
      </c>
      <c r="B794" s="2">
        <v>813505</v>
      </c>
      <c r="C794" s="2">
        <v>42221</v>
      </c>
      <c r="D794" s="2">
        <v>45474</v>
      </c>
      <c r="E794" s="2">
        <v>45530</v>
      </c>
      <c r="F794" s="2">
        <v>21065</v>
      </c>
      <c r="G794" s="2">
        <v>44155</v>
      </c>
    </row>
    <row r="795" spans="1:7" x14ac:dyDescent="0.2">
      <c r="A795" t="s" s="0">
        <v>3202</v>
      </c>
      <c r="B795" s="2">
        <v>782272</v>
      </c>
      <c r="C795" s="2">
        <v>40891</v>
      </c>
      <c r="D795" s="2">
        <v>45453</v>
      </c>
      <c r="E795" s="2">
        <v>45293</v>
      </c>
      <c r="F795" s="2">
        <v>22420</v>
      </c>
      <c r="G795" s="2">
        <v>43535</v>
      </c>
    </row>
    <row r="796" spans="1:7" x14ac:dyDescent="0.2">
      <c r="A796" t="s" s="0">
        <v>3201</v>
      </c>
      <c r="B796" s="3">
        <v>782272</v>
      </c>
      <c r="C796" s="3">
        <v>40891</v>
      </c>
      <c r="D796" s="3">
        <v>45453</v>
      </c>
      <c r="E796" s="3">
        <v>45293</v>
      </c>
      <c r="F796" s="3">
        <v>22420</v>
      </c>
      <c r="G796" s="3">
        <v>43535</v>
      </c>
    </row>
    <row r="797" spans="1:7" x14ac:dyDescent="0.2">
      <c r="A797" t="s" s="0">
        <v>3200</v>
      </c>
      <c r="B797" s="3">
        <v>782272</v>
      </c>
      <c r="C797" s="3">
        <v>40891</v>
      </c>
      <c r="D797" s="3">
        <v>45453</v>
      </c>
      <c r="E797" s="3">
        <v>45293</v>
      </c>
      <c r="F797" s="3">
        <v>22420</v>
      </c>
      <c r="G797" s="3">
        <v>43535</v>
      </c>
    </row>
    <row r="798" spans="1:7" x14ac:dyDescent="0.2">
      <c r="A798" t="s" s="0">
        <v>3199</v>
      </c>
      <c r="B798" s="2">
        <v>838713</v>
      </c>
      <c r="C798" s="2">
        <v>24201</v>
      </c>
      <c r="D798" s="2">
        <v>49303</v>
      </c>
      <c r="E798" s="2">
        <v>47297</v>
      </c>
      <c r="F798" s="2">
        <v>48894</v>
      </c>
      <c r="G798" s="2">
        <v>44935</v>
      </c>
    </row>
    <row r="799" spans="1:7" x14ac:dyDescent="0.2">
      <c r="A799" t="s" s="0">
        <v>3198</v>
      </c>
      <c r="B799" s="2">
        <v>806746</v>
      </c>
      <c r="C799" s="2">
        <v>27400</v>
      </c>
      <c r="D799" s="2">
        <v>48874</v>
      </c>
      <c r="E799" s="2">
        <v>45306</v>
      </c>
      <c r="F799" s="2">
        <v>37248</v>
      </c>
      <c r="G799" s="2">
        <v>44954</v>
      </c>
    </row>
    <row r="800" spans="1:7" x14ac:dyDescent="0.2">
      <c r="A800" t="s" s="0">
        <v>3197</v>
      </c>
      <c r="B800" s="2">
        <v>902572</v>
      </c>
      <c r="C800" s="2">
        <v>37282</v>
      </c>
      <c r="D800" s="2">
        <v>47234</v>
      </c>
      <c r="E800" s="2">
        <v>45052</v>
      </c>
      <c r="F800" s="2">
        <v>57384</v>
      </c>
      <c r="G800" s="2">
        <v>48101</v>
      </c>
    </row>
    <row r="801" spans="1:7" x14ac:dyDescent="0.2">
      <c r="A801" t="s" s="0">
        <v>3196</v>
      </c>
      <c r="B801" s="2">
        <v>863628</v>
      </c>
      <c r="C801" s="2">
        <v>41115</v>
      </c>
      <c r="D801" s="2">
        <v>51097</v>
      </c>
      <c r="E801" s="2">
        <v>46301</v>
      </c>
      <c r="F801" s="2">
        <v>58249</v>
      </c>
      <c r="G801" s="2">
        <v>47686</v>
      </c>
    </row>
    <row r="802" spans="1:7" x14ac:dyDescent="0.2">
      <c r="A802" t="s" s="0">
        <v>3195</v>
      </c>
      <c r="B802" s="2">
        <v>854178</v>
      </c>
      <c r="C802" s="2">
        <v>45518</v>
      </c>
      <c r="D802" s="2">
        <v>51758</v>
      </c>
      <c r="E802" s="2">
        <v>45587</v>
      </c>
      <c r="F802" s="2">
        <v>61940</v>
      </c>
      <c r="G802" s="2">
        <v>45771</v>
      </c>
    </row>
    <row r="803" spans="1:7" x14ac:dyDescent="0.2">
      <c r="A803" t="s" s="0">
        <v>3194</v>
      </c>
      <c r="B803" s="3">
        <v>854178</v>
      </c>
      <c r="C803" s="3">
        <v>45518</v>
      </c>
      <c r="D803" s="3">
        <v>51758</v>
      </c>
      <c r="E803" s="3">
        <v>45587</v>
      </c>
      <c r="F803" s="3">
        <v>61940</v>
      </c>
      <c r="G803" s="3">
        <v>45771</v>
      </c>
    </row>
    <row r="804" spans="1:7" x14ac:dyDescent="0.2">
      <c r="A804" t="s" s="0">
        <v>3193</v>
      </c>
      <c r="B804" s="3">
        <v>854178</v>
      </c>
      <c r="C804" s="3">
        <v>45518</v>
      </c>
      <c r="D804" s="3">
        <v>51758</v>
      </c>
      <c r="E804" s="3">
        <v>45587</v>
      </c>
      <c r="F804" s="3">
        <v>61940</v>
      </c>
      <c r="G804" s="3">
        <v>45771</v>
      </c>
    </row>
    <row r="805" spans="1:7" x14ac:dyDescent="0.2">
      <c r="A805" t="s" s="0">
        <v>3192</v>
      </c>
      <c r="B805" s="2">
        <v>856437</v>
      </c>
      <c r="C805" s="2">
        <v>20125</v>
      </c>
      <c r="D805" s="2">
        <v>41809</v>
      </c>
      <c r="E805" s="2">
        <v>44925</v>
      </c>
      <c r="F805" s="2">
        <v>44251</v>
      </c>
      <c r="G805" s="2">
        <v>45225</v>
      </c>
    </row>
    <row r="806" spans="1:7" x14ac:dyDescent="0.2">
      <c r="A806" t="s" s="0">
        <v>3191</v>
      </c>
      <c r="B806" s="2">
        <v>873924</v>
      </c>
      <c r="C806" s="2">
        <v>37952</v>
      </c>
      <c r="D806" s="2">
        <v>42597</v>
      </c>
      <c r="E806" s="2">
        <v>44798</v>
      </c>
      <c r="F806" s="2">
        <v>52103</v>
      </c>
      <c r="G806" s="2">
        <v>44153</v>
      </c>
    </row>
    <row r="807" spans="1:7" x14ac:dyDescent="0.2">
      <c r="A807" t="s" s="0">
        <v>3190</v>
      </c>
      <c r="B807" s="2">
        <v>811656</v>
      </c>
      <c r="C807" s="2">
        <v>30512</v>
      </c>
      <c r="D807" s="2">
        <v>47310</v>
      </c>
      <c r="E807" s="2">
        <v>44972</v>
      </c>
      <c r="F807" s="2">
        <v>34232</v>
      </c>
      <c r="G807" s="2">
        <v>44450</v>
      </c>
    </row>
    <row r="808" spans="1:7" x14ac:dyDescent="0.2">
      <c r="A808" t="s" s="0">
        <v>3189</v>
      </c>
      <c r="B808" s="2">
        <v>861304</v>
      </c>
      <c r="C808" s="2">
        <v>30588</v>
      </c>
      <c r="D808" s="2">
        <v>40113</v>
      </c>
      <c r="E808" s="2">
        <v>44450</v>
      </c>
      <c r="F808" s="2">
        <v>39691</v>
      </c>
      <c r="G808" s="2">
        <v>45693</v>
      </c>
    </row>
    <row r="809" spans="1:7" x14ac:dyDescent="0.2">
      <c r="A809" t="s" s="0">
        <v>3188</v>
      </c>
      <c r="B809" s="2">
        <v>977646</v>
      </c>
      <c r="C809" s="2">
        <v>36754</v>
      </c>
      <c r="D809" s="2">
        <v>38861</v>
      </c>
      <c r="E809" s="2">
        <v>44172</v>
      </c>
      <c r="F809" s="2">
        <v>56451</v>
      </c>
      <c r="G809" s="2">
        <v>49475</v>
      </c>
    </row>
    <row r="810" spans="1:7" x14ac:dyDescent="0.2">
      <c r="A810" t="s" s="0">
        <v>3187</v>
      </c>
      <c r="B810" s="3">
        <v>977646</v>
      </c>
      <c r="C810" s="3">
        <v>36754</v>
      </c>
      <c r="D810" s="3">
        <v>38861</v>
      </c>
      <c r="E810" s="3">
        <v>44172</v>
      </c>
      <c r="F810" s="3">
        <v>56451</v>
      </c>
      <c r="G810" s="3">
        <v>49475</v>
      </c>
    </row>
    <row r="811" spans="1:7" x14ac:dyDescent="0.2">
      <c r="A811" t="s" s="0">
        <v>3186</v>
      </c>
      <c r="B811" s="3">
        <v>977646</v>
      </c>
      <c r="C811" s="3">
        <v>36754</v>
      </c>
      <c r="D811" s="3">
        <v>38861</v>
      </c>
      <c r="E811" s="3">
        <v>44172</v>
      </c>
      <c r="F811" s="3">
        <v>56451</v>
      </c>
      <c r="G811" s="3">
        <v>49475</v>
      </c>
    </row>
    <row r="812" spans="1:7" x14ac:dyDescent="0.2">
      <c r="A812" t="s" s="0">
        <v>3185</v>
      </c>
      <c r="B812" s="2">
        <v>1024043</v>
      </c>
      <c r="C812" s="2">
        <v>22071</v>
      </c>
      <c r="D812" s="2">
        <v>37890</v>
      </c>
      <c r="E812" s="2">
        <v>44271</v>
      </c>
      <c r="F812" s="2">
        <v>61786</v>
      </c>
      <c r="G812" s="2">
        <v>48971</v>
      </c>
    </row>
    <row r="813" spans="1:7" x14ac:dyDescent="0.2">
      <c r="A813" t="s" s="0">
        <v>3184</v>
      </c>
      <c r="B813" s="2">
        <v>973173</v>
      </c>
      <c r="C813" s="2">
        <v>34403</v>
      </c>
      <c r="D813" s="2">
        <v>40579</v>
      </c>
      <c r="E813" s="2">
        <v>45046</v>
      </c>
      <c r="F813" s="2">
        <v>53694</v>
      </c>
      <c r="G813" s="2">
        <v>48929</v>
      </c>
    </row>
    <row r="814" spans="1:7" x14ac:dyDescent="0.2">
      <c r="A814" t="s" s="0">
        <v>3183</v>
      </c>
      <c r="B814" s="2">
        <v>1148864</v>
      </c>
      <c r="C814" s="2">
        <v>35571</v>
      </c>
      <c r="D814" s="2">
        <v>35621</v>
      </c>
      <c r="E814" s="2">
        <v>44794</v>
      </c>
      <c r="F814" s="2">
        <v>82731</v>
      </c>
      <c r="G814" s="2">
        <v>50730</v>
      </c>
    </row>
    <row r="815" spans="1:7" x14ac:dyDescent="0.2">
      <c r="A815" t="s" s="0">
        <v>3182</v>
      </c>
      <c r="B815" s="2">
        <v>1178516</v>
      </c>
      <c r="C815" s="2">
        <v>50031</v>
      </c>
      <c r="D815" s="2">
        <v>38444</v>
      </c>
      <c r="E815" s="2">
        <v>43782</v>
      </c>
      <c r="F815" s="2">
        <v>82697</v>
      </c>
      <c r="G815" s="2">
        <v>50425</v>
      </c>
    </row>
    <row r="816" spans="1:7" x14ac:dyDescent="0.2">
      <c r="A816" t="s" s="0">
        <v>3181</v>
      </c>
      <c r="B816" s="2">
        <v>1135965</v>
      </c>
      <c r="C816" s="2">
        <v>47514</v>
      </c>
      <c r="D816" s="2">
        <v>48505</v>
      </c>
      <c r="E816" s="2">
        <v>46144</v>
      </c>
      <c r="F816" s="2">
        <v>70107</v>
      </c>
      <c r="G816" s="2">
        <v>52729</v>
      </c>
    </row>
    <row r="817" spans="1:7" x14ac:dyDescent="0.2">
      <c r="A817" t="s" s="0">
        <v>3180</v>
      </c>
      <c r="B817" s="3">
        <v>1135965</v>
      </c>
      <c r="C817" s="3">
        <v>47514</v>
      </c>
      <c r="D817" s="3">
        <v>48505</v>
      </c>
      <c r="E817" s="3">
        <v>46144</v>
      </c>
      <c r="F817" s="3">
        <v>70107</v>
      </c>
      <c r="G817" s="3">
        <v>52729</v>
      </c>
    </row>
    <row r="818" spans="1:7" x14ac:dyDescent="0.2">
      <c r="A818" t="s" s="0">
        <v>3179</v>
      </c>
      <c r="B818" s="3">
        <v>1135965</v>
      </c>
      <c r="C818" s="3">
        <v>47514</v>
      </c>
      <c r="D818" s="3">
        <v>48505</v>
      </c>
      <c r="E818" s="3">
        <v>46144</v>
      </c>
      <c r="F818" s="3">
        <v>70107</v>
      </c>
      <c r="G818" s="3">
        <v>52729</v>
      </c>
    </row>
    <row r="819" spans="1:7" x14ac:dyDescent="0.2">
      <c r="A819" t="s" s="0">
        <v>3178</v>
      </c>
      <c r="B819" s="2">
        <v>975449</v>
      </c>
      <c r="C819" s="2">
        <v>24217</v>
      </c>
      <c r="D819" s="2">
        <v>60779</v>
      </c>
      <c r="E819" s="2">
        <v>47445</v>
      </c>
      <c r="F819" s="2">
        <v>52106</v>
      </c>
      <c r="G819" s="2">
        <v>51759</v>
      </c>
    </row>
    <row r="820" spans="1:7" x14ac:dyDescent="0.2">
      <c r="A820" t="s" s="0">
        <v>3177</v>
      </c>
      <c r="B820" s="2">
        <v>1169603</v>
      </c>
      <c r="C820" s="2">
        <v>42216</v>
      </c>
      <c r="D820" s="2">
        <v>60845</v>
      </c>
      <c r="E820" s="2">
        <v>48224</v>
      </c>
      <c r="F820" s="2">
        <v>88190</v>
      </c>
      <c r="G820" s="2">
        <v>57809</v>
      </c>
    </row>
    <row r="821" spans="1:7" x14ac:dyDescent="0.2">
      <c r="A821" t="s" s="0">
        <v>3176</v>
      </c>
      <c r="B821" s="2">
        <v>1152282</v>
      </c>
      <c r="C821" s="2">
        <v>37796</v>
      </c>
      <c r="D821" s="2">
        <v>68305</v>
      </c>
      <c r="E821" s="2">
        <v>49618</v>
      </c>
      <c r="F821" s="2">
        <v>68077</v>
      </c>
      <c r="G821" s="2">
        <v>60606</v>
      </c>
    </row>
    <row r="822" spans="1:7" x14ac:dyDescent="0.2">
      <c r="A822" t="s" s="0">
        <v>3175</v>
      </c>
      <c r="B822" s="2">
        <v>1095953</v>
      </c>
      <c r="C822" s="2">
        <v>44886</v>
      </c>
      <c r="D822" s="2">
        <v>75382</v>
      </c>
      <c r="E822" s="2">
        <v>51259</v>
      </c>
      <c r="F822" s="2">
        <v>62872</v>
      </c>
      <c r="G822" s="2">
        <v>60877</v>
      </c>
    </row>
    <row r="823" spans="1:7" x14ac:dyDescent="0.2">
      <c r="A823" t="s" s="0">
        <v>3174</v>
      </c>
      <c r="B823" s="2">
        <v>1306884</v>
      </c>
      <c r="C823" s="2">
        <v>36631</v>
      </c>
      <c r="D823" s="2">
        <v>65304</v>
      </c>
      <c r="E823" s="2">
        <v>51107</v>
      </c>
      <c r="F823" s="2">
        <v>87657</v>
      </c>
      <c r="G823" s="2">
        <v>69039</v>
      </c>
    </row>
    <row r="824" spans="1:7" x14ac:dyDescent="0.2">
      <c r="A824" t="s" s="0">
        <v>3173</v>
      </c>
      <c r="B824" s="3">
        <v>1306884</v>
      </c>
      <c r="C824" s="3">
        <v>36631</v>
      </c>
      <c r="D824" s="3">
        <v>65304</v>
      </c>
      <c r="E824" s="3">
        <v>51107</v>
      </c>
      <c r="F824" s="3">
        <v>87657</v>
      </c>
      <c r="G824" s="3">
        <v>69039</v>
      </c>
    </row>
    <row r="825" spans="1:7" x14ac:dyDescent="0.2">
      <c r="A825" t="s" s="0">
        <v>3172</v>
      </c>
      <c r="B825" s="3">
        <v>1306884</v>
      </c>
      <c r="C825" s="3">
        <v>36631</v>
      </c>
      <c r="D825" s="3">
        <v>65304</v>
      </c>
      <c r="E825" s="3">
        <v>51107</v>
      </c>
      <c r="F825" s="3">
        <v>87657</v>
      </c>
      <c r="G825" s="3">
        <v>69039</v>
      </c>
    </row>
    <row r="826" spans="1:7" x14ac:dyDescent="0.2">
      <c r="A826" t="s" s="0">
        <v>3171</v>
      </c>
      <c r="B826" s="2">
        <v>1298062</v>
      </c>
      <c r="C826" s="2">
        <v>25334</v>
      </c>
      <c r="D826" s="2">
        <v>55087</v>
      </c>
      <c r="E826" s="2">
        <v>48891</v>
      </c>
      <c r="F826" s="2">
        <v>99736</v>
      </c>
      <c r="G826" s="2">
        <v>64470</v>
      </c>
    </row>
    <row r="827" spans="1:7" x14ac:dyDescent="0.2">
      <c r="A827" t="s" s="0">
        <v>3170</v>
      </c>
      <c r="B827" s="2">
        <v>1273370</v>
      </c>
      <c r="C827" s="2">
        <v>39563</v>
      </c>
      <c r="D827" s="2">
        <v>52563</v>
      </c>
      <c r="E827" s="2">
        <v>49146</v>
      </c>
      <c r="F827" s="2">
        <v>65948</v>
      </c>
      <c r="G827" s="2">
        <v>64984</v>
      </c>
    </row>
    <row r="828" spans="1:7" x14ac:dyDescent="0.2">
      <c r="A828" t="s" s="0">
        <v>3169</v>
      </c>
      <c r="B828" s="2">
        <v>1249409</v>
      </c>
      <c r="C828" s="2">
        <v>44976</v>
      </c>
      <c r="D828" s="2">
        <v>49305</v>
      </c>
      <c r="E828" s="2">
        <v>50135</v>
      </c>
      <c r="F828" s="2">
        <v>61742</v>
      </c>
      <c r="G828" s="2">
        <v>61696</v>
      </c>
    </row>
    <row r="829" spans="1:7" x14ac:dyDescent="0.2">
      <c r="A829" t="s" s="0">
        <v>3168</v>
      </c>
      <c r="B829" s="2">
        <v>1195342</v>
      </c>
      <c r="C829" s="2">
        <v>41527</v>
      </c>
      <c r="D829" s="2">
        <v>42361</v>
      </c>
      <c r="E829" s="2">
        <v>49075</v>
      </c>
      <c r="F829" s="2">
        <v>55121</v>
      </c>
      <c r="G829" s="2">
        <v>60095</v>
      </c>
    </row>
    <row r="830" spans="1:7" x14ac:dyDescent="0.2">
      <c r="A830" t="s" s="0">
        <v>3167</v>
      </c>
      <c r="B830" s="2">
        <v>1189235</v>
      </c>
      <c r="C830" s="2">
        <v>41300</v>
      </c>
      <c r="D830" s="2">
        <v>44571</v>
      </c>
      <c r="E830" s="2">
        <v>49310</v>
      </c>
      <c r="F830" s="2">
        <v>26359</v>
      </c>
      <c r="G830" s="2">
        <v>60144</v>
      </c>
    </row>
    <row r="831" spans="1:7" x14ac:dyDescent="0.2">
      <c r="A831" t="s" s="0">
        <v>3166</v>
      </c>
      <c r="B831" s="3">
        <v>1189235</v>
      </c>
      <c r="C831" s="3">
        <v>41300</v>
      </c>
      <c r="D831" s="3">
        <v>44571</v>
      </c>
      <c r="E831" s="3">
        <v>49310</v>
      </c>
      <c r="F831" s="3">
        <v>26359</v>
      </c>
      <c r="G831" s="3">
        <v>60144</v>
      </c>
    </row>
    <row r="832" spans="1:7" x14ac:dyDescent="0.2">
      <c r="A832" t="s" s="0">
        <v>3165</v>
      </c>
      <c r="B832" s="3">
        <v>1189235</v>
      </c>
      <c r="C832" s="3">
        <v>41300</v>
      </c>
      <c r="D832" s="3">
        <v>44571</v>
      </c>
      <c r="E832" s="3">
        <v>49310</v>
      </c>
      <c r="F832" s="3">
        <v>26359</v>
      </c>
      <c r="G832" s="3">
        <v>60144</v>
      </c>
    </row>
    <row r="833" spans="1:7" x14ac:dyDescent="0.2">
      <c r="A833" t="s" s="0">
        <v>3164</v>
      </c>
      <c r="B833" s="2">
        <v>1128953</v>
      </c>
      <c r="C833" s="2">
        <v>21044</v>
      </c>
      <c r="D833" s="2">
        <v>44964</v>
      </c>
      <c r="E833" s="2">
        <v>49680</v>
      </c>
      <c r="F833" s="2">
        <v>19492</v>
      </c>
      <c r="G833" s="2">
        <v>58280</v>
      </c>
    </row>
    <row r="834" spans="1:7" x14ac:dyDescent="0.2">
      <c r="A834" t="s" s="0">
        <v>3163</v>
      </c>
      <c r="B834" s="2">
        <v>1084084</v>
      </c>
      <c r="C834" s="2">
        <v>38953</v>
      </c>
      <c r="D834" s="2">
        <v>51439</v>
      </c>
      <c r="E834" s="2">
        <v>51356</v>
      </c>
      <c r="F834" s="2">
        <v>23084</v>
      </c>
      <c r="G834" s="2">
        <v>57729</v>
      </c>
    </row>
    <row r="835" spans="1:7" x14ac:dyDescent="0.2">
      <c r="A835" t="s" s="0">
        <v>3162</v>
      </c>
      <c r="B835" s="2">
        <v>1036134</v>
      </c>
      <c r="C835" s="2">
        <v>34952</v>
      </c>
      <c r="D835" s="2">
        <v>48576</v>
      </c>
      <c r="E835" s="2">
        <v>50452</v>
      </c>
      <c r="F835" s="2">
        <v>16795</v>
      </c>
      <c r="G835" s="2">
        <v>57336</v>
      </c>
    </row>
    <row r="836" spans="1:7" x14ac:dyDescent="0.2">
      <c r="A836" t="s" s="0">
        <v>3161</v>
      </c>
      <c r="B836" s="2">
        <v>995237</v>
      </c>
      <c r="C836" s="2">
        <v>41622</v>
      </c>
      <c r="D836" s="2">
        <v>47197</v>
      </c>
      <c r="E836" s="2">
        <v>50846</v>
      </c>
      <c r="F836" s="2">
        <v>17297</v>
      </c>
      <c r="G836" s="2">
        <v>54497</v>
      </c>
    </row>
    <row r="837" spans="1:7" x14ac:dyDescent="0.2">
      <c r="A837" t="s" s="0">
        <v>3160</v>
      </c>
      <c r="B837" s="2">
        <v>961490</v>
      </c>
      <c r="C837" s="2">
        <v>44364</v>
      </c>
      <c r="D837" s="2">
        <v>46092</v>
      </c>
      <c r="E837" s="2">
        <v>51118</v>
      </c>
      <c r="F837" s="2">
        <v>12124</v>
      </c>
      <c r="G837" s="2">
        <v>49062</v>
      </c>
    </row>
    <row r="838" spans="1:7" x14ac:dyDescent="0.2">
      <c r="A838" t="s" s="0">
        <v>3159</v>
      </c>
      <c r="B838" s="3">
        <v>961490</v>
      </c>
      <c r="C838" s="3">
        <v>44364</v>
      </c>
      <c r="D838" s="3">
        <v>46092</v>
      </c>
      <c r="E838" s="3">
        <v>51118</v>
      </c>
      <c r="F838" s="3">
        <v>12124</v>
      </c>
      <c r="G838" s="3">
        <v>49062</v>
      </c>
    </row>
    <row r="839" spans="1:7" x14ac:dyDescent="0.2">
      <c r="A839" t="s" s="0">
        <v>3158</v>
      </c>
      <c r="B839" s="3">
        <v>961490</v>
      </c>
      <c r="C839" s="3">
        <v>44364</v>
      </c>
      <c r="D839" s="3">
        <v>46092</v>
      </c>
      <c r="E839" s="3">
        <v>51118</v>
      </c>
      <c r="F839" s="3">
        <v>12124</v>
      </c>
      <c r="G839" s="3">
        <v>49062</v>
      </c>
    </row>
    <row r="840" spans="1:7" x14ac:dyDescent="0.2">
      <c r="A840" t="s" s="0">
        <v>3157</v>
      </c>
      <c r="B840" s="2">
        <v>938246</v>
      </c>
      <c r="C840" s="2">
        <v>22856</v>
      </c>
      <c r="D840" s="2">
        <v>46120</v>
      </c>
      <c r="E840" s="2">
        <v>51738</v>
      </c>
      <c r="F840" s="2">
        <v>17444</v>
      </c>
      <c r="G840" s="2">
        <v>47195</v>
      </c>
    </row>
    <row r="841" spans="1:7" x14ac:dyDescent="0.2">
      <c r="A841" t="s" s="0">
        <v>3156</v>
      </c>
      <c r="B841" s="2">
        <v>1050012</v>
      </c>
      <c r="C841" s="2">
        <v>34736</v>
      </c>
      <c r="D841" s="2">
        <v>38773</v>
      </c>
      <c r="E841" s="2">
        <v>50905</v>
      </c>
      <c r="F841" s="2">
        <v>32472</v>
      </c>
      <c r="G841" s="2">
        <v>52424</v>
      </c>
    </row>
    <row r="842" spans="1:7" x14ac:dyDescent="0.2">
      <c r="A842" t="s" s="0">
        <v>3155</v>
      </c>
      <c r="B842" s="2">
        <v>1002861</v>
      </c>
      <c r="C842" s="2">
        <v>39900</v>
      </c>
      <c r="D842" s="2">
        <v>38051</v>
      </c>
      <c r="E842" s="2">
        <v>51059</v>
      </c>
      <c r="F842" s="2">
        <v>31864</v>
      </c>
      <c r="G842" s="2">
        <v>44620</v>
      </c>
    </row>
    <row r="843" spans="1:7" x14ac:dyDescent="0.2">
      <c r="A843" t="s" s="0">
        <v>3154</v>
      </c>
      <c r="B843" s="2">
        <v>1031261</v>
      </c>
      <c r="C843" s="2">
        <v>40840</v>
      </c>
      <c r="D843" s="2">
        <v>37939</v>
      </c>
      <c r="E843" s="2">
        <v>50720</v>
      </c>
      <c r="F843" s="2">
        <v>40546</v>
      </c>
      <c r="G843" s="2">
        <v>43959</v>
      </c>
    </row>
    <row r="844" spans="1:7" x14ac:dyDescent="0.2">
      <c r="A844" t="s" s="0">
        <v>3153</v>
      </c>
      <c r="B844" s="2">
        <v>987678</v>
      </c>
      <c r="C844" s="2">
        <v>33347</v>
      </c>
      <c r="D844" s="2">
        <v>39209</v>
      </c>
      <c r="E844" s="2">
        <v>48794</v>
      </c>
      <c r="F844" s="2">
        <v>41844</v>
      </c>
      <c r="G844" s="2">
        <v>41996</v>
      </c>
    </row>
    <row r="845" spans="1:7" x14ac:dyDescent="0.2">
      <c r="A845" t="s" s="0">
        <v>3152</v>
      </c>
      <c r="B845" s="3">
        <v>987678</v>
      </c>
      <c r="C845" s="3">
        <v>33347</v>
      </c>
      <c r="D845" s="3">
        <v>39209</v>
      </c>
      <c r="E845" s="3">
        <v>48794</v>
      </c>
      <c r="F845" s="3">
        <v>41844</v>
      </c>
      <c r="G845" s="3">
        <v>41996</v>
      </c>
    </row>
    <row r="846" spans="1:7" x14ac:dyDescent="0.2">
      <c r="A846" t="s" s="0">
        <v>3151</v>
      </c>
      <c r="B846" s="3">
        <v>987678</v>
      </c>
      <c r="C846" s="3">
        <v>33347</v>
      </c>
      <c r="D846" s="3">
        <v>39209</v>
      </c>
      <c r="E846" s="3">
        <v>48794</v>
      </c>
      <c r="F846" s="3">
        <v>41844</v>
      </c>
      <c r="G846" s="3">
        <v>41996</v>
      </c>
    </row>
    <row r="847" spans="1:7" x14ac:dyDescent="0.2">
      <c r="A847" t="s" s="0">
        <v>3150</v>
      </c>
      <c r="B847" s="2">
        <v>863006</v>
      </c>
      <c r="C847" s="2">
        <v>23460</v>
      </c>
      <c r="D847" s="2">
        <v>45010</v>
      </c>
      <c r="E847" s="2">
        <v>47796</v>
      </c>
      <c r="F847" s="2">
        <v>33156</v>
      </c>
      <c r="G847" s="2">
        <v>42457</v>
      </c>
    </row>
    <row r="848" spans="1:7" x14ac:dyDescent="0.2">
      <c r="A848" t="s" s="0">
        <v>3149</v>
      </c>
      <c r="B848" s="2">
        <v>828133</v>
      </c>
      <c r="C848" s="2">
        <v>36373</v>
      </c>
      <c r="D848" s="2">
        <v>45428</v>
      </c>
      <c r="E848" s="2">
        <v>47051</v>
      </c>
      <c r="F848" s="2">
        <v>12625</v>
      </c>
      <c r="G848" s="2">
        <v>33533</v>
      </c>
    </row>
    <row r="849" spans="1:7" x14ac:dyDescent="0.2">
      <c r="A849" t="s" s="0">
        <v>3148</v>
      </c>
      <c r="B849" s="2">
        <v>815965</v>
      </c>
      <c r="C849" s="2">
        <v>43197</v>
      </c>
      <c r="D849" s="2">
        <v>45899</v>
      </c>
      <c r="E849" s="2">
        <v>45458</v>
      </c>
      <c r="F849" s="2">
        <v>18094</v>
      </c>
      <c r="G849" s="2">
        <v>32124</v>
      </c>
    </row>
    <row r="850" spans="1:7" x14ac:dyDescent="0.2">
      <c r="A850" t="s" s="0">
        <v>3147</v>
      </c>
      <c r="B850" s="2">
        <v>834731</v>
      </c>
      <c r="C850" s="2">
        <v>43034</v>
      </c>
      <c r="D850" s="2">
        <v>46213</v>
      </c>
      <c r="E850" s="2">
        <v>43427</v>
      </c>
      <c r="F850" s="2">
        <v>18137</v>
      </c>
      <c r="G850" s="2">
        <v>32775</v>
      </c>
    </row>
    <row r="851" spans="1:7" x14ac:dyDescent="0.2">
      <c r="A851" t="s" s="0">
        <v>3146</v>
      </c>
      <c r="B851" s="2">
        <v>837742</v>
      </c>
      <c r="C851" s="2">
        <v>41207</v>
      </c>
      <c r="D851" s="2">
        <v>44492</v>
      </c>
      <c r="E851" s="2">
        <v>43591</v>
      </c>
      <c r="F851" s="2">
        <v>22018</v>
      </c>
      <c r="G851" s="2">
        <v>25586</v>
      </c>
    </row>
    <row r="852" spans="1:7" x14ac:dyDescent="0.2">
      <c r="A852" t="s" s="0">
        <v>3145</v>
      </c>
      <c r="B852" s="3">
        <v>837742</v>
      </c>
      <c r="C852" s="3">
        <v>41207</v>
      </c>
      <c r="D852" s="3">
        <v>44492</v>
      </c>
      <c r="E852" s="3">
        <v>43591</v>
      </c>
      <c r="F852" s="3">
        <v>22018</v>
      </c>
      <c r="G852" s="3">
        <v>25586</v>
      </c>
    </row>
    <row r="853" spans="1:7" x14ac:dyDescent="0.2">
      <c r="A853" t="s" s="0">
        <v>3144</v>
      </c>
      <c r="B853" s="3">
        <v>837742</v>
      </c>
      <c r="C853" s="3">
        <v>41207</v>
      </c>
      <c r="D853" s="3">
        <v>44492</v>
      </c>
      <c r="E853" s="3">
        <v>43591</v>
      </c>
      <c r="F853" s="3">
        <v>22018</v>
      </c>
      <c r="G853" s="3">
        <v>25586</v>
      </c>
    </row>
    <row r="854" spans="1:7" x14ac:dyDescent="0.2">
      <c r="A854" t="s" s="0">
        <v>3143</v>
      </c>
      <c r="B854" s="2">
        <v>807601</v>
      </c>
      <c r="C854" s="2">
        <v>26699</v>
      </c>
      <c r="D854" s="2">
        <v>37209</v>
      </c>
      <c r="E854" s="2">
        <v>43326</v>
      </c>
      <c r="F854" s="2">
        <v>28239</v>
      </c>
      <c r="G854" s="2">
        <v>24583</v>
      </c>
    </row>
    <row r="855" spans="1:7" x14ac:dyDescent="0.2">
      <c r="A855" t="s" s="0">
        <v>3142</v>
      </c>
      <c r="B855" s="2">
        <v>789929</v>
      </c>
      <c r="C855" s="2">
        <v>32437</v>
      </c>
      <c r="D855" s="2">
        <v>36647</v>
      </c>
      <c r="E855" s="2">
        <v>43072</v>
      </c>
      <c r="F855" s="2">
        <v>30052</v>
      </c>
      <c r="G855" s="2">
        <v>24558</v>
      </c>
    </row>
    <row r="856" spans="1:7" x14ac:dyDescent="0.2">
      <c r="A856" t="s" s="0">
        <v>3141</v>
      </c>
      <c r="B856" s="2">
        <v>743605</v>
      </c>
      <c r="C856" s="2">
        <v>46924</v>
      </c>
      <c r="D856" s="2">
        <v>37179</v>
      </c>
      <c r="E856" s="2">
        <v>42426</v>
      </c>
      <c r="F856" s="2">
        <v>25705</v>
      </c>
      <c r="G856" s="2">
        <v>23114</v>
      </c>
    </row>
    <row r="857" spans="1:7" x14ac:dyDescent="0.2">
      <c r="A857" t="s" s="0">
        <v>3140</v>
      </c>
      <c r="B857" s="2">
        <v>767540</v>
      </c>
      <c r="C857" s="2">
        <v>35670</v>
      </c>
      <c r="D857" s="2">
        <v>38585</v>
      </c>
      <c r="E857" s="2">
        <v>42483</v>
      </c>
      <c r="F857" s="2">
        <v>27848</v>
      </c>
      <c r="G857" s="2">
        <v>25957</v>
      </c>
    </row>
    <row r="858" spans="1:7" x14ac:dyDescent="0.2">
      <c r="A858" t="s" s="0">
        <v>3139</v>
      </c>
      <c r="B858" s="2">
        <v>796600</v>
      </c>
      <c r="C858" s="2">
        <v>36531</v>
      </c>
      <c r="D858" s="2">
        <v>37917</v>
      </c>
      <c r="E858" s="2">
        <v>41927</v>
      </c>
      <c r="F858" s="2">
        <v>31957</v>
      </c>
      <c r="G858" s="2">
        <v>26985</v>
      </c>
    </row>
    <row r="859" spans="1:7" x14ac:dyDescent="0.2">
      <c r="A859" t="s" s="0">
        <v>3138</v>
      </c>
      <c r="B859" s="3">
        <v>796600</v>
      </c>
      <c r="C859" s="3">
        <v>36531</v>
      </c>
      <c r="D859" s="3">
        <v>37917</v>
      </c>
      <c r="E859" s="3">
        <v>41927</v>
      </c>
      <c r="F859" s="3">
        <v>31957</v>
      </c>
      <c r="G859" s="3">
        <v>26985</v>
      </c>
    </row>
    <row r="860" spans="1:7" x14ac:dyDescent="0.2">
      <c r="A860" t="s" s="0">
        <v>3137</v>
      </c>
      <c r="B860" s="3">
        <v>796600</v>
      </c>
      <c r="C860" s="3">
        <v>36531</v>
      </c>
      <c r="D860" s="3">
        <v>37917</v>
      </c>
      <c r="E860" s="3">
        <v>41927</v>
      </c>
      <c r="F860" s="3">
        <v>31957</v>
      </c>
      <c r="G860" s="3">
        <v>26985</v>
      </c>
    </row>
    <row r="861" spans="1:7" x14ac:dyDescent="0.2">
      <c r="A861" t="s" s="0">
        <v>3136</v>
      </c>
      <c r="B861" s="2">
        <v>915331</v>
      </c>
      <c r="C861" s="2">
        <v>22981</v>
      </c>
      <c r="D861" s="2">
        <v>38542</v>
      </c>
      <c r="E861" s="2">
        <v>41721</v>
      </c>
      <c r="F861" s="2">
        <v>52880</v>
      </c>
      <c r="G861" s="2">
        <v>32930</v>
      </c>
    </row>
    <row r="862" spans="1:7" x14ac:dyDescent="0.2">
      <c r="A862" t="s" s="0">
        <v>3135</v>
      </c>
      <c r="B862" s="2">
        <v>915105</v>
      </c>
      <c r="C862" s="2">
        <v>38203</v>
      </c>
      <c r="D862" s="2">
        <v>40795</v>
      </c>
      <c r="E862" s="2">
        <v>40411</v>
      </c>
      <c r="F862" s="2">
        <v>57707</v>
      </c>
      <c r="G862" s="2">
        <v>33214</v>
      </c>
    </row>
    <row r="863" spans="1:7" x14ac:dyDescent="0.2">
      <c r="A863" t="s" s="0">
        <v>3134</v>
      </c>
      <c r="B863" s="2">
        <v>878151</v>
      </c>
      <c r="C863" s="2">
        <v>41343</v>
      </c>
      <c r="D863" s="2">
        <v>39997</v>
      </c>
      <c r="E863" s="2">
        <v>40282</v>
      </c>
      <c r="F863" s="2">
        <v>58249</v>
      </c>
      <c r="G863" s="2">
        <v>33478</v>
      </c>
    </row>
    <row r="864" spans="1:7" x14ac:dyDescent="0.2">
      <c r="A864" t="s" s="0">
        <v>3133</v>
      </c>
      <c r="B864" s="2">
        <v>940536</v>
      </c>
      <c r="C864" s="2">
        <v>36234</v>
      </c>
      <c r="D864" s="2">
        <v>39202</v>
      </c>
      <c r="E864" s="2">
        <v>40485</v>
      </c>
      <c r="F864" s="2">
        <v>62946</v>
      </c>
      <c r="G864" s="2">
        <v>37370</v>
      </c>
    </row>
    <row r="865" spans="1:7" x14ac:dyDescent="0.2">
      <c r="A865" t="s" s="0">
        <v>3132</v>
      </c>
      <c r="B865" s="2">
        <v>900531</v>
      </c>
      <c r="C865" s="2">
        <v>40292</v>
      </c>
      <c r="D865" s="2">
        <v>41169</v>
      </c>
      <c r="E865" s="2">
        <v>40697</v>
      </c>
      <c r="F865" s="2">
        <v>53525</v>
      </c>
      <c r="G865" s="2">
        <v>37336</v>
      </c>
    </row>
    <row r="866" spans="1:7" x14ac:dyDescent="0.2">
      <c r="A866" t="s" s="0">
        <v>3131</v>
      </c>
      <c r="B866" s="3">
        <v>900531</v>
      </c>
      <c r="C866" s="3">
        <v>40292</v>
      </c>
      <c r="D866" s="3">
        <v>41169</v>
      </c>
      <c r="E866" s="3">
        <v>40697</v>
      </c>
      <c r="F866" s="3">
        <v>53525</v>
      </c>
      <c r="G866" s="3">
        <v>37336</v>
      </c>
    </row>
    <row r="867" spans="1:7" x14ac:dyDescent="0.2">
      <c r="A867" t="s" s="0">
        <v>3130</v>
      </c>
      <c r="B867" s="3">
        <v>900531</v>
      </c>
      <c r="C867" s="3">
        <v>40292</v>
      </c>
      <c r="D867" s="3">
        <v>41169</v>
      </c>
      <c r="E867" s="3">
        <v>40697</v>
      </c>
      <c r="F867" s="3">
        <v>53525</v>
      </c>
      <c r="G867" s="3">
        <v>37336</v>
      </c>
    </row>
    <row r="868" spans="1:7" x14ac:dyDescent="0.2">
      <c r="A868" t="s" s="0">
        <v>3129</v>
      </c>
      <c r="B868" s="2">
        <v>941276</v>
      </c>
      <c r="C868" s="2">
        <v>24205</v>
      </c>
      <c r="D868" s="2">
        <v>40556</v>
      </c>
      <c r="E868" s="2">
        <v>40329</v>
      </c>
      <c r="F868" s="2">
        <v>42740</v>
      </c>
      <c r="G868" s="2">
        <v>39254</v>
      </c>
    </row>
    <row r="869" spans="1:7" x14ac:dyDescent="0.2">
      <c r="A869" t="s" s="0">
        <v>3128</v>
      </c>
      <c r="B869" s="2">
        <v>1062836</v>
      </c>
      <c r="C869" s="2">
        <v>35730</v>
      </c>
      <c r="D869" s="2">
        <v>39490</v>
      </c>
      <c r="E869" s="2">
        <v>40590</v>
      </c>
      <c r="F869" s="2">
        <v>59072</v>
      </c>
      <c r="G869" s="2">
        <v>39864</v>
      </c>
    </row>
    <row r="870" spans="1:7" x14ac:dyDescent="0.2">
      <c r="A870" t="s" s="0">
        <v>3127</v>
      </c>
      <c r="B870" s="2">
        <v>1052314</v>
      </c>
      <c r="C870" s="2">
        <v>43319</v>
      </c>
      <c r="D870" s="2">
        <v>39772</v>
      </c>
      <c r="E870" s="2">
        <v>40712</v>
      </c>
      <c r="F870" s="2">
        <v>63130</v>
      </c>
      <c r="G870" s="2">
        <v>41294</v>
      </c>
    </row>
    <row r="871" spans="1:7" x14ac:dyDescent="0.2">
      <c r="A871" t="s" s="0">
        <v>3126</v>
      </c>
      <c r="B871" s="2">
        <v>1181328</v>
      </c>
      <c r="C871" s="2">
        <v>39629</v>
      </c>
      <c r="D871" s="2">
        <v>40104</v>
      </c>
      <c r="E871" s="2">
        <v>41026</v>
      </c>
      <c r="F871" s="2">
        <v>72863</v>
      </c>
      <c r="G871" s="2">
        <v>45449</v>
      </c>
    </row>
    <row r="872" spans="1:7" x14ac:dyDescent="0.2">
      <c r="A872" t="s" s="0">
        <v>3125</v>
      </c>
      <c r="B872" s="2">
        <v>1122386</v>
      </c>
      <c r="C872" s="2">
        <v>46225</v>
      </c>
      <c r="D872" s="2">
        <v>41476</v>
      </c>
      <c r="E872" s="2">
        <v>41263</v>
      </c>
      <c r="F872" s="2">
        <v>72535</v>
      </c>
      <c r="G872" s="2">
        <v>45008</v>
      </c>
    </row>
    <row r="873" spans="1:7" x14ac:dyDescent="0.2">
      <c r="A873" t="s" s="0">
        <v>3124</v>
      </c>
      <c r="B873" s="3">
        <v>1122386</v>
      </c>
      <c r="C873" s="3">
        <v>46225</v>
      </c>
      <c r="D873" s="3">
        <v>41476</v>
      </c>
      <c r="E873" s="3">
        <v>41263</v>
      </c>
      <c r="F873" s="3">
        <v>72535</v>
      </c>
      <c r="G873" s="3">
        <v>45008</v>
      </c>
    </row>
    <row r="874" spans="1:7" x14ac:dyDescent="0.2">
      <c r="A874" t="s" s="0">
        <v>3123</v>
      </c>
      <c r="B874" s="3">
        <v>1122386</v>
      </c>
      <c r="C874" s="3">
        <v>46225</v>
      </c>
      <c r="D874" s="3">
        <v>41476</v>
      </c>
      <c r="E874" s="3">
        <v>41263</v>
      </c>
      <c r="F874" s="3">
        <v>72535</v>
      </c>
      <c r="G874" s="3">
        <v>45008</v>
      </c>
    </row>
    <row r="875" spans="1:7" x14ac:dyDescent="0.2">
      <c r="A875" t="s" s="0">
        <v>3122</v>
      </c>
      <c r="B875" s="2">
        <v>1199301</v>
      </c>
      <c r="C875" s="2">
        <v>26291</v>
      </c>
      <c r="D875" s="2">
        <v>42898</v>
      </c>
      <c r="E875" s="2">
        <v>39801</v>
      </c>
      <c r="F875" s="2">
        <v>79124</v>
      </c>
      <c r="G875" s="2">
        <v>50746</v>
      </c>
    </row>
    <row r="876" spans="1:7" x14ac:dyDescent="0.2">
      <c r="A876" t="s" s="0">
        <v>3121</v>
      </c>
      <c r="B876" s="2">
        <v>1263243</v>
      </c>
      <c r="C876" s="2">
        <v>45602</v>
      </c>
      <c r="D876" s="2">
        <v>43593</v>
      </c>
      <c r="E876" s="2">
        <v>40131</v>
      </c>
      <c r="F876" s="2">
        <v>71588</v>
      </c>
      <c r="G876" s="2">
        <v>54605</v>
      </c>
    </row>
    <row r="877" spans="1:7" x14ac:dyDescent="0.2">
      <c r="A877" t="s" s="0">
        <v>3120</v>
      </c>
      <c r="B877" s="2">
        <v>1221332</v>
      </c>
      <c r="C877" s="2">
        <v>45921</v>
      </c>
      <c r="D877" s="2">
        <v>47480</v>
      </c>
      <c r="E877" s="2">
        <v>41107</v>
      </c>
      <c r="F877" s="2">
        <v>70991</v>
      </c>
      <c r="G877" s="2">
        <v>54519</v>
      </c>
    </row>
    <row r="878" spans="1:7" x14ac:dyDescent="0.2">
      <c r="A878" t="s" s="0">
        <v>3119</v>
      </c>
      <c r="B878" s="2">
        <v>1203138</v>
      </c>
      <c r="C878" s="2">
        <v>46481</v>
      </c>
      <c r="D878" s="2">
        <v>49858</v>
      </c>
      <c r="E878" s="2">
        <v>41937</v>
      </c>
      <c r="F878" s="2">
        <v>52457</v>
      </c>
      <c r="G878" s="2">
        <v>54029</v>
      </c>
    </row>
    <row r="879" spans="1:7" x14ac:dyDescent="0.2">
      <c r="A879" t="s" s="0">
        <v>3118</v>
      </c>
      <c r="B879" s="2">
        <v>1193664</v>
      </c>
      <c r="C879" s="2">
        <v>19473</v>
      </c>
      <c r="D879" s="2">
        <v>44083</v>
      </c>
      <c r="E879" s="2">
        <v>41161</v>
      </c>
      <c r="F879" s="2">
        <v>54265</v>
      </c>
      <c r="G879" s="2">
        <v>53070</v>
      </c>
    </row>
    <row r="880" spans="1:7" x14ac:dyDescent="0.2">
      <c r="A880" t="s" s="0">
        <v>3117</v>
      </c>
      <c r="B880" s="3">
        <v>1193664</v>
      </c>
      <c r="C880" s="3">
        <v>19473</v>
      </c>
      <c r="D880" s="3">
        <v>44083</v>
      </c>
      <c r="E880" s="3">
        <v>41161</v>
      </c>
      <c r="F880" s="3">
        <v>54265</v>
      </c>
      <c r="G880" s="3">
        <v>53070</v>
      </c>
    </row>
    <row r="881" spans="1:7" x14ac:dyDescent="0.2">
      <c r="A881" t="s" s="0">
        <v>3116</v>
      </c>
      <c r="B881" s="3">
        <v>1193664</v>
      </c>
      <c r="C881" s="3">
        <v>19473</v>
      </c>
      <c r="D881" s="3">
        <v>44083</v>
      </c>
      <c r="E881" s="3">
        <v>41161</v>
      </c>
      <c r="F881" s="3">
        <v>54265</v>
      </c>
      <c r="G881" s="3">
        <v>53070</v>
      </c>
    </row>
    <row r="882" spans="1:7" x14ac:dyDescent="0.2">
      <c r="A882" t="s" s="0">
        <v>3115</v>
      </c>
      <c r="B882" s="2">
        <v>1277290</v>
      </c>
      <c r="C882" s="2">
        <v>22044</v>
      </c>
      <c r="D882" s="2">
        <v>41645</v>
      </c>
      <c r="E882" s="2">
        <v>40910</v>
      </c>
      <c r="F882" s="2">
        <v>52786</v>
      </c>
      <c r="G882" s="2">
        <v>56883</v>
      </c>
    </row>
    <row r="883" spans="1:7" x14ac:dyDescent="0.2">
      <c r="A883" t="s" s="0">
        <v>3114</v>
      </c>
      <c r="B883" s="2">
        <v>1255746</v>
      </c>
      <c r="C883" s="2">
        <v>37622</v>
      </c>
      <c r="D883" s="2">
        <v>40505</v>
      </c>
      <c r="E883" s="2">
        <v>41096</v>
      </c>
      <c r="F883" s="2">
        <v>38911</v>
      </c>
      <c r="G883" s="2">
        <v>56820</v>
      </c>
    </row>
    <row r="884" spans="1:7" x14ac:dyDescent="0.2">
      <c r="A884" t="s" s="0">
        <v>3113</v>
      </c>
      <c r="B884" s="2">
        <v>1290874</v>
      </c>
      <c r="C884" s="2">
        <v>33965</v>
      </c>
      <c r="D884" s="2">
        <v>35281</v>
      </c>
      <c r="E884" s="2">
        <v>40633</v>
      </c>
      <c r="F884" s="2">
        <v>44693</v>
      </c>
      <c r="G884" s="2">
        <v>59266</v>
      </c>
    </row>
    <row r="885" spans="1:7" x14ac:dyDescent="0.2">
      <c r="A885" t="s" s="0">
        <v>3112</v>
      </c>
      <c r="B885" s="2">
        <v>1209428</v>
      </c>
      <c r="C885" s="2">
        <v>46310</v>
      </c>
      <c r="D885" s="2">
        <v>33286</v>
      </c>
      <c r="E885" s="2">
        <v>40613</v>
      </c>
      <c r="F885" s="2">
        <v>33508</v>
      </c>
      <c r="G885" s="2">
        <v>55444</v>
      </c>
    </row>
    <row r="886" spans="1:7" x14ac:dyDescent="0.2">
      <c r="A886" t="s" s="0">
        <v>3111</v>
      </c>
      <c r="B886" s="2">
        <v>1228989</v>
      </c>
      <c r="C886" s="2">
        <v>39522</v>
      </c>
      <c r="D886" s="2">
        <v>36150</v>
      </c>
      <c r="E886" s="2">
        <v>40719</v>
      </c>
      <c r="F886" s="2">
        <v>40278</v>
      </c>
      <c r="G886" s="2">
        <v>55151</v>
      </c>
    </row>
    <row r="887" spans="1:7" x14ac:dyDescent="0.2">
      <c r="A887" t="s" s="0">
        <v>3110</v>
      </c>
      <c r="B887" s="3">
        <v>1228989</v>
      </c>
      <c r="C887" s="3">
        <v>39522</v>
      </c>
      <c r="D887" s="3">
        <v>36150</v>
      </c>
      <c r="E887" s="3">
        <v>40719</v>
      </c>
      <c r="F887" s="3">
        <v>40278</v>
      </c>
      <c r="G887" s="3">
        <v>55151</v>
      </c>
    </row>
    <row r="888" spans="1:7" x14ac:dyDescent="0.2">
      <c r="A888" t="s" s="0">
        <v>3109</v>
      </c>
      <c r="B888" s="3">
        <v>1228989</v>
      </c>
      <c r="C888" s="3">
        <v>39522</v>
      </c>
      <c r="D888" s="3">
        <v>36150</v>
      </c>
      <c r="E888" s="3">
        <v>40719</v>
      </c>
      <c r="F888" s="3">
        <v>40278</v>
      </c>
      <c r="G888" s="3">
        <v>55151</v>
      </c>
    </row>
    <row r="889" spans="1:7" x14ac:dyDescent="0.2">
      <c r="A889" t="s" s="0">
        <v>3108</v>
      </c>
      <c r="B889" s="2">
        <v>1281688</v>
      </c>
      <c r="C889" s="2">
        <v>21908</v>
      </c>
      <c r="D889" s="2">
        <v>35923</v>
      </c>
      <c r="E889" s="2">
        <v>40256</v>
      </c>
      <c r="F889" s="2">
        <v>35633</v>
      </c>
      <c r="G889" s="2">
        <v>52571</v>
      </c>
    </row>
    <row r="890" spans="1:7" x14ac:dyDescent="0.2">
      <c r="A890" t="s" s="0">
        <v>3107</v>
      </c>
      <c r="B890" s="2">
        <v>1363074</v>
      </c>
      <c r="C890" s="2">
        <v>33144</v>
      </c>
      <c r="D890" s="2">
        <v>35283</v>
      </c>
      <c r="E890" s="2">
        <v>39718</v>
      </c>
      <c r="F890" s="2">
        <v>50221</v>
      </c>
      <c r="G890" s="2">
        <v>54948</v>
      </c>
    </row>
    <row r="891" spans="1:7" x14ac:dyDescent="0.2">
      <c r="A891" t="s" s="0">
        <v>3106</v>
      </c>
      <c r="B891" s="2">
        <v>1334542</v>
      </c>
      <c r="C891" s="2">
        <v>33070</v>
      </c>
      <c r="D891" s="2">
        <v>37617</v>
      </c>
      <c r="E891" s="2">
        <v>40038</v>
      </c>
      <c r="F891" s="2">
        <v>43461</v>
      </c>
      <c r="G891" s="2">
        <v>55569</v>
      </c>
    </row>
    <row r="892" spans="1:7" x14ac:dyDescent="0.2">
      <c r="A892" t="s" s="0">
        <v>3105</v>
      </c>
      <c r="B892" s="2">
        <v>1308821</v>
      </c>
      <c r="C892" s="2">
        <v>35251</v>
      </c>
      <c r="D892" s="2">
        <v>38748</v>
      </c>
      <c r="E892" s="2">
        <v>40499</v>
      </c>
      <c r="F892" s="2">
        <v>52706</v>
      </c>
      <c r="G892" s="2">
        <v>52883</v>
      </c>
    </row>
    <row r="893" spans="1:7" x14ac:dyDescent="0.2">
      <c r="A893" t="s" s="0">
        <v>3104</v>
      </c>
      <c r="B893" s="2">
        <v>1275727</v>
      </c>
      <c r="C893" s="2">
        <v>39240</v>
      </c>
      <c r="D893" s="2">
        <v>38708</v>
      </c>
      <c r="E893" s="2">
        <v>40104</v>
      </c>
      <c r="F893" s="2">
        <v>44291</v>
      </c>
      <c r="G893" s="2">
        <v>52842</v>
      </c>
    </row>
    <row r="894" spans="1:7" x14ac:dyDescent="0.2">
      <c r="A894" t="s" s="0">
        <v>3103</v>
      </c>
      <c r="B894" s="3">
        <v>1275727</v>
      </c>
      <c r="C894" s="3">
        <v>39240</v>
      </c>
      <c r="D894" s="3">
        <v>38708</v>
      </c>
      <c r="E894" s="3">
        <v>40104</v>
      </c>
      <c r="F894" s="3">
        <v>44291</v>
      </c>
      <c r="G894" s="3">
        <v>52842</v>
      </c>
    </row>
    <row r="895" spans="1:7" x14ac:dyDescent="0.2">
      <c r="A895" t="s" s="0">
        <v>3102</v>
      </c>
      <c r="B895" s="3">
        <v>1275727</v>
      </c>
      <c r="C895" s="3">
        <v>39240</v>
      </c>
      <c r="D895" s="3">
        <v>38708</v>
      </c>
      <c r="E895" s="3">
        <v>40104</v>
      </c>
      <c r="F895" s="3">
        <v>44291</v>
      </c>
      <c r="G895" s="3">
        <v>52842</v>
      </c>
    </row>
    <row r="896" spans="1:7" x14ac:dyDescent="0.2">
      <c r="A896" t="s" s="0">
        <v>3101</v>
      </c>
      <c r="B896" s="2">
        <v>1331983</v>
      </c>
      <c r="C896" s="2">
        <v>20172</v>
      </c>
      <c r="D896" s="2">
        <v>39507</v>
      </c>
      <c r="E896" s="2">
        <v>39993</v>
      </c>
      <c r="F896" s="2">
        <v>45598</v>
      </c>
      <c r="G896" s="2">
        <v>53285</v>
      </c>
    </row>
    <row r="897" spans="1:7" x14ac:dyDescent="0.2">
      <c r="A897" t="s" s="0">
        <v>3100</v>
      </c>
      <c r="B897" s="2">
        <v>1289129</v>
      </c>
      <c r="C897" s="2">
        <v>42268</v>
      </c>
      <c r="D897" s="2">
        <v>40810</v>
      </c>
      <c r="E897" s="2">
        <v>40048</v>
      </c>
      <c r="F897" s="2">
        <v>29153</v>
      </c>
      <c r="G897" s="2">
        <v>47468</v>
      </c>
    </row>
    <row r="898" spans="1:7" x14ac:dyDescent="0.2">
      <c r="A898" t="s" s="0">
        <v>3099</v>
      </c>
      <c r="B898" s="2">
        <v>1241939</v>
      </c>
      <c r="C898" s="2">
        <v>36808</v>
      </c>
      <c r="D898" s="2">
        <v>40651</v>
      </c>
      <c r="E898" s="2">
        <v>40257</v>
      </c>
      <c r="F898" s="2">
        <v>26328</v>
      </c>
      <c r="G898" s="2">
        <v>46368</v>
      </c>
    </row>
    <row r="899" spans="1:7" x14ac:dyDescent="0.2">
      <c r="A899" t="s" s="0">
        <v>3098</v>
      </c>
      <c r="B899" s="2">
        <v>1244660</v>
      </c>
      <c r="C899" s="2">
        <v>38239</v>
      </c>
      <c r="D899" s="2">
        <v>37510</v>
      </c>
      <c r="E899" s="2">
        <v>39851</v>
      </c>
      <c r="F899" s="2">
        <v>27251</v>
      </c>
      <c r="G899" s="2">
        <v>41480</v>
      </c>
    </row>
    <row r="900" spans="1:7" x14ac:dyDescent="0.2">
      <c r="A900" t="s" s="0">
        <v>3097</v>
      </c>
      <c r="B900" s="2">
        <v>1223572</v>
      </c>
      <c r="C900" s="2">
        <v>37722</v>
      </c>
      <c r="D900" s="2">
        <v>37294</v>
      </c>
      <c r="E900" s="2">
        <v>39059</v>
      </c>
      <c r="F900" s="2">
        <v>29497</v>
      </c>
      <c r="G900" s="2">
        <v>42083</v>
      </c>
    </row>
    <row r="901" spans="1:7" x14ac:dyDescent="0.2">
      <c r="A901" t="s" s="0">
        <v>3096</v>
      </c>
      <c r="B901" s="3">
        <v>1223572</v>
      </c>
      <c r="C901" s="3">
        <v>37722</v>
      </c>
      <c r="D901" s="3">
        <v>37294</v>
      </c>
      <c r="E901" s="3">
        <v>39059</v>
      </c>
      <c r="F901" s="3">
        <v>29497</v>
      </c>
      <c r="G901" s="3">
        <v>42083</v>
      </c>
    </row>
    <row r="902" spans="1:7" x14ac:dyDescent="0.2">
      <c r="A902" t="s" s="0">
        <v>3095</v>
      </c>
      <c r="B902" s="3">
        <v>1223572</v>
      </c>
      <c r="C902" s="3">
        <v>37722</v>
      </c>
      <c r="D902" s="3">
        <v>37294</v>
      </c>
      <c r="E902" s="3">
        <v>39059</v>
      </c>
      <c r="F902" s="3">
        <v>29497</v>
      </c>
      <c r="G902" s="3">
        <v>42083</v>
      </c>
    </row>
    <row r="903" spans="1:7" x14ac:dyDescent="0.2">
      <c r="A903" t="s" s="0">
        <v>3094</v>
      </c>
      <c r="B903" s="2">
        <v>1245707</v>
      </c>
      <c r="C903" s="2">
        <v>18679</v>
      </c>
      <c r="D903" s="2">
        <v>40961</v>
      </c>
      <c r="E903" s="2">
        <v>39509</v>
      </c>
      <c r="F903" s="2">
        <v>28290</v>
      </c>
      <c r="G903" s="2">
        <v>40577</v>
      </c>
    </row>
    <row r="904" spans="1:7" x14ac:dyDescent="0.2">
      <c r="A904" t="s" s="0">
        <v>3093</v>
      </c>
      <c r="B904" s="2">
        <v>1277056</v>
      </c>
      <c r="C904" s="2">
        <v>33932</v>
      </c>
      <c r="D904" s="2">
        <v>39770</v>
      </c>
      <c r="E904" s="2">
        <v>39092</v>
      </c>
      <c r="F904" s="2">
        <v>37700</v>
      </c>
      <c r="G904" s="2">
        <v>38996</v>
      </c>
    </row>
    <row r="905" spans="1:7" x14ac:dyDescent="0.2">
      <c r="A905" t="s" s="0">
        <v>3092</v>
      </c>
      <c r="B905" s="2">
        <v>1224685</v>
      </c>
      <c r="C905" s="2">
        <v>45517</v>
      </c>
      <c r="D905" s="2">
        <v>40674</v>
      </c>
      <c r="E905" s="2">
        <v>38556</v>
      </c>
      <c r="F905" s="2">
        <v>37863</v>
      </c>
      <c r="G905" s="2">
        <v>38086</v>
      </c>
    </row>
    <row r="906" spans="1:7" x14ac:dyDescent="0.2">
      <c r="A906" t="s" s="0">
        <v>3091</v>
      </c>
      <c r="B906" s="2">
        <v>1260895</v>
      </c>
      <c r="C906" s="2">
        <v>44471</v>
      </c>
      <c r="D906" s="2">
        <v>42969</v>
      </c>
      <c r="E906" s="2">
        <v>38128</v>
      </c>
      <c r="F906" s="2">
        <v>44942</v>
      </c>
      <c r="G906" s="2">
        <v>39602</v>
      </c>
    </row>
    <row r="907" spans="1:7" x14ac:dyDescent="0.2">
      <c r="A907" t="s" s="0">
        <v>3090</v>
      </c>
      <c r="B907" s="2">
        <v>1254447</v>
      </c>
      <c r="C907" s="2">
        <v>38619</v>
      </c>
      <c r="D907" s="2">
        <v>43097</v>
      </c>
      <c r="E907" s="2">
        <v>38812</v>
      </c>
      <c r="F907" s="2">
        <v>46786</v>
      </c>
      <c r="G907" s="2">
        <v>40213</v>
      </c>
    </row>
    <row r="908" spans="1:7" x14ac:dyDescent="0.2">
      <c r="A908" t="s" s="0">
        <v>3089</v>
      </c>
      <c r="B908" s="3">
        <v>1254447</v>
      </c>
      <c r="C908" s="3">
        <v>38619</v>
      </c>
      <c r="D908" s="3">
        <v>43097</v>
      </c>
      <c r="E908" s="3">
        <v>38812</v>
      </c>
      <c r="F908" s="3">
        <v>46786</v>
      </c>
      <c r="G908" s="3">
        <v>40213</v>
      </c>
    </row>
    <row r="909" spans="1:7" x14ac:dyDescent="0.2">
      <c r="A909" t="s" s="0">
        <v>3088</v>
      </c>
      <c r="B909" s="3">
        <v>1254447</v>
      </c>
      <c r="C909" s="3">
        <v>38619</v>
      </c>
      <c r="D909" s="3">
        <v>43097</v>
      </c>
      <c r="E909" s="3">
        <v>38812</v>
      </c>
      <c r="F909" s="3">
        <v>46786</v>
      </c>
      <c r="G909" s="3">
        <v>40213</v>
      </c>
    </row>
    <row r="910" spans="1:7" x14ac:dyDescent="0.2">
      <c r="A910" t="s" s="0">
        <v>3087</v>
      </c>
      <c r="B910" s="2">
        <v>1204355</v>
      </c>
      <c r="C910" s="2">
        <v>9238</v>
      </c>
      <c r="D910" s="2">
        <v>37109</v>
      </c>
      <c r="E910" s="2">
        <v>38375</v>
      </c>
      <c r="F910" s="2">
        <v>30480</v>
      </c>
      <c r="G910" s="2">
        <v>35000</v>
      </c>
    </row>
    <row r="911" spans="1:7" x14ac:dyDescent="0.2">
      <c r="A911" t="s" s="0">
        <v>3086</v>
      </c>
      <c r="B911" s="2">
        <v>1237352</v>
      </c>
      <c r="C911" s="2">
        <v>24365</v>
      </c>
      <c r="D911" s="2">
        <v>35742</v>
      </c>
      <c r="E911" s="2">
        <v>37901</v>
      </c>
      <c r="F911" s="2">
        <v>29349</v>
      </c>
      <c r="G911" s="2">
        <v>36605</v>
      </c>
    </row>
    <row r="912" spans="1:7" x14ac:dyDescent="0.2">
      <c r="A912" t="s" s="0">
        <v>3085</v>
      </c>
      <c r="B912" s="2">
        <v>1191269</v>
      </c>
      <c r="C912" s="2">
        <v>42833</v>
      </c>
      <c r="D912" s="2">
        <v>35609</v>
      </c>
      <c r="E912" s="2">
        <v>38638</v>
      </c>
      <c r="F912" s="2">
        <v>30113</v>
      </c>
      <c r="G912" s="2">
        <v>34441</v>
      </c>
    </row>
    <row r="913" spans="1:7" x14ac:dyDescent="0.2">
      <c r="A913" t="s" s="0">
        <v>3084</v>
      </c>
      <c r="B913" s="2">
        <v>1211073</v>
      </c>
      <c r="C913" s="2">
        <v>39491</v>
      </c>
      <c r="D913" s="2">
        <v>33493</v>
      </c>
      <c r="E913" s="2">
        <v>38180</v>
      </c>
      <c r="F913" s="2">
        <v>25654</v>
      </c>
      <c r="G913" s="2">
        <v>37638</v>
      </c>
    </row>
    <row r="914" spans="1:7" x14ac:dyDescent="0.2">
      <c r="A914" t="s" s="0">
        <v>3083</v>
      </c>
      <c r="B914" s="2">
        <v>1251444</v>
      </c>
      <c r="C914" s="2">
        <v>38355</v>
      </c>
      <c r="D914" s="2">
        <v>33456</v>
      </c>
      <c r="E914" s="2">
        <v>38139</v>
      </c>
      <c r="F914" s="2">
        <v>33027</v>
      </c>
      <c r="G914" s="2">
        <v>38400</v>
      </c>
    </row>
    <row r="915" spans="1:7" x14ac:dyDescent="0.2">
      <c r="A915" t="s" s="0">
        <v>3082</v>
      </c>
      <c r="B915" s="3">
        <v>1251444</v>
      </c>
      <c r="C915" s="3">
        <v>38355</v>
      </c>
      <c r="D915" s="3">
        <v>33456</v>
      </c>
      <c r="E915" s="3">
        <v>38139</v>
      </c>
      <c r="F915" s="3">
        <v>33027</v>
      </c>
      <c r="G915" s="3">
        <v>38400</v>
      </c>
    </row>
    <row r="916" spans="1:7" x14ac:dyDescent="0.2">
      <c r="A916" t="s" s="0">
        <v>3081</v>
      </c>
      <c r="B916" s="3">
        <v>1251444</v>
      </c>
      <c r="C916" s="3">
        <v>38355</v>
      </c>
      <c r="D916" s="3">
        <v>33456</v>
      </c>
      <c r="E916" s="3">
        <v>38139</v>
      </c>
      <c r="F916" s="3">
        <v>33027</v>
      </c>
      <c r="G916" s="3">
        <v>38400</v>
      </c>
    </row>
    <row r="917" spans="1:7" x14ac:dyDescent="0.2">
      <c r="A917" t="s" s="0">
        <v>3080</v>
      </c>
      <c r="B917" s="2">
        <v>1229041</v>
      </c>
      <c r="C917" s="2">
        <v>15786</v>
      </c>
      <c r="D917" s="2">
        <v>33768</v>
      </c>
      <c r="E917" s="2">
        <v>37836</v>
      </c>
      <c r="F917" s="2">
        <v>37347</v>
      </c>
      <c r="G917" s="2">
        <v>35429</v>
      </c>
    </row>
    <row r="918" spans="1:7" x14ac:dyDescent="0.2">
      <c r="A918" t="s" s="0">
        <v>3079</v>
      </c>
      <c r="B918" s="2">
        <v>1200536</v>
      </c>
      <c r="C918" s="2">
        <v>27705</v>
      </c>
      <c r="D918" s="2">
        <v>34246</v>
      </c>
      <c r="E918" s="2">
        <v>37642</v>
      </c>
      <c r="F918" s="2">
        <v>29038</v>
      </c>
      <c r="G918" s="2">
        <v>31310</v>
      </c>
    </row>
    <row r="919" spans="1:7" x14ac:dyDescent="0.2">
      <c r="A919" t="s" s="0">
        <v>3078</v>
      </c>
      <c r="B919" s="2">
        <v>1202246</v>
      </c>
      <c r="C919" s="2">
        <v>35822</v>
      </c>
      <c r="D919" s="2">
        <v>33708</v>
      </c>
      <c r="E919" s="2">
        <v>37661</v>
      </c>
      <c r="F919" s="2">
        <v>35328</v>
      </c>
      <c r="G919" s="2">
        <v>32408</v>
      </c>
    </row>
    <row r="920" spans="1:7" x14ac:dyDescent="0.2">
      <c r="A920" t="s" s="0">
        <v>3077</v>
      </c>
      <c r="B920" s="2">
        <v>1202002</v>
      </c>
      <c r="C920" s="2">
        <v>39362</v>
      </c>
      <c r="D920" s="2">
        <v>36476</v>
      </c>
      <c r="E920" s="2">
        <v>37612</v>
      </c>
      <c r="F920" s="2">
        <v>35231</v>
      </c>
      <c r="G920" s="2">
        <v>33270</v>
      </c>
    </row>
    <row r="921" spans="1:7" x14ac:dyDescent="0.2">
      <c r="A921" t="s" s="0">
        <v>3076</v>
      </c>
      <c r="B921" s="2">
        <v>1183589</v>
      </c>
      <c r="C921" s="2">
        <v>35533</v>
      </c>
      <c r="D921" s="2">
        <v>37490</v>
      </c>
      <c r="E921" s="2">
        <v>37834</v>
      </c>
      <c r="F921" s="2">
        <v>27848</v>
      </c>
      <c r="G921" s="2">
        <v>34289</v>
      </c>
    </row>
    <row r="922" spans="1:7" x14ac:dyDescent="0.2">
      <c r="A922" t="s" s="0">
        <v>3075</v>
      </c>
      <c r="B922" s="3">
        <v>1183589</v>
      </c>
      <c r="C922" s="3">
        <v>35533</v>
      </c>
      <c r="D922" s="3">
        <v>37490</v>
      </c>
      <c r="E922" s="3">
        <v>37834</v>
      </c>
      <c r="F922" s="3">
        <v>27848</v>
      </c>
      <c r="G922" s="3">
        <v>34289</v>
      </c>
    </row>
    <row r="923" spans="1:7" x14ac:dyDescent="0.2">
      <c r="A923" t="s" s="0">
        <v>3074</v>
      </c>
      <c r="B923" s="3">
        <v>1183589</v>
      </c>
      <c r="C923" s="3">
        <v>35533</v>
      </c>
      <c r="D923" s="3">
        <v>37490</v>
      </c>
      <c r="E923" s="3">
        <v>37834</v>
      </c>
      <c r="F923" s="3">
        <v>27848</v>
      </c>
      <c r="G923" s="3">
        <v>34289</v>
      </c>
    </row>
    <row r="924" spans="1:7" x14ac:dyDescent="0.2">
      <c r="A924" t="s" s="0">
        <v>3073</v>
      </c>
      <c r="B924" s="2">
        <v>1206450</v>
      </c>
      <c r="C924" s="2">
        <v>18463</v>
      </c>
      <c r="D924" s="2">
        <v>37604</v>
      </c>
      <c r="E924" s="2">
        <v>37361</v>
      </c>
      <c r="F924" s="2">
        <v>33668</v>
      </c>
      <c r="G924" s="2">
        <v>32446</v>
      </c>
    </row>
    <row r="925" spans="1:7" x14ac:dyDescent="0.2">
      <c r="A925" t="s" s="0">
        <v>3072</v>
      </c>
      <c r="B925" s="2">
        <v>1199632</v>
      </c>
      <c r="C925" s="2">
        <v>29310</v>
      </c>
      <c r="D925" s="2">
        <v>37834</v>
      </c>
      <c r="E925" s="2">
        <v>36898</v>
      </c>
      <c r="F925" s="2">
        <v>36996</v>
      </c>
      <c r="G925" s="2">
        <v>33270</v>
      </c>
    </row>
    <row r="926" spans="1:7" x14ac:dyDescent="0.2">
      <c r="A926" t="s" s="0">
        <v>3071</v>
      </c>
      <c r="B926" s="2">
        <v>1142925</v>
      </c>
      <c r="C926" s="2">
        <v>37038</v>
      </c>
      <c r="D926" s="2">
        <v>38412</v>
      </c>
      <c r="E926" s="2">
        <v>37101</v>
      </c>
      <c r="F926" s="2">
        <v>29229</v>
      </c>
      <c r="G926" s="2">
        <v>33134</v>
      </c>
    </row>
    <row r="927" spans="1:7" x14ac:dyDescent="0.2">
      <c r="A927" t="s" s="0">
        <v>3070</v>
      </c>
      <c r="B927" s="2">
        <v>1145802</v>
      </c>
      <c r="C927" s="2">
        <v>39623</v>
      </c>
      <c r="D927" s="2">
        <v>35664</v>
      </c>
      <c r="E927" s="2">
        <v>37150</v>
      </c>
      <c r="F927" s="2">
        <v>26927</v>
      </c>
      <c r="G927" s="2">
        <v>33189</v>
      </c>
    </row>
    <row r="928" spans="1:7" x14ac:dyDescent="0.2">
      <c r="A928" t="s" s="0">
        <v>3069</v>
      </c>
      <c r="B928" s="2">
        <v>1167264</v>
      </c>
      <c r="C928" s="2">
        <v>41789</v>
      </c>
      <c r="D928" s="2">
        <v>36211</v>
      </c>
      <c r="E928" s="2">
        <v>37563</v>
      </c>
      <c r="F928" s="2">
        <v>33170</v>
      </c>
      <c r="G928" s="2">
        <v>35208</v>
      </c>
    </row>
    <row r="929" spans="1:7" x14ac:dyDescent="0.2">
      <c r="A929" t="s" s="0">
        <v>3068</v>
      </c>
      <c r="B929" s="3">
        <v>1167264</v>
      </c>
      <c r="C929" s="3">
        <v>41789</v>
      </c>
      <c r="D929" s="3">
        <v>36211</v>
      </c>
      <c r="E929" s="3">
        <v>37563</v>
      </c>
      <c r="F929" s="3">
        <v>33170</v>
      </c>
      <c r="G929" s="3">
        <v>35208</v>
      </c>
    </row>
    <row r="930" spans="1:7" x14ac:dyDescent="0.2">
      <c r="A930" t="s" s="0">
        <v>3067</v>
      </c>
      <c r="B930" s="3">
        <v>1167264</v>
      </c>
      <c r="C930" s="3">
        <v>41789</v>
      </c>
      <c r="D930" s="3">
        <v>36211</v>
      </c>
      <c r="E930" s="3">
        <v>37563</v>
      </c>
      <c r="F930" s="3">
        <v>33170</v>
      </c>
      <c r="G930" s="3">
        <v>35208</v>
      </c>
    </row>
    <row r="931" spans="1:7" x14ac:dyDescent="0.2">
      <c r="A931" t="s" s="0">
        <v>3066</v>
      </c>
      <c r="B931" s="2">
        <v>1186556</v>
      </c>
      <c r="C931" s="2">
        <v>19361</v>
      </c>
      <c r="D931" s="2">
        <v>36527</v>
      </c>
      <c r="E931" s="2">
        <v>36252</v>
      </c>
      <c r="F931" s="2">
        <v>33373</v>
      </c>
      <c r="G931" s="2">
        <v>33717</v>
      </c>
    </row>
    <row r="932" spans="1:7" x14ac:dyDescent="0.2">
      <c r="A932" t="s" s="0">
        <v>3065</v>
      </c>
      <c r="B932" s="2">
        <v>1242099</v>
      </c>
      <c r="C932" s="2">
        <v>24947</v>
      </c>
      <c r="D932" s="2">
        <v>35904</v>
      </c>
      <c r="E932" s="2">
        <v>35931</v>
      </c>
      <c r="F932" s="2">
        <v>42135</v>
      </c>
      <c r="G932" s="2">
        <v>34379</v>
      </c>
    </row>
    <row r="933" spans="1:7" x14ac:dyDescent="0.2">
      <c r="A933" t="s" s="0">
        <v>3064</v>
      </c>
      <c r="B933" s="2">
        <v>1226970</v>
      </c>
      <c r="C933" s="2">
        <v>37790</v>
      </c>
      <c r="D933" s="2">
        <v>33463</v>
      </c>
      <c r="E933" s="2">
        <v>35298</v>
      </c>
      <c r="F933" s="2">
        <v>45634</v>
      </c>
      <c r="G933" s="2">
        <v>35076</v>
      </c>
    </row>
    <row r="934" spans="1:7" x14ac:dyDescent="0.2">
      <c r="A934" t="s" s="0">
        <v>3063</v>
      </c>
      <c r="B934" s="2">
        <v>1182544</v>
      </c>
      <c r="C934" s="2">
        <v>31983</v>
      </c>
      <c r="D934" s="2">
        <v>34507</v>
      </c>
      <c r="E934" s="2">
        <v>35035</v>
      </c>
      <c r="F934" s="2">
        <v>39920</v>
      </c>
      <c r="G934" s="2">
        <v>31933</v>
      </c>
    </row>
    <row r="935" spans="1:7" x14ac:dyDescent="0.2">
      <c r="A935" t="s" s="0">
        <v>3062</v>
      </c>
      <c r="B935" s="2">
        <v>1222381</v>
      </c>
      <c r="C935" s="2">
        <v>34634</v>
      </c>
      <c r="D935" s="2">
        <v>32413</v>
      </c>
      <c r="E935" s="2">
        <v>34893</v>
      </c>
      <c r="F935" s="2">
        <v>40452</v>
      </c>
      <c r="G935" s="2">
        <v>33624</v>
      </c>
    </row>
    <row r="936" spans="1:7" x14ac:dyDescent="0.2">
      <c r="A936" t="s" s="0">
        <v>3061</v>
      </c>
      <c r="B936" s="3">
        <v>1222381</v>
      </c>
      <c r="C936" s="3">
        <v>34634</v>
      </c>
      <c r="D936" s="3">
        <v>32413</v>
      </c>
      <c r="E936" s="3">
        <v>34893</v>
      </c>
      <c r="F936" s="3">
        <v>40452</v>
      </c>
      <c r="G936" s="3">
        <v>33624</v>
      </c>
    </row>
    <row r="937" spans="1:7" x14ac:dyDescent="0.2">
      <c r="A937" t="s" s="0">
        <v>3060</v>
      </c>
      <c r="B937" s="3">
        <v>1222381</v>
      </c>
      <c r="C937" s="3">
        <v>34634</v>
      </c>
      <c r="D937" s="3">
        <v>32413</v>
      </c>
      <c r="E937" s="3">
        <v>34893</v>
      </c>
      <c r="F937" s="3">
        <v>40452</v>
      </c>
      <c r="G937" s="3">
        <v>33624</v>
      </c>
    </row>
    <row r="938" spans="1:7" x14ac:dyDescent="0.2">
      <c r="A938" t="s" s="0">
        <v>3059</v>
      </c>
      <c r="B938" s="2">
        <v>1272643</v>
      </c>
      <c r="C938" s="2">
        <v>18878</v>
      </c>
      <c r="D938" s="2">
        <v>33093</v>
      </c>
      <c r="E938" s="2">
        <v>35248</v>
      </c>
      <c r="F938" s="2">
        <v>45274</v>
      </c>
      <c r="G938" s="2">
        <v>37416</v>
      </c>
    </row>
    <row r="939" spans="1:7" x14ac:dyDescent="0.2">
      <c r="A939" t="s" s="0">
        <v>3058</v>
      </c>
      <c r="B939" s="2">
        <v>1253887</v>
      </c>
      <c r="C939" s="2">
        <v>30100</v>
      </c>
      <c r="D939" s="2">
        <v>33829</v>
      </c>
      <c r="E939" s="2">
        <v>35453</v>
      </c>
      <c r="F939" s="2">
        <v>34920</v>
      </c>
      <c r="G939" s="2">
        <v>35772</v>
      </c>
    </row>
    <row r="940" spans="1:7" x14ac:dyDescent="0.2">
      <c r="A940" t="s" s="0">
        <v>3057</v>
      </c>
      <c r="B940" s="2">
        <v>1272182</v>
      </c>
      <c r="C940" s="2">
        <v>37457</v>
      </c>
      <c r="D940" s="2">
        <v>33782</v>
      </c>
      <c r="E940" s="2">
        <v>34841</v>
      </c>
      <c r="F940" s="2">
        <v>39647</v>
      </c>
      <c r="G940" s="2">
        <v>37460</v>
      </c>
    </row>
    <row r="941" spans="1:7" x14ac:dyDescent="0.2">
      <c r="A941" t="s" s="0">
        <v>3056</v>
      </c>
      <c r="B941" s="2">
        <v>1282508</v>
      </c>
      <c r="C941" s="2">
        <v>28244</v>
      </c>
      <c r="D941" s="2">
        <v>31113</v>
      </c>
      <c r="E941" s="2">
        <v>34440</v>
      </c>
      <c r="F941" s="2">
        <v>44800</v>
      </c>
      <c r="G941" s="2">
        <v>36720</v>
      </c>
    </row>
    <row r="942" spans="1:7" x14ac:dyDescent="0.2">
      <c r="A942" t="s" s="0">
        <v>3055</v>
      </c>
      <c r="B942" s="2">
        <v>1287592</v>
      </c>
      <c r="C942" s="2">
        <v>37872</v>
      </c>
      <c r="D942" s="2">
        <v>32971</v>
      </c>
      <c r="E942" s="2">
        <v>34771</v>
      </c>
      <c r="F942" s="2">
        <v>41694</v>
      </c>
      <c r="G942" s="2">
        <v>35791</v>
      </c>
    </row>
    <row r="943" spans="1:7" x14ac:dyDescent="0.2">
      <c r="A943" t="s" s="0">
        <v>3054</v>
      </c>
      <c r="B943" s="3">
        <v>1287592</v>
      </c>
      <c r="C943" s="3">
        <v>37872</v>
      </c>
      <c r="D943" s="3">
        <v>32971</v>
      </c>
      <c r="E943" s="3">
        <v>34771</v>
      </c>
      <c r="F943" s="3">
        <v>41694</v>
      </c>
      <c r="G943" s="3">
        <v>35791</v>
      </c>
    </row>
    <row r="944" spans="1:7" x14ac:dyDescent="0.2">
      <c r="A944" t="s" s="0">
        <v>3053</v>
      </c>
      <c r="B944" s="3">
        <v>1287592</v>
      </c>
      <c r="C944" s="3">
        <v>37872</v>
      </c>
      <c r="D944" s="3">
        <v>32971</v>
      </c>
      <c r="E944" s="3">
        <v>34771</v>
      </c>
      <c r="F944" s="3">
        <v>41694</v>
      </c>
      <c r="G944" s="3">
        <v>35791</v>
      </c>
    </row>
    <row r="945" spans="1:7" x14ac:dyDescent="0.2">
      <c r="A945" t="s" s="0">
        <v>3052</v>
      </c>
      <c r="B945" s="2">
        <v>1214587</v>
      </c>
      <c r="C945" s="2">
        <v>19667</v>
      </c>
      <c r="D945" s="2">
        <v>33781</v>
      </c>
      <c r="E945" s="2">
        <v>35251</v>
      </c>
      <c r="F945" s="2">
        <v>25181</v>
      </c>
      <c r="G945" s="2">
        <v>34374</v>
      </c>
    </row>
    <row r="946" spans="1:7" x14ac:dyDescent="0.2">
      <c r="A946" t="s" s="0">
        <v>3051</v>
      </c>
      <c r="B946" s="2">
        <v>1197522</v>
      </c>
      <c r="C946" s="2">
        <v>28588</v>
      </c>
      <c r="D946" s="2">
        <v>34285</v>
      </c>
      <c r="E946" s="2">
        <v>35463</v>
      </c>
      <c r="F946" s="2">
        <v>25927</v>
      </c>
      <c r="G946" s="2">
        <v>34994</v>
      </c>
    </row>
    <row r="947" spans="1:7" x14ac:dyDescent="0.2">
      <c r="A947" t="s" s="0">
        <v>3050</v>
      </c>
      <c r="B947" s="2">
        <v>1194028</v>
      </c>
      <c r="C947" s="2">
        <v>39004</v>
      </c>
      <c r="D947" s="2">
        <v>34506</v>
      </c>
      <c r="E947" s="2">
        <v>35041</v>
      </c>
      <c r="F947" s="2">
        <v>23106</v>
      </c>
      <c r="G947" s="2">
        <v>34404</v>
      </c>
    </row>
    <row r="948" spans="1:7" x14ac:dyDescent="0.2">
      <c r="A948" t="s" s="0">
        <v>3049</v>
      </c>
      <c r="B948" s="2">
        <v>1160305</v>
      </c>
      <c r="C948" s="2">
        <v>35039</v>
      </c>
      <c r="D948" s="2">
        <v>35476</v>
      </c>
      <c r="E948" s="2">
        <v>34190</v>
      </c>
      <c r="F948" s="2">
        <v>17784</v>
      </c>
      <c r="G948" s="2">
        <v>32358</v>
      </c>
    </row>
    <row r="949" spans="1:7" x14ac:dyDescent="0.2">
      <c r="A949" t="s" s="0">
        <v>3048</v>
      </c>
      <c r="B949" s="2">
        <v>1161646</v>
      </c>
      <c r="C949" s="2">
        <v>31510</v>
      </c>
      <c r="D949" s="2">
        <v>33172</v>
      </c>
      <c r="E949" s="2">
        <v>33692</v>
      </c>
      <c r="F949" s="2">
        <v>14944</v>
      </c>
      <c r="G949" s="2">
        <v>32565</v>
      </c>
    </row>
    <row r="950" spans="1:7" x14ac:dyDescent="0.2">
      <c r="A950" t="s" s="0">
        <v>3047</v>
      </c>
      <c r="B950" s="3">
        <v>1161646</v>
      </c>
      <c r="C950" s="3">
        <v>31510</v>
      </c>
      <c r="D950" s="3">
        <v>33172</v>
      </c>
      <c r="E950" s="3">
        <v>33692</v>
      </c>
      <c r="F950" s="3">
        <v>14944</v>
      </c>
      <c r="G950" s="3">
        <v>32565</v>
      </c>
    </row>
    <row r="951" spans="1:7" x14ac:dyDescent="0.2">
      <c r="A951" t="s" s="0">
        <v>3046</v>
      </c>
      <c r="B951" s="3">
        <v>1161646</v>
      </c>
      <c r="C951" s="3">
        <v>31510</v>
      </c>
      <c r="D951" s="3">
        <v>33172</v>
      </c>
      <c r="E951" s="3">
        <v>33692</v>
      </c>
      <c r="F951" s="3">
        <v>14944</v>
      </c>
      <c r="G951" s="3">
        <v>32565</v>
      </c>
    </row>
    <row r="952" spans="1:7" x14ac:dyDescent="0.2">
      <c r="A952" t="s" s="0">
        <v>3045</v>
      </c>
      <c r="B952" s="2">
        <v>1167495</v>
      </c>
      <c r="C952" s="2">
        <v>18452</v>
      </c>
      <c r="D952" s="2">
        <v>31220</v>
      </c>
      <c r="E952" s="2">
        <v>33655</v>
      </c>
      <c r="F952" s="2">
        <v>24440</v>
      </c>
      <c r="G952" s="2">
        <v>32067</v>
      </c>
    </row>
    <row r="953" spans="1:7" x14ac:dyDescent="0.2">
      <c r="A953" t="s" s="0">
        <v>3044</v>
      </c>
      <c r="B953" s="2">
        <v>1146194</v>
      </c>
      <c r="C953" s="2">
        <v>31611</v>
      </c>
      <c r="D953" s="2">
        <v>33367</v>
      </c>
      <c r="E953" s="2">
        <v>34346</v>
      </c>
      <c r="F953" s="2">
        <v>25982</v>
      </c>
      <c r="G953" s="2">
        <v>32241</v>
      </c>
    </row>
    <row r="954" spans="1:7" x14ac:dyDescent="0.2">
      <c r="A954" t="s" s="0">
        <v>3043</v>
      </c>
      <c r="B954" s="2">
        <v>1138068</v>
      </c>
      <c r="C954" s="2">
        <v>32688</v>
      </c>
      <c r="D954" s="2">
        <v>32465</v>
      </c>
      <c r="E954" s="2">
        <v>33554</v>
      </c>
      <c r="F954" s="2">
        <v>24348</v>
      </c>
      <c r="G954" s="2">
        <v>33184</v>
      </c>
    </row>
    <row r="955" spans="1:7" x14ac:dyDescent="0.2">
      <c r="A955" t="s" s="0">
        <v>3042</v>
      </c>
      <c r="B955" s="2">
        <v>1094852</v>
      </c>
      <c r="C955" s="2">
        <v>38817</v>
      </c>
      <c r="D955" s="2">
        <v>33004</v>
      </c>
      <c r="E955" s="2">
        <v>33525</v>
      </c>
      <c r="F955" s="2">
        <v>23532</v>
      </c>
      <c r="G955" s="2">
        <v>31509</v>
      </c>
    </row>
    <row r="956" spans="1:7" x14ac:dyDescent="0.2">
      <c r="A956" t="s" s="0">
        <v>3041</v>
      </c>
      <c r="B956" s="2">
        <v>1094042</v>
      </c>
      <c r="C956" s="2">
        <v>33214</v>
      </c>
      <c r="D956" s="2">
        <v>35467</v>
      </c>
      <c r="E956" s="2">
        <v>33506</v>
      </c>
      <c r="F956" s="2">
        <v>25687</v>
      </c>
      <c r="G956" s="2">
        <v>30694</v>
      </c>
    </row>
    <row r="957" spans="1:7" x14ac:dyDescent="0.2">
      <c r="A957" t="s" s="0">
        <v>3040</v>
      </c>
      <c r="B957" s="3">
        <v>1094042</v>
      </c>
      <c r="C957" s="3">
        <v>33214</v>
      </c>
      <c r="D957" s="3">
        <v>35467</v>
      </c>
      <c r="E957" s="3">
        <v>33506</v>
      </c>
      <c r="F957" s="3">
        <v>25687</v>
      </c>
      <c r="G957" s="3">
        <v>30694</v>
      </c>
    </row>
    <row r="958" spans="1:7" x14ac:dyDescent="0.2">
      <c r="A958" t="s" s="0">
        <v>3039</v>
      </c>
      <c r="B958" s="3">
        <v>1094042</v>
      </c>
      <c r="C958" s="3">
        <v>33214</v>
      </c>
      <c r="D958" s="3">
        <v>35467</v>
      </c>
      <c r="E958" s="3">
        <v>33506</v>
      </c>
      <c r="F958" s="3">
        <v>25687</v>
      </c>
      <c r="G958" s="3">
        <v>30694</v>
      </c>
    </row>
    <row r="959" spans="1:7" x14ac:dyDescent="0.2">
      <c r="A959" t="s" s="0">
        <v>3038</v>
      </c>
      <c r="B959" s="2">
        <v>1123264</v>
      </c>
      <c r="C959" s="2">
        <v>22939</v>
      </c>
      <c r="D959" s="2">
        <v>38075</v>
      </c>
      <c r="E959" s="2">
        <v>34042</v>
      </c>
      <c r="F959" s="2">
        <v>31439</v>
      </c>
      <c r="G959" s="2">
        <v>31584</v>
      </c>
    </row>
    <row r="960" spans="1:7" x14ac:dyDescent="0.2">
      <c r="A960" t="s" s="0">
        <v>3037</v>
      </c>
      <c r="B960" s="2">
        <v>1121815</v>
      </c>
      <c r="C960" s="2">
        <v>30568</v>
      </c>
      <c r="D960" s="2">
        <v>35467</v>
      </c>
      <c r="E960" s="2">
        <v>34237</v>
      </c>
      <c r="F960" s="2">
        <v>31667</v>
      </c>
      <c r="G960" s="2">
        <v>29624</v>
      </c>
    </row>
    <row r="961" spans="1:7" x14ac:dyDescent="0.2">
      <c r="A961" t="s" s="0">
        <v>3036</v>
      </c>
      <c r="B961" s="2">
        <v>1080975</v>
      </c>
      <c r="C961" s="2">
        <v>40057</v>
      </c>
      <c r="D961" s="2">
        <v>36519</v>
      </c>
      <c r="E961" s="2">
        <v>34318</v>
      </c>
      <c r="F961" s="2">
        <v>28046</v>
      </c>
      <c r="G961" s="2">
        <v>28787</v>
      </c>
    </row>
    <row r="962" spans="1:7" x14ac:dyDescent="0.2">
      <c r="A962" t="s" s="0">
        <v>3035</v>
      </c>
      <c r="B962" s="2">
        <v>1069460</v>
      </c>
      <c r="C962" s="2">
        <v>33542</v>
      </c>
      <c r="D962" s="2">
        <v>36194</v>
      </c>
      <c r="E962" s="2">
        <v>33947</v>
      </c>
      <c r="F962" s="2">
        <v>32265</v>
      </c>
      <c r="G962" s="2">
        <v>29595</v>
      </c>
    </row>
    <row r="963" spans="1:7" x14ac:dyDescent="0.2">
      <c r="A963" t="s" s="0">
        <v>3034</v>
      </c>
      <c r="B963" s="2">
        <v>1091921</v>
      </c>
      <c r="C963" s="2">
        <v>34453</v>
      </c>
      <c r="D963" s="2">
        <v>34152</v>
      </c>
      <c r="E963" s="2">
        <v>33941</v>
      </c>
      <c r="F963" s="2">
        <v>32799</v>
      </c>
      <c r="G963" s="2">
        <v>28781</v>
      </c>
    </row>
    <row r="964" spans="1:7" x14ac:dyDescent="0.2">
      <c r="A964" t="s" s="0">
        <v>3033</v>
      </c>
      <c r="B964" s="3">
        <v>1091921</v>
      </c>
      <c r="C964" s="3">
        <v>34453</v>
      </c>
      <c r="D964" s="3">
        <v>34152</v>
      </c>
      <c r="E964" s="3">
        <v>33941</v>
      </c>
      <c r="F964" s="3">
        <v>32799</v>
      </c>
      <c r="G964" s="3">
        <v>28781</v>
      </c>
    </row>
    <row r="965" spans="1:7" x14ac:dyDescent="0.2">
      <c r="A965" t="s" s="0">
        <v>3032</v>
      </c>
      <c r="B965" s="3">
        <v>1091921</v>
      </c>
      <c r="C965" s="3">
        <v>34453</v>
      </c>
      <c r="D965" s="3">
        <v>34152</v>
      </c>
      <c r="E965" s="3">
        <v>33941</v>
      </c>
      <c r="F965" s="3">
        <v>32799</v>
      </c>
      <c r="G965" s="3">
        <v>28781</v>
      </c>
    </row>
    <row r="966" spans="1:7" x14ac:dyDescent="0.2">
      <c r="A966" t="s" s="0">
        <v>3031</v>
      </c>
      <c r="B966" s="2">
        <v>1058537</v>
      </c>
      <c r="C966" s="2">
        <v>22738</v>
      </c>
      <c r="D966" s="2">
        <v>33236</v>
      </c>
      <c r="E966" s="2">
        <v>34078</v>
      </c>
      <c r="F966" s="2">
        <v>23257</v>
      </c>
      <c r="G966" s="2">
        <v>26079</v>
      </c>
    </row>
    <row r="967" spans="1:7" x14ac:dyDescent="0.2">
      <c r="A967" t="s" s="0">
        <v>3030</v>
      </c>
      <c r="B967" s="2">
        <v>1077635</v>
      </c>
      <c r="C967" s="2">
        <v>31942</v>
      </c>
      <c r="D967" s="2">
        <v>34877</v>
      </c>
      <c r="E967" s="2">
        <v>34499</v>
      </c>
      <c r="F967" s="2">
        <v>27833</v>
      </c>
      <c r="G967" s="2">
        <v>27852</v>
      </c>
    </row>
    <row r="968" spans="1:7" x14ac:dyDescent="0.2">
      <c r="A968" t="s" s="0">
        <v>3029</v>
      </c>
      <c r="B968" s="2">
        <v>1066741</v>
      </c>
      <c r="C968" s="2">
        <v>34112</v>
      </c>
      <c r="D968" s="2">
        <v>34950</v>
      </c>
      <c r="E968" s="2">
        <v>34610</v>
      </c>
      <c r="F968" s="2">
        <v>32184</v>
      </c>
      <c r="G968" s="2">
        <v>26921</v>
      </c>
    </row>
    <row r="969" spans="1:7" x14ac:dyDescent="0.2">
      <c r="A969" t="s" s="0">
        <v>3028</v>
      </c>
      <c r="B969" s="2">
        <v>1052388</v>
      </c>
      <c r="C969" s="2">
        <v>40773</v>
      </c>
      <c r="D969" s="2">
        <v>36781</v>
      </c>
      <c r="E969" s="2">
        <v>35364</v>
      </c>
      <c r="F969" s="2">
        <v>33594</v>
      </c>
      <c r="G969" s="2">
        <v>26793</v>
      </c>
    </row>
    <row r="970" spans="1:7" x14ac:dyDescent="0.2">
      <c r="A970" t="s" s="0">
        <v>3027</v>
      </c>
      <c r="B970" s="2">
        <v>999460</v>
      </c>
      <c r="C970" s="2">
        <v>37739</v>
      </c>
      <c r="D970" s="2">
        <v>39249</v>
      </c>
      <c r="E970" s="2">
        <v>35510</v>
      </c>
      <c r="F970" s="2">
        <v>26040</v>
      </c>
      <c r="G970" s="2">
        <v>24868</v>
      </c>
    </row>
    <row r="971" spans="1:7" x14ac:dyDescent="0.2">
      <c r="A971" t="s" s="0">
        <v>3026</v>
      </c>
      <c r="B971" s="3">
        <v>999460</v>
      </c>
      <c r="C971" s="3">
        <v>37739</v>
      </c>
      <c r="D971" s="3">
        <v>39249</v>
      </c>
      <c r="E971" s="3">
        <v>35510</v>
      </c>
      <c r="F971" s="3">
        <v>26040</v>
      </c>
      <c r="G971" s="3">
        <v>24868</v>
      </c>
    </row>
    <row r="972" spans="1:7" x14ac:dyDescent="0.2">
      <c r="A972" t="s" s="0">
        <v>3025</v>
      </c>
      <c r="B972" s="3">
        <v>999460</v>
      </c>
      <c r="C972" s="3">
        <v>37739</v>
      </c>
      <c r="D972" s="3">
        <v>39249</v>
      </c>
      <c r="E972" s="3">
        <v>35510</v>
      </c>
      <c r="F972" s="3">
        <v>26040</v>
      </c>
      <c r="G972" s="3">
        <v>24868</v>
      </c>
    </row>
    <row r="973" spans="1:7" x14ac:dyDescent="0.2">
      <c r="A973" t="s" s="0">
        <v>3024</v>
      </c>
      <c r="B973" s="2">
        <v>979854</v>
      </c>
      <c r="C973" s="2">
        <v>20814</v>
      </c>
      <c r="D973" s="2">
        <v>38766</v>
      </c>
      <c r="E973" s="2">
        <v>35324</v>
      </c>
      <c r="F973" s="2">
        <v>26804</v>
      </c>
      <c r="G973" s="2">
        <v>26485</v>
      </c>
    </row>
    <row r="974" spans="1:7" x14ac:dyDescent="0.2">
      <c r="A974" t="s" s="0">
        <v>3023</v>
      </c>
      <c r="B974" s="2">
        <v>937002</v>
      </c>
      <c r="C974" s="2">
        <v>37304</v>
      </c>
      <c r="D974" s="2">
        <v>38829</v>
      </c>
      <c r="E974" s="2">
        <v>35635</v>
      </c>
      <c r="F974" s="2">
        <v>18017</v>
      </c>
      <c r="G974" s="2">
        <v>25875</v>
      </c>
    </row>
    <row r="975" spans="1:7" x14ac:dyDescent="0.2">
      <c r="A975" t="s" s="0">
        <v>3022</v>
      </c>
      <c r="B975" s="2">
        <v>1049945</v>
      </c>
      <c r="C975" s="2">
        <v>31653</v>
      </c>
      <c r="D975" s="2">
        <v>37555</v>
      </c>
      <c r="E975" s="2">
        <v>35372</v>
      </c>
      <c r="F975" s="2">
        <v>34494</v>
      </c>
      <c r="G975" s="2">
        <v>29768</v>
      </c>
    </row>
    <row r="976" spans="1:7" x14ac:dyDescent="0.2">
      <c r="A976" t="s" s="0">
        <v>3021</v>
      </c>
      <c r="B976" s="2">
        <v>1044735</v>
      </c>
      <c r="C976" s="2">
        <v>35862</v>
      </c>
      <c r="D976" s="2">
        <v>35627</v>
      </c>
      <c r="E976" s="2">
        <v>35402</v>
      </c>
      <c r="F976" s="2">
        <v>33873</v>
      </c>
      <c r="G976" s="2">
        <v>30816</v>
      </c>
    </row>
    <row r="977" spans="1:7" x14ac:dyDescent="0.2">
      <c r="A977" t="s" s="0">
        <v>3020</v>
      </c>
      <c r="B977" s="2">
        <v>1010047</v>
      </c>
      <c r="C977" s="2">
        <v>36061</v>
      </c>
      <c r="D977" s="2">
        <v>33389</v>
      </c>
      <c r="E977" s="2">
        <v>35564</v>
      </c>
      <c r="F977" s="2">
        <v>33198</v>
      </c>
      <c r="G977" s="2">
        <v>29431</v>
      </c>
    </row>
    <row r="978" spans="1:7" x14ac:dyDescent="0.2">
      <c r="A978" t="s" s="0">
        <v>3019</v>
      </c>
      <c r="B978" s="3">
        <v>1010047</v>
      </c>
      <c r="C978" s="3">
        <v>36061</v>
      </c>
      <c r="D978" s="3">
        <v>33389</v>
      </c>
      <c r="E978" s="3">
        <v>35564</v>
      </c>
      <c r="F978" s="3">
        <v>33198</v>
      </c>
      <c r="G978" s="3">
        <v>29431</v>
      </c>
    </row>
    <row r="979" spans="1:7" x14ac:dyDescent="0.2">
      <c r="A979" t="s" s="0">
        <v>3018</v>
      </c>
      <c r="B979" s="3">
        <v>1010047</v>
      </c>
      <c r="C979" s="3">
        <v>36061</v>
      </c>
      <c r="D979" s="3">
        <v>33389</v>
      </c>
      <c r="E979" s="3">
        <v>35564</v>
      </c>
      <c r="F979" s="3">
        <v>33198</v>
      </c>
      <c r="G979" s="3">
        <v>29431</v>
      </c>
    </row>
    <row r="980" spans="1:7" x14ac:dyDescent="0.2">
      <c r="A980" t="s" s="0">
        <v>3017</v>
      </c>
      <c r="B980" s="2">
        <v>974136</v>
      </c>
      <c r="C980" s="2">
        <v>20260</v>
      </c>
      <c r="D980" s="2">
        <v>37171</v>
      </c>
      <c r="E980" s="2">
        <v>36812</v>
      </c>
      <c r="F980" s="2">
        <v>35372</v>
      </c>
      <c r="G980" s="2">
        <v>29218</v>
      </c>
    </row>
    <row r="981" spans="1:7" x14ac:dyDescent="0.2">
      <c r="A981" t="s" s="0">
        <v>3016</v>
      </c>
      <c r="B981" s="2">
        <v>916194</v>
      </c>
      <c r="C981" s="2">
        <v>36657</v>
      </c>
      <c r="D981" s="2">
        <v>38544</v>
      </c>
      <c r="E981" s="2">
        <v>36929</v>
      </c>
      <c r="F981" s="2">
        <v>34589</v>
      </c>
      <c r="G981" s="2">
        <v>28027</v>
      </c>
    </row>
    <row r="982" spans="1:7" x14ac:dyDescent="0.2">
      <c r="A982" t="s" s="0">
        <v>3015</v>
      </c>
      <c r="B982" s="2">
        <v>955386</v>
      </c>
      <c r="C982" s="2">
        <v>38594</v>
      </c>
      <c r="D982" s="2">
        <v>39953</v>
      </c>
      <c r="E982" s="2">
        <v>37244</v>
      </c>
      <c r="F982" s="2">
        <v>25402</v>
      </c>
      <c r="G982" s="2">
        <v>30032</v>
      </c>
    </row>
    <row r="983" spans="1:7" x14ac:dyDescent="0.2">
      <c r="A983" t="s" s="0">
        <v>3014</v>
      </c>
      <c r="B983" s="2">
        <v>969467</v>
      </c>
      <c r="C983" s="2">
        <v>33104</v>
      </c>
      <c r="D983" s="2">
        <v>39559</v>
      </c>
      <c r="E983" s="2">
        <v>37040</v>
      </c>
      <c r="F983" s="2">
        <v>27764</v>
      </c>
      <c r="G983" s="2">
        <v>31874</v>
      </c>
    </row>
    <row r="984" spans="1:7" x14ac:dyDescent="0.2">
      <c r="A984" t="s" s="0">
        <v>3013</v>
      </c>
      <c r="B984" s="2">
        <v>974673</v>
      </c>
      <c r="C984" s="2">
        <v>35695</v>
      </c>
      <c r="D984" s="2">
        <v>40221</v>
      </c>
      <c r="E984" s="2">
        <v>36753</v>
      </c>
      <c r="F984" s="2">
        <v>33484</v>
      </c>
      <c r="G984" s="2">
        <v>31380</v>
      </c>
    </row>
    <row r="985" spans="1:7" x14ac:dyDescent="0.2">
      <c r="A985" t="s" s="0">
        <v>3012</v>
      </c>
      <c r="B985" s="3">
        <v>974673</v>
      </c>
      <c r="C985" s="3">
        <v>35695</v>
      </c>
      <c r="D985" s="3">
        <v>40221</v>
      </c>
      <c r="E985" s="3">
        <v>36753</v>
      </c>
      <c r="F985" s="3">
        <v>33484</v>
      </c>
      <c r="G985" s="3">
        <v>31380</v>
      </c>
    </row>
    <row r="986" spans="1:7" x14ac:dyDescent="0.2">
      <c r="A986" t="s" s="0">
        <v>3011</v>
      </c>
      <c r="B986" s="3">
        <v>974673</v>
      </c>
      <c r="C986" s="3">
        <v>35695</v>
      </c>
      <c r="D986" s="3">
        <v>40221</v>
      </c>
      <c r="E986" s="3">
        <v>36753</v>
      </c>
      <c r="F986" s="3">
        <v>33484</v>
      </c>
      <c r="G986" s="3">
        <v>31380</v>
      </c>
    </row>
    <row r="987" spans="1:7" x14ac:dyDescent="0.2">
      <c r="A987" t="s" s="0">
        <v>3010</v>
      </c>
      <c r="B987" s="2">
        <v>916081</v>
      </c>
      <c r="C987" s="2">
        <v>18075</v>
      </c>
      <c r="D987" s="2">
        <v>36323</v>
      </c>
      <c r="E987" s="2">
        <v>36374</v>
      </c>
      <c r="F987" s="2">
        <v>26346</v>
      </c>
      <c r="G987" s="2">
        <v>27945</v>
      </c>
    </row>
    <row r="988" spans="1:7" x14ac:dyDescent="0.2">
      <c r="A988" t="s" s="0">
        <v>3009</v>
      </c>
      <c r="B988" s="2">
        <v>969238</v>
      </c>
      <c r="C988" s="2">
        <v>30044</v>
      </c>
      <c r="D988" s="2">
        <v>33194</v>
      </c>
      <c r="E988" s="2">
        <v>36361</v>
      </c>
      <c r="F988" s="2">
        <v>39089</v>
      </c>
      <c r="G988" s="2">
        <v>29882</v>
      </c>
    </row>
    <row r="989" spans="1:7" x14ac:dyDescent="0.2">
      <c r="A989" t="s" s="0">
        <v>3008</v>
      </c>
      <c r="B989" s="2">
        <v>916628</v>
      </c>
      <c r="C989" s="2">
        <v>35889</v>
      </c>
      <c r="D989" s="2">
        <v>39534</v>
      </c>
      <c r="E989" s="2">
        <v>37998</v>
      </c>
      <c r="F989" s="2">
        <v>32314</v>
      </c>
      <c r="G989" s="2">
        <v>31099</v>
      </c>
    </row>
    <row r="990" spans="1:7" x14ac:dyDescent="0.2">
      <c r="A990" t="s" s="0">
        <v>3007</v>
      </c>
      <c r="B990" s="2">
        <v>1122062</v>
      </c>
      <c r="C990" s="2">
        <v>37248</v>
      </c>
      <c r="D990" s="2">
        <v>42994</v>
      </c>
      <c r="E990" s="2">
        <v>38740</v>
      </c>
      <c r="F990" s="2">
        <v>63111</v>
      </c>
      <c r="G990" s="2">
        <v>39585</v>
      </c>
    </row>
    <row r="991" spans="1:7" x14ac:dyDescent="0.2">
      <c r="A991" t="s" s="0">
        <v>3006</v>
      </c>
      <c r="B991" s="2">
        <v>1076922</v>
      </c>
      <c r="C991" s="2">
        <v>37888</v>
      </c>
      <c r="D991" s="2">
        <v>43310</v>
      </c>
      <c r="E991" s="2">
        <v>39042</v>
      </c>
      <c r="F991" s="2">
        <v>56973</v>
      </c>
      <c r="G991" s="2">
        <v>37424</v>
      </c>
    </row>
    <row r="992" spans="1:7" x14ac:dyDescent="0.2">
      <c r="A992" t="s" s="0">
        <v>3005</v>
      </c>
      <c r="B992" s="3">
        <v>1076922</v>
      </c>
      <c r="C992" s="3">
        <v>37888</v>
      </c>
      <c r="D992" s="3">
        <v>43310</v>
      </c>
      <c r="E992" s="3">
        <v>39042</v>
      </c>
      <c r="F992" s="3">
        <v>56973</v>
      </c>
      <c r="G992" s="3">
        <v>37424</v>
      </c>
    </row>
    <row r="993" spans="1:7" x14ac:dyDescent="0.2">
      <c r="A993" t="s" s="0">
        <v>3004</v>
      </c>
      <c r="B993" s="3">
        <v>1076922</v>
      </c>
      <c r="C993" s="3">
        <v>37888</v>
      </c>
      <c r="D993" s="3">
        <v>43310</v>
      </c>
      <c r="E993" s="3">
        <v>39042</v>
      </c>
      <c r="F993" s="3">
        <v>56973</v>
      </c>
      <c r="G993" s="3">
        <v>37424</v>
      </c>
    </row>
    <row r="994" spans="1:7" x14ac:dyDescent="0.2">
      <c r="A994" t="s" s="0">
        <v>3003</v>
      </c>
      <c r="B994" s="2">
        <v>1053021</v>
      </c>
      <c r="C994" s="2">
        <v>22117</v>
      </c>
      <c r="D994" s="2">
        <v>50798</v>
      </c>
      <c r="E994" s="2">
        <v>40764</v>
      </c>
      <c r="F994" s="2">
        <v>69417</v>
      </c>
      <c r="G994" s="2">
        <v>39485</v>
      </c>
    </row>
    <row r="995" spans="1:7" x14ac:dyDescent="0.2">
      <c r="A995" t="s" s="0">
        <v>3002</v>
      </c>
      <c r="B995" s="2">
        <v>1037774</v>
      </c>
      <c r="C995" s="2">
        <v>40183</v>
      </c>
      <c r="D995" s="2">
        <v>52246</v>
      </c>
      <c r="E995" s="2">
        <v>40703</v>
      </c>
      <c r="F995" s="2">
        <v>61093</v>
      </c>
      <c r="G995" s="2">
        <v>38197</v>
      </c>
    </row>
    <row r="996" spans="1:7" x14ac:dyDescent="0.2">
      <c r="A996" t="s" s="0">
        <v>3001</v>
      </c>
      <c r="B996" s="2">
        <v>1030704</v>
      </c>
      <c r="C996" s="2">
        <v>40785</v>
      </c>
      <c r="D996" s="2">
        <v>45803</v>
      </c>
      <c r="E996" s="2">
        <v>40711</v>
      </c>
      <c r="F996" s="2">
        <v>61155</v>
      </c>
      <c r="G996" s="2">
        <v>38341</v>
      </c>
    </row>
    <row r="997" spans="1:7" x14ac:dyDescent="0.2">
      <c r="A997" t="s" s="0">
        <v>3000</v>
      </c>
      <c r="B997" s="2">
        <v>991459</v>
      </c>
      <c r="C997" s="2">
        <v>39307</v>
      </c>
      <c r="D997" s="2">
        <v>43228</v>
      </c>
      <c r="E997" s="2">
        <v>40352</v>
      </c>
      <c r="F997" s="2">
        <v>23518</v>
      </c>
      <c r="G997" s="2">
        <v>37066</v>
      </c>
    </row>
    <row r="998" spans="1:7" x14ac:dyDescent="0.2">
      <c r="A998" t="s" s="0">
        <v>2999</v>
      </c>
      <c r="B998" s="2">
        <v>970408</v>
      </c>
      <c r="C998" s="2">
        <v>40577</v>
      </c>
      <c r="D998" s="2">
        <v>42896</v>
      </c>
      <c r="E998" s="2">
        <v>39954</v>
      </c>
      <c r="F998" s="2">
        <v>25955</v>
      </c>
      <c r="G998" s="2">
        <v>37403</v>
      </c>
    </row>
    <row r="999" spans="1:7" x14ac:dyDescent="0.2">
      <c r="A999" t="s" s="0">
        <v>2998</v>
      </c>
      <c r="B999" s="3">
        <v>970408</v>
      </c>
      <c r="C999" s="3">
        <v>40577</v>
      </c>
      <c r="D999" s="3">
        <v>42896</v>
      </c>
      <c r="E999" s="3">
        <v>39954</v>
      </c>
      <c r="F999" s="3">
        <v>25955</v>
      </c>
      <c r="G999" s="3">
        <v>37403</v>
      </c>
    </row>
    <row r="1000" spans="1:7" x14ac:dyDescent="0.2">
      <c r="A1000" t="s" s="0">
        <v>2997</v>
      </c>
      <c r="B1000" s="3">
        <v>970408</v>
      </c>
      <c r="C1000" s="3">
        <v>40577</v>
      </c>
      <c r="D1000" s="3">
        <v>42896</v>
      </c>
      <c r="E1000" s="3">
        <v>39954</v>
      </c>
      <c r="F1000" s="3">
        <v>25955</v>
      </c>
      <c r="G1000" s="3">
        <v>37403</v>
      </c>
    </row>
    <row r="1001" spans="1:7" x14ac:dyDescent="0.2">
      <c r="A1001" t="s" s="0">
        <v>2996</v>
      </c>
      <c r="B1001" s="2">
        <v>968294</v>
      </c>
      <c r="C1001" s="2">
        <v>22086</v>
      </c>
      <c r="D1001" s="2">
        <v>38076</v>
      </c>
      <c r="E1001" s="2">
        <v>40592</v>
      </c>
      <c r="F1001" s="2">
        <v>24248</v>
      </c>
      <c r="G1001" s="2">
        <v>38846</v>
      </c>
    </row>
    <row r="1002" spans="1:7" x14ac:dyDescent="0.2">
      <c r="A1002" t="s" s="0">
        <v>2995</v>
      </c>
      <c r="B1002" s="2">
        <v>934907</v>
      </c>
      <c r="C1002" s="2">
        <v>38779</v>
      </c>
      <c r="D1002" s="2">
        <v>39912</v>
      </c>
      <c r="E1002" s="2">
        <v>40974</v>
      </c>
      <c r="F1002" s="2">
        <v>23492</v>
      </c>
      <c r="G1002" s="2">
        <v>39566</v>
      </c>
    </row>
    <row r="1003" spans="1:7" x14ac:dyDescent="0.2">
      <c r="A1003" t="s" s="0">
        <v>2994</v>
      </c>
      <c r="B1003" s="2">
        <v>921291</v>
      </c>
      <c r="C1003" s="2">
        <v>40269</v>
      </c>
      <c r="D1003" s="2">
        <v>40830</v>
      </c>
      <c r="E1003" s="2">
        <v>41530</v>
      </c>
      <c r="F1003" s="2">
        <v>23476</v>
      </c>
      <c r="G1003" s="2">
        <v>35587</v>
      </c>
    </row>
    <row r="1004" spans="1:7" x14ac:dyDescent="0.2">
      <c r="A1004" t="s" s="0">
        <v>2993</v>
      </c>
      <c r="B1004" s="2">
        <v>906897</v>
      </c>
      <c r="C1004" s="2">
        <v>41491</v>
      </c>
      <c r="D1004" s="2">
        <v>41977</v>
      </c>
      <c r="E1004" s="2">
        <v>41940</v>
      </c>
      <c r="F1004" s="2">
        <v>28282</v>
      </c>
      <c r="G1004" s="2">
        <v>35669</v>
      </c>
    </row>
    <row r="1005" spans="1:7" x14ac:dyDescent="0.2">
      <c r="A1005" t="s" s="0">
        <v>2992</v>
      </c>
      <c r="B1005" s="2">
        <v>1034784</v>
      </c>
      <c r="C1005" s="2">
        <v>38978</v>
      </c>
      <c r="D1005" s="2">
        <v>42718</v>
      </c>
      <c r="E1005" s="2">
        <v>42286</v>
      </c>
      <c r="F1005" s="2">
        <v>50971</v>
      </c>
      <c r="G1005" s="2">
        <v>41846</v>
      </c>
    </row>
    <row r="1006" spans="1:7" x14ac:dyDescent="0.2">
      <c r="A1006" t="s" s="0">
        <v>2991</v>
      </c>
      <c r="B1006" s="3">
        <v>1034784</v>
      </c>
      <c r="C1006" s="3">
        <v>38978</v>
      </c>
      <c r="D1006" s="3">
        <v>42718</v>
      </c>
      <c r="E1006" s="3">
        <v>42286</v>
      </c>
      <c r="F1006" s="3">
        <v>50971</v>
      </c>
      <c r="G1006" s="3">
        <v>41846</v>
      </c>
    </row>
    <row r="1007" spans="1:7" x14ac:dyDescent="0.2">
      <c r="A1007" t="s" s="0">
        <v>2990</v>
      </c>
      <c r="B1007" s="3">
        <v>1034784</v>
      </c>
      <c r="C1007" s="3">
        <v>38978</v>
      </c>
      <c r="D1007" s="3">
        <v>42718</v>
      </c>
      <c r="E1007" s="3">
        <v>42286</v>
      </c>
      <c r="F1007" s="3">
        <v>50971</v>
      </c>
      <c r="G1007" s="3">
        <v>41846</v>
      </c>
    </row>
    <row r="1008" spans="1:7" x14ac:dyDescent="0.2">
      <c r="A1008" t="s" s="0">
        <v>2989</v>
      </c>
      <c r="B1008" s="2">
        <v>1032004</v>
      </c>
      <c r="C1008" s="2">
        <v>20024</v>
      </c>
      <c r="D1008" s="2">
        <v>41304</v>
      </c>
      <c r="E1008" s="2">
        <v>41625</v>
      </c>
      <c r="F1008" s="2">
        <v>49454</v>
      </c>
      <c r="G1008" s="2">
        <v>42366</v>
      </c>
    </row>
    <row r="1009" spans="1:7" x14ac:dyDescent="0.2">
      <c r="A1009" t="s" s="0">
        <v>2988</v>
      </c>
      <c r="B1009" s="2">
        <v>1061641</v>
      </c>
      <c r="C1009" s="2">
        <v>37326</v>
      </c>
      <c r="D1009" s="2">
        <v>40478</v>
      </c>
      <c r="E1009" s="2">
        <v>41458</v>
      </c>
      <c r="F1009" s="2">
        <v>57632</v>
      </c>
      <c r="G1009" s="2">
        <v>45327</v>
      </c>
    </row>
    <row r="1010" spans="1:7" x14ac:dyDescent="0.2">
      <c r="A1010" t="s" s="0">
        <v>2987</v>
      </c>
      <c r="B1010" s="2">
        <v>1016610</v>
      </c>
      <c r="C1010" s="2">
        <v>43603</v>
      </c>
      <c r="D1010" s="2">
        <v>39962</v>
      </c>
      <c r="E1010" s="2">
        <v>41532</v>
      </c>
      <c r="F1010" s="2">
        <v>52628</v>
      </c>
      <c r="G1010" s="2">
        <v>42393</v>
      </c>
    </row>
    <row r="1011" spans="1:7" x14ac:dyDescent="0.2">
      <c r="A1011" t="s" s="0">
        <v>2986</v>
      </c>
      <c r="B1011" s="2">
        <v>1037440</v>
      </c>
      <c r="C1011" s="2">
        <v>39254</v>
      </c>
      <c r="D1011" s="2">
        <v>39518</v>
      </c>
      <c r="E1011" s="2">
        <v>41930</v>
      </c>
      <c r="F1011" s="2">
        <v>57216</v>
      </c>
      <c r="G1011" s="2">
        <v>43032</v>
      </c>
    </row>
    <row r="1012" spans="1:7" x14ac:dyDescent="0.2">
      <c r="A1012" t="s" s="0">
        <v>2985</v>
      </c>
      <c r="B1012" s="2">
        <v>1017805</v>
      </c>
      <c r="C1012" s="2">
        <v>42089</v>
      </c>
      <c r="D1012" s="2">
        <v>40425</v>
      </c>
      <c r="E1012" s="2">
        <v>42337</v>
      </c>
      <c r="F1012" s="2">
        <v>37993</v>
      </c>
      <c r="G1012" s="2">
        <v>42973</v>
      </c>
    </row>
    <row r="1013" spans="1:7" x14ac:dyDescent="0.2">
      <c r="A1013" t="s" s="0">
        <v>2984</v>
      </c>
      <c r="B1013" s="3">
        <v>1017805</v>
      </c>
      <c r="C1013" s="3">
        <v>42089</v>
      </c>
      <c r="D1013" s="3">
        <v>40425</v>
      </c>
      <c r="E1013" s="3">
        <v>42337</v>
      </c>
      <c r="F1013" s="3">
        <v>37993</v>
      </c>
      <c r="G1013" s="3">
        <v>42973</v>
      </c>
    </row>
    <row r="1014" spans="1:7" x14ac:dyDescent="0.2">
      <c r="A1014" t="s" s="0">
        <v>2983</v>
      </c>
      <c r="B1014" s="3">
        <v>1017805</v>
      </c>
      <c r="C1014" s="3">
        <v>42089</v>
      </c>
      <c r="D1014" s="3">
        <v>40425</v>
      </c>
      <c r="E1014" s="3">
        <v>42337</v>
      </c>
      <c r="F1014" s="3">
        <v>37993</v>
      </c>
      <c r="G1014" s="3">
        <v>42973</v>
      </c>
    </row>
    <row r="1015" spans="1:7" x14ac:dyDescent="0.2">
      <c r="A1015" t="s" s="0">
        <v>2982</v>
      </c>
      <c r="B1015" s="2">
        <v>1037737</v>
      </c>
      <c r="C1015" s="2">
        <v>24143</v>
      </c>
      <c r="D1015" s="2">
        <v>44933</v>
      </c>
      <c r="E1015" s="2">
        <v>43778</v>
      </c>
      <c r="F1015" s="2">
        <v>45266</v>
      </c>
      <c r="G1015" s="2">
        <v>47096</v>
      </c>
    </row>
    <row r="1016" spans="1:7" x14ac:dyDescent="0.2">
      <c r="A1016" t="s" s="0">
        <v>2981</v>
      </c>
      <c r="B1016" s="2">
        <v>991282</v>
      </c>
      <c r="C1016" s="2">
        <v>40805</v>
      </c>
      <c r="D1016" s="2">
        <v>44012</v>
      </c>
      <c r="E1016" s="2">
        <v>44162</v>
      </c>
      <c r="F1016" s="2">
        <v>33474</v>
      </c>
      <c r="G1016" s="2">
        <v>43923</v>
      </c>
    </row>
    <row r="1017" spans="1:7" x14ac:dyDescent="0.2">
      <c r="A1017" t="s" s="0">
        <v>2980</v>
      </c>
      <c r="B1017" s="2">
        <v>1013155</v>
      </c>
      <c r="C1017" s="2">
        <v>43885</v>
      </c>
      <c r="D1017" s="2">
        <v>44910</v>
      </c>
      <c r="E1017" s="2">
        <v>42877</v>
      </c>
      <c r="F1017" s="2">
        <v>43931</v>
      </c>
      <c r="G1017" s="2">
        <v>45298</v>
      </c>
    </row>
    <row r="1018" spans="1:7" x14ac:dyDescent="0.2">
      <c r="A1018" t="s" s="0">
        <v>2979</v>
      </c>
      <c r="B1018" s="2">
        <v>962163</v>
      </c>
      <c r="C1018" s="2">
        <v>41463</v>
      </c>
      <c r="D1018" s="2">
        <v>48840</v>
      </c>
      <c r="E1018" s="2">
        <v>43391</v>
      </c>
      <c r="F1018" s="2">
        <v>37600</v>
      </c>
      <c r="G1018" s="2">
        <v>36654</v>
      </c>
    </row>
    <row r="1019" spans="1:7" x14ac:dyDescent="0.2">
      <c r="A1019" t="s" s="0">
        <v>2978</v>
      </c>
      <c r="B1019" s="2">
        <v>974465</v>
      </c>
      <c r="C1019" s="2">
        <v>43661</v>
      </c>
      <c r="D1019" s="2">
        <v>47632</v>
      </c>
      <c r="E1019" s="2">
        <v>43418</v>
      </c>
      <c r="F1019" s="2">
        <v>39719</v>
      </c>
      <c r="G1019" s="2">
        <v>38660</v>
      </c>
    </row>
    <row r="1020" spans="1:7" x14ac:dyDescent="0.2">
      <c r="A1020" t="s" s="0">
        <v>2977</v>
      </c>
      <c r="B1020" s="3">
        <v>974465</v>
      </c>
      <c r="C1020" s="3">
        <v>43661</v>
      </c>
      <c r="D1020" s="3">
        <v>47632</v>
      </c>
      <c r="E1020" s="3">
        <v>43418</v>
      </c>
      <c r="F1020" s="3">
        <v>39719</v>
      </c>
      <c r="G1020" s="3">
        <v>38660</v>
      </c>
    </row>
    <row r="1021" spans="1:7" x14ac:dyDescent="0.2">
      <c r="A1021" t="s" s="0">
        <v>2976</v>
      </c>
      <c r="B1021" s="3">
        <v>974465</v>
      </c>
      <c r="C1021" s="3">
        <v>43661</v>
      </c>
      <c r="D1021" s="3">
        <v>47632</v>
      </c>
      <c r="E1021" s="3">
        <v>43418</v>
      </c>
      <c r="F1021" s="3">
        <v>39719</v>
      </c>
      <c r="G1021" s="3">
        <v>38660</v>
      </c>
    </row>
    <row r="1022" spans="1:7" x14ac:dyDescent="0.2">
      <c r="A1022" t="s" s="0">
        <v>2975</v>
      </c>
      <c r="B1022" s="2">
        <v>940016</v>
      </c>
      <c r="C1022" s="2">
        <v>23094</v>
      </c>
      <c r="D1022" s="2">
        <v>51843</v>
      </c>
      <c r="E1022" s="2">
        <v>44039</v>
      </c>
      <c r="F1022" s="2">
        <v>36648</v>
      </c>
      <c r="G1022" s="2">
        <v>38904</v>
      </c>
    </row>
    <row r="1023" spans="1:7" x14ac:dyDescent="0.2">
      <c r="A1023" t="s" s="0">
        <v>2974</v>
      </c>
      <c r="B1023" s="2">
        <v>966982</v>
      </c>
      <c r="C1023" s="2">
        <v>37527</v>
      </c>
      <c r="D1023" s="2">
        <v>51375</v>
      </c>
      <c r="E1023" s="2">
        <v>43944</v>
      </c>
      <c r="F1023" s="2">
        <v>46668</v>
      </c>
      <c r="G1023" s="2">
        <v>40317</v>
      </c>
    </row>
    <row r="1024" spans="1:7" x14ac:dyDescent="0.2">
      <c r="A1024" t="s" s="0">
        <v>2973</v>
      </c>
      <c r="B1024" s="2">
        <v>938699</v>
      </c>
      <c r="C1024" s="2">
        <v>43036</v>
      </c>
      <c r="D1024" s="2">
        <v>51517</v>
      </c>
      <c r="E1024" s="2">
        <v>44305</v>
      </c>
      <c r="F1024" s="2">
        <v>39645</v>
      </c>
      <c r="G1024" s="2">
        <v>39920</v>
      </c>
    </row>
    <row r="1025" spans="1:7" x14ac:dyDescent="0.2">
      <c r="A1025" t="s" s="0">
        <v>2972</v>
      </c>
      <c r="B1025" s="2">
        <v>899310</v>
      </c>
      <c r="C1025" s="2">
        <v>42385</v>
      </c>
      <c r="D1025" s="2">
        <v>47325</v>
      </c>
      <c r="E1025" s="2">
        <v>44415</v>
      </c>
      <c r="F1025" s="2">
        <v>36606</v>
      </c>
      <c r="G1025" s="2">
        <v>39926</v>
      </c>
    </row>
    <row r="1026" spans="1:7" x14ac:dyDescent="0.2">
      <c r="A1026" t="s" s="0">
        <v>2971</v>
      </c>
      <c r="B1026" s="2">
        <v>967300</v>
      </c>
      <c r="C1026" s="2">
        <v>47706</v>
      </c>
      <c r="D1026" s="2">
        <v>51362</v>
      </c>
      <c r="E1026" s="2">
        <v>45534</v>
      </c>
      <c r="F1026" s="2">
        <v>49834</v>
      </c>
      <c r="G1026" s="2">
        <v>44629</v>
      </c>
    </row>
    <row r="1027" spans="1:7" x14ac:dyDescent="0.2">
      <c r="A1027" t="s" s="0">
        <v>2970</v>
      </c>
      <c r="B1027" s="3">
        <v>967300</v>
      </c>
      <c r="C1027" s="3">
        <v>47706</v>
      </c>
      <c r="D1027" s="3">
        <v>51362</v>
      </c>
      <c r="E1027" s="3">
        <v>45534</v>
      </c>
      <c r="F1027" s="3">
        <v>49834</v>
      </c>
      <c r="G1027" s="3">
        <v>44629</v>
      </c>
    </row>
    <row r="1028" spans="1:7" x14ac:dyDescent="0.2">
      <c r="A1028" t="s" s="0">
        <v>2969</v>
      </c>
      <c r="B1028" s="3">
        <v>967300</v>
      </c>
      <c r="C1028" s="3">
        <v>47706</v>
      </c>
      <c r="D1028" s="3">
        <v>51362</v>
      </c>
      <c r="E1028" s="3">
        <v>45534</v>
      </c>
      <c r="F1028" s="3">
        <v>49834</v>
      </c>
      <c r="G1028" s="3">
        <v>44629</v>
      </c>
    </row>
    <row r="1029" spans="1:7" x14ac:dyDescent="0.2">
      <c r="A1029" t="s" s="0">
        <v>2968</v>
      </c>
      <c r="B1029" s="2">
        <v>969459</v>
      </c>
      <c r="C1029" s="2">
        <v>20922</v>
      </c>
      <c r="D1029" s="2">
        <v>49430</v>
      </c>
      <c r="E1029" s="2">
        <v>46878</v>
      </c>
      <c r="F1029" s="2">
        <v>52189</v>
      </c>
      <c r="G1029" s="2">
        <v>45889</v>
      </c>
    </row>
    <row r="1030" spans="1:7" x14ac:dyDescent="0.2">
      <c r="A1030" t="s" s="0">
        <v>2967</v>
      </c>
      <c r="B1030" s="2">
        <v>918422</v>
      </c>
      <c r="C1030" s="2">
        <v>38446</v>
      </c>
      <c r="D1030" s="2">
        <v>50991</v>
      </c>
      <c r="E1030" s="2">
        <v>46714</v>
      </c>
      <c r="F1030" s="2">
        <v>42606</v>
      </c>
      <c r="G1030" s="2">
        <v>45095</v>
      </c>
    </row>
    <row r="1031" spans="1:7" x14ac:dyDescent="0.2">
      <c r="A1031" t="s" s="0">
        <v>2966</v>
      </c>
      <c r="B1031" s="2">
        <v>929770</v>
      </c>
      <c r="C1031" s="2">
        <v>42638</v>
      </c>
      <c r="D1031" s="2">
        <v>49812</v>
      </c>
      <c r="E1031" s="2">
        <v>46550</v>
      </c>
      <c r="F1031" s="2">
        <v>47089</v>
      </c>
      <c r="G1031" s="2">
        <v>45823</v>
      </c>
    </row>
    <row r="1032" spans="1:7" x14ac:dyDescent="0.2">
      <c r="A1032" t="s" s="0">
        <v>2965</v>
      </c>
      <c r="B1032" s="2">
        <v>915303</v>
      </c>
      <c r="C1032" s="2">
        <v>39413</v>
      </c>
      <c r="D1032" s="2">
        <v>51253</v>
      </c>
      <c r="E1032" s="2">
        <v>46734</v>
      </c>
      <c r="F1032" s="2">
        <v>52594</v>
      </c>
      <c r="G1032" s="2">
        <v>46004</v>
      </c>
    </row>
    <row r="1033" spans="1:7" x14ac:dyDescent="0.2">
      <c r="A1033" t="s" s="0">
        <v>2964</v>
      </c>
      <c r="B1033" s="2">
        <v>925400</v>
      </c>
      <c r="C1033" s="2">
        <v>41857</v>
      </c>
      <c r="D1033" s="2">
        <v>49244</v>
      </c>
      <c r="E1033" s="2">
        <v>47166</v>
      </c>
      <c r="F1033" s="2">
        <v>42315</v>
      </c>
      <c r="G1033" s="2">
        <v>42465</v>
      </c>
    </row>
    <row r="1034" spans="1:7" x14ac:dyDescent="0.2">
      <c r="A1034" t="s" s="0">
        <v>2963</v>
      </c>
      <c r="B1034" s="3">
        <v>925400</v>
      </c>
      <c r="C1034" s="3">
        <v>41857</v>
      </c>
      <c r="D1034" s="3">
        <v>49244</v>
      </c>
      <c r="E1034" s="3">
        <v>47166</v>
      </c>
      <c r="F1034" s="3">
        <v>42315</v>
      </c>
      <c r="G1034" s="3">
        <v>42465</v>
      </c>
    </row>
    <row r="1035" spans="1:7" x14ac:dyDescent="0.2">
      <c r="A1035" t="s" s="0">
        <v>2962</v>
      </c>
      <c r="B1035" s="3">
        <v>925400</v>
      </c>
      <c r="C1035" s="3">
        <v>41857</v>
      </c>
      <c r="D1035" s="3">
        <v>49244</v>
      </c>
      <c r="E1035" s="3">
        <v>47166</v>
      </c>
      <c r="F1035" s="3">
        <v>42315</v>
      </c>
      <c r="G1035" s="3">
        <v>42465</v>
      </c>
    </row>
    <row r="1036" spans="1:7" x14ac:dyDescent="0.2">
      <c r="A1036" t="s" s="0">
        <v>2961</v>
      </c>
      <c r="B1036" s="2">
        <v>886501</v>
      </c>
      <c r="C1036" s="2">
        <v>20604</v>
      </c>
      <c r="D1036" s="2">
        <v>45025</v>
      </c>
      <c r="E1036" s="2">
        <v>47808</v>
      </c>
      <c r="F1036" s="2">
        <v>32391</v>
      </c>
      <c r="G1036" s="2">
        <v>41624</v>
      </c>
    </row>
    <row r="1037" spans="1:7" x14ac:dyDescent="0.2">
      <c r="A1037" t="s" s="0">
        <v>2960</v>
      </c>
      <c r="B1037" s="2">
        <v>853858</v>
      </c>
      <c r="C1037" s="2">
        <v>32830</v>
      </c>
      <c r="D1037" s="2">
        <v>42793</v>
      </c>
      <c r="E1037" s="2">
        <v>47293</v>
      </c>
      <c r="F1037" s="2">
        <v>32787</v>
      </c>
      <c r="G1037" s="2">
        <v>38884</v>
      </c>
    </row>
    <row r="1038" spans="1:7" x14ac:dyDescent="0.2">
      <c r="A1038" t="s" s="0">
        <v>2959</v>
      </c>
      <c r="B1038" s="2">
        <v>827314</v>
      </c>
      <c r="C1038" s="2">
        <v>42304</v>
      </c>
      <c r="D1038" s="2">
        <v>42746</v>
      </c>
      <c r="E1038" s="2">
        <v>47246</v>
      </c>
      <c r="F1038" s="2">
        <v>27326</v>
      </c>
      <c r="G1038" s="2">
        <v>39498</v>
      </c>
    </row>
    <row r="1039" spans="1:7" x14ac:dyDescent="0.2">
      <c r="A1039" t="s" s="0">
        <v>2958</v>
      </c>
      <c r="B1039" s="2">
        <v>849998</v>
      </c>
      <c r="C1039" s="2">
        <v>42174</v>
      </c>
      <c r="D1039" s="2">
        <v>44130</v>
      </c>
      <c r="E1039" s="2">
        <v>47887</v>
      </c>
      <c r="F1039" s="2">
        <v>34018</v>
      </c>
      <c r="G1039" s="2">
        <v>40205</v>
      </c>
    </row>
    <row r="1040" spans="1:7" x14ac:dyDescent="0.2">
      <c r="A1040" t="s" s="0">
        <v>2957</v>
      </c>
      <c r="B1040" s="2">
        <v>835850</v>
      </c>
      <c r="C1040" s="2">
        <v>37788</v>
      </c>
      <c r="D1040" s="2">
        <v>41978</v>
      </c>
      <c r="E1040" s="2">
        <v>47554</v>
      </c>
      <c r="F1040" s="2">
        <v>28389</v>
      </c>
      <c r="G1040" s="2">
        <v>40064</v>
      </c>
    </row>
    <row r="1041" spans="1:7" x14ac:dyDescent="0.2">
      <c r="A1041" t="s" s="0">
        <v>2956</v>
      </c>
      <c r="B1041" s="3">
        <v>835850</v>
      </c>
      <c r="C1041" s="3">
        <v>37788</v>
      </c>
      <c r="D1041" s="3">
        <v>41978</v>
      </c>
      <c r="E1041" s="3">
        <v>47554</v>
      </c>
      <c r="F1041" s="3">
        <v>28389</v>
      </c>
      <c r="G1041" s="3">
        <v>40064</v>
      </c>
    </row>
    <row r="1042" spans="1:7" x14ac:dyDescent="0.2">
      <c r="A1042" t="s" s="0">
        <v>2955</v>
      </c>
      <c r="B1042" s="3">
        <v>835850</v>
      </c>
      <c r="C1042" s="3">
        <v>37788</v>
      </c>
      <c r="D1042" s="3">
        <v>41978</v>
      </c>
      <c r="E1042" s="3">
        <v>47554</v>
      </c>
      <c r="F1042" s="3">
        <v>28389</v>
      </c>
      <c r="G1042" s="3">
        <v>40064</v>
      </c>
    </row>
    <row r="1043" spans="1:7" x14ac:dyDescent="0.2">
      <c r="A1043" t="s" s="0">
        <v>2954</v>
      </c>
      <c r="B1043" s="2">
        <v>891128</v>
      </c>
      <c r="C1043" s="2">
        <v>27129</v>
      </c>
      <c r="D1043" s="2">
        <v>40461</v>
      </c>
      <c r="E1043" s="2">
        <v>46690</v>
      </c>
      <c r="F1043" s="2">
        <v>41109</v>
      </c>
      <c r="G1043" s="2">
        <v>40584</v>
      </c>
    </row>
    <row r="1044" spans="1:7" x14ac:dyDescent="0.2">
      <c r="A1044" t="s" s="0">
        <v>2953</v>
      </c>
      <c r="B1044" s="2">
        <v>859922</v>
      </c>
      <c r="C1044" s="2">
        <v>48102</v>
      </c>
      <c r="D1044" s="2">
        <v>44072</v>
      </c>
      <c r="E1044" s="2">
        <v>47308</v>
      </c>
      <c r="F1044" s="2">
        <v>44925</v>
      </c>
      <c r="G1044" s="2">
        <v>41747</v>
      </c>
    </row>
    <row r="1045" spans="1:7" x14ac:dyDescent="0.2">
      <c r="A1045" t="s" s="0">
        <v>2952</v>
      </c>
      <c r="B1045" s="2">
        <v>880904</v>
      </c>
      <c r="C1045" s="2">
        <v>47914</v>
      </c>
      <c r="D1045" s="2">
        <v>45588</v>
      </c>
      <c r="E1045" s="2">
        <v>47416</v>
      </c>
      <c r="F1045" s="2">
        <v>53231</v>
      </c>
      <c r="G1045" s="2">
        <v>41823</v>
      </c>
    </row>
    <row r="1046" spans="1:7" x14ac:dyDescent="0.2">
      <c r="A1046" t="s" s="0">
        <v>2951</v>
      </c>
      <c r="B1046" s="2">
        <v>945072</v>
      </c>
      <c r="C1046" s="2">
        <v>47447</v>
      </c>
      <c r="D1046" s="2">
        <v>44477</v>
      </c>
      <c r="E1046" s="2">
        <v>46796</v>
      </c>
      <c r="F1046" s="2">
        <v>57885</v>
      </c>
      <c r="G1046" s="2">
        <v>45276</v>
      </c>
    </row>
    <row r="1047" spans="1:7" x14ac:dyDescent="0.2">
      <c r="A1047" t="s" s="0">
        <v>2950</v>
      </c>
      <c r="B1047" s="2">
        <v>913172</v>
      </c>
      <c r="C1047" s="2">
        <v>46218</v>
      </c>
      <c r="D1047" s="2">
        <v>46547</v>
      </c>
      <c r="E1047" s="2">
        <v>47283</v>
      </c>
      <c r="F1047" s="2">
        <v>57432</v>
      </c>
      <c r="G1047" s="2">
        <v>44492</v>
      </c>
    </row>
    <row r="1048" spans="1:7" x14ac:dyDescent="0.2">
      <c r="A1048" t="s" s="0">
        <v>2949</v>
      </c>
      <c r="B1048" s="3">
        <v>913172</v>
      </c>
      <c r="C1048" s="3">
        <v>46218</v>
      </c>
      <c r="D1048" s="3">
        <v>46547</v>
      </c>
      <c r="E1048" s="3">
        <v>47283</v>
      </c>
      <c r="F1048" s="3">
        <v>57432</v>
      </c>
      <c r="G1048" s="3">
        <v>44492</v>
      </c>
    </row>
    <row r="1049" spans="1:7" x14ac:dyDescent="0.2">
      <c r="A1049" t="s" s="0">
        <v>2948</v>
      </c>
      <c r="B1049" s="3">
        <v>913172</v>
      </c>
      <c r="C1049" s="3">
        <v>46218</v>
      </c>
      <c r="D1049" s="3">
        <v>46547</v>
      </c>
      <c r="E1049" s="3">
        <v>47283</v>
      </c>
      <c r="F1049" s="3">
        <v>57432</v>
      </c>
      <c r="G1049" s="3">
        <v>44492</v>
      </c>
    </row>
    <row r="1050" spans="1:7" x14ac:dyDescent="0.2">
      <c r="A1050" t="s" s="0">
        <v>2947</v>
      </c>
      <c r="B1050" s="2">
        <v>976687</v>
      </c>
      <c r="C1050" s="2">
        <v>24490</v>
      </c>
      <c r="D1050" s="2">
        <v>45667</v>
      </c>
      <c r="E1050" s="2">
        <v>45146</v>
      </c>
      <c r="F1050" s="2">
        <v>57729</v>
      </c>
      <c r="G1050" s="2">
        <v>45854</v>
      </c>
    </row>
    <row r="1051" spans="1:7" x14ac:dyDescent="0.2">
      <c r="A1051" t="s" s="0">
        <v>2946</v>
      </c>
      <c r="B1051" s="2">
        <v>1121787</v>
      </c>
      <c r="C1051" s="2">
        <v>46027</v>
      </c>
      <c r="D1051" s="2">
        <v>43942</v>
      </c>
      <c r="E1051" s="2">
        <v>45449</v>
      </c>
      <c r="F1051" s="2">
        <v>81190</v>
      </c>
      <c r="G1051" s="2">
        <v>50377</v>
      </c>
    </row>
    <row r="1052" spans="1:7" x14ac:dyDescent="0.2">
      <c r="A1052" t="s" s="0">
        <v>2945</v>
      </c>
      <c r="B1052" s="2">
        <v>1068339</v>
      </c>
      <c r="C1052" s="2">
        <v>53479</v>
      </c>
      <c r="D1052" s="2">
        <v>44022</v>
      </c>
      <c r="E1052" s="2">
        <v>45542</v>
      </c>
      <c r="F1052" s="2">
        <v>70637</v>
      </c>
      <c r="G1052" s="2">
        <v>49571</v>
      </c>
    </row>
    <row r="1053" spans="1:7" x14ac:dyDescent="0.2">
      <c r="A1053" t="s" s="0">
        <v>2944</v>
      </c>
      <c r="B1053" s="2">
        <v>982754</v>
      </c>
      <c r="C1053" s="2">
        <v>53558</v>
      </c>
      <c r="D1053" s="2">
        <v>48478</v>
      </c>
      <c r="E1053" s="2">
        <v>47085</v>
      </c>
      <c r="F1053" s="2">
        <v>53861</v>
      </c>
      <c r="G1053" s="2">
        <v>49590</v>
      </c>
    </row>
    <row r="1054" spans="1:7" x14ac:dyDescent="0.2">
      <c r="A1054" t="s" s="0">
        <v>2943</v>
      </c>
      <c r="B1054" s="2">
        <v>951330</v>
      </c>
      <c r="C1054" s="2">
        <v>47184</v>
      </c>
      <c r="D1054" s="2">
        <v>49174</v>
      </c>
      <c r="E1054" s="2">
        <v>46736</v>
      </c>
      <c r="F1054" s="2">
        <v>54625</v>
      </c>
      <c r="G1054" s="2">
        <v>45690</v>
      </c>
    </row>
    <row r="1055" spans="1:7" x14ac:dyDescent="0.2">
      <c r="A1055" t="s" s="0">
        <v>2942</v>
      </c>
      <c r="B1055" s="3">
        <v>951330</v>
      </c>
      <c r="C1055" s="3">
        <v>47184</v>
      </c>
      <c r="D1055" s="3">
        <v>49174</v>
      </c>
      <c r="E1055" s="3">
        <v>46736</v>
      </c>
      <c r="F1055" s="3">
        <v>54625</v>
      </c>
      <c r="G1055" s="3">
        <v>45690</v>
      </c>
    </row>
    <row r="1056" spans="1:7" x14ac:dyDescent="0.2">
      <c r="A1056" t="s" s="0">
        <v>2941</v>
      </c>
      <c r="B1056" s="3">
        <v>951330</v>
      </c>
      <c r="C1056" s="3">
        <v>47184</v>
      </c>
      <c r="D1056" s="3">
        <v>49174</v>
      </c>
      <c r="E1056" s="3">
        <v>46736</v>
      </c>
      <c r="F1056" s="3">
        <v>54625</v>
      </c>
      <c r="G1056" s="3">
        <v>45690</v>
      </c>
    </row>
    <row r="1057" spans="1:7" x14ac:dyDescent="0.2">
      <c r="A1057" t="s" s="0">
        <v>2940</v>
      </c>
      <c r="B1057" s="2">
        <v>977304</v>
      </c>
      <c r="C1057" s="2">
        <v>21745</v>
      </c>
      <c r="D1057" s="2">
        <v>51241</v>
      </c>
      <c r="E1057" s="2">
        <v>45599</v>
      </c>
      <c r="F1057" s="2">
        <v>51329</v>
      </c>
      <c r="G1057" s="2">
        <v>45639</v>
      </c>
    </row>
    <row r="1058" spans="1:7" x14ac:dyDescent="0.2">
      <c r="A1058" t="s" s="0">
        <v>2939</v>
      </c>
      <c r="B1058" s="2">
        <v>1022563</v>
      </c>
      <c r="C1058" s="2">
        <v>41919</v>
      </c>
      <c r="D1058" s="2">
        <v>50654</v>
      </c>
      <c r="E1058" s="2">
        <v>45365</v>
      </c>
      <c r="F1058" s="2">
        <v>36480</v>
      </c>
      <c r="G1058" s="2">
        <v>48845</v>
      </c>
    </row>
    <row r="1059" spans="1:7" x14ac:dyDescent="0.2">
      <c r="A1059" t="s" s="0">
        <v>2938</v>
      </c>
      <c r="B1059" s="2">
        <v>1046261</v>
      </c>
      <c r="C1059" s="2">
        <v>46679</v>
      </c>
      <c r="D1059" s="2">
        <v>51111</v>
      </c>
      <c r="E1059" s="2">
        <v>45867</v>
      </c>
      <c r="F1059" s="2">
        <v>47511</v>
      </c>
      <c r="G1059" s="2">
        <v>49676</v>
      </c>
    </row>
    <row r="1060" spans="1:7" x14ac:dyDescent="0.2">
      <c r="A1060" t="s" s="0">
        <v>2937</v>
      </c>
      <c r="B1060" s="2">
        <v>992722</v>
      </c>
      <c r="C1060" s="2">
        <v>48986</v>
      </c>
      <c r="D1060" s="2">
        <v>48858</v>
      </c>
      <c r="E1060" s="2">
        <v>46486</v>
      </c>
      <c r="F1060" s="2">
        <v>49836</v>
      </c>
      <c r="G1060" s="2">
        <v>48900</v>
      </c>
    </row>
    <row r="1061" spans="1:7" x14ac:dyDescent="0.2">
      <c r="A1061" t="s" s="0">
        <v>2936</v>
      </c>
      <c r="B1061" s="2">
        <v>991700</v>
      </c>
      <c r="C1061" s="2">
        <v>48739</v>
      </c>
      <c r="D1061" s="2">
        <v>46943</v>
      </c>
      <c r="E1061" s="2">
        <v>46160</v>
      </c>
      <c r="F1061" s="2">
        <v>52263</v>
      </c>
      <c r="G1061" s="2">
        <v>48177</v>
      </c>
    </row>
    <row r="1062" spans="1:7" x14ac:dyDescent="0.2">
      <c r="A1062" t="s" s="0">
        <v>2935</v>
      </c>
      <c r="B1062" s="3">
        <v>991700</v>
      </c>
      <c r="C1062" s="3">
        <v>48739</v>
      </c>
      <c r="D1062" s="3">
        <v>46943</v>
      </c>
      <c r="E1062" s="3">
        <v>46160</v>
      </c>
      <c r="F1062" s="3">
        <v>52263</v>
      </c>
      <c r="G1062" s="3">
        <v>48177</v>
      </c>
    </row>
    <row r="1063" spans="1:7" x14ac:dyDescent="0.2">
      <c r="A1063" t="s" s="0">
        <v>2934</v>
      </c>
      <c r="B1063" s="3">
        <v>991700</v>
      </c>
      <c r="C1063" s="3">
        <v>48739</v>
      </c>
      <c r="D1063" s="3">
        <v>46943</v>
      </c>
      <c r="E1063" s="3">
        <v>46160</v>
      </c>
      <c r="F1063" s="3">
        <v>52263</v>
      </c>
      <c r="G1063" s="3">
        <v>48177</v>
      </c>
    </row>
    <row r="1064" spans="1:7" x14ac:dyDescent="0.2">
      <c r="A1064" t="s" s="0">
        <v>2933</v>
      </c>
      <c r="B1064" s="2">
        <v>970387</v>
      </c>
      <c r="C1064" s="2">
        <v>25026</v>
      </c>
      <c r="D1064" s="2">
        <v>47415</v>
      </c>
      <c r="E1064" s="2">
        <v>46196</v>
      </c>
      <c r="F1064" s="2">
        <v>45981</v>
      </c>
      <c r="G1064" s="2">
        <v>49037</v>
      </c>
    </row>
    <row r="1065" spans="1:7" x14ac:dyDescent="0.2">
      <c r="A1065" t="s" s="0">
        <v>2932</v>
      </c>
      <c r="B1065" s="2">
        <v>1025590</v>
      </c>
      <c r="C1065" s="2">
        <v>34166</v>
      </c>
      <c r="D1065" s="2">
        <v>46308</v>
      </c>
      <c r="E1065" s="2">
        <v>46244</v>
      </c>
      <c r="F1065" s="2">
        <v>46294</v>
      </c>
      <c r="G1065" s="2">
        <v>52222</v>
      </c>
    </row>
    <row r="1066" spans="1:7" x14ac:dyDescent="0.2">
      <c r="A1066" t="s" s="0">
        <v>2931</v>
      </c>
      <c r="B1066" s="2">
        <v>1000987</v>
      </c>
      <c r="C1066" s="2">
        <v>43661</v>
      </c>
      <c r="D1066" s="2">
        <v>44448</v>
      </c>
      <c r="E1066" s="2">
        <v>46292</v>
      </c>
      <c r="F1066" s="2">
        <v>37981</v>
      </c>
      <c r="G1066" s="2">
        <v>52340</v>
      </c>
    </row>
    <row r="1067" spans="1:7" x14ac:dyDescent="0.2">
      <c r="A1067" t="s" s="0">
        <v>2930</v>
      </c>
      <c r="B1067" s="2">
        <v>978627</v>
      </c>
      <c r="C1067" s="2">
        <v>43553</v>
      </c>
      <c r="D1067" s="2">
        <v>41411</v>
      </c>
      <c r="E1067" s="2">
        <v>45806</v>
      </c>
      <c r="F1067" s="2">
        <v>39132</v>
      </c>
      <c r="G1067" s="2">
        <v>50179</v>
      </c>
    </row>
    <row r="1068" spans="1:7" x14ac:dyDescent="0.2">
      <c r="A1068" t="s" s="0">
        <v>2929</v>
      </c>
      <c r="B1068" s="2">
        <v>933079</v>
      </c>
      <c r="C1068" s="2">
        <v>49105</v>
      </c>
      <c r="D1068" s="2">
        <v>42995</v>
      </c>
      <c r="E1068" s="2">
        <v>46415</v>
      </c>
      <c r="F1068" s="2">
        <v>34216</v>
      </c>
      <c r="G1068" s="2">
        <v>49634</v>
      </c>
    </row>
    <row r="1069" spans="1:7" x14ac:dyDescent="0.2">
      <c r="A1069" t="s" s="0">
        <v>2928</v>
      </c>
      <c r="B1069" s="3">
        <v>933079</v>
      </c>
      <c r="C1069" s="3">
        <v>49105</v>
      </c>
      <c r="D1069" s="3">
        <v>42995</v>
      </c>
      <c r="E1069" s="3">
        <v>46415</v>
      </c>
      <c r="F1069" s="3">
        <v>34216</v>
      </c>
      <c r="G1069" s="3">
        <v>49634</v>
      </c>
    </row>
    <row r="1070" spans="1:7" x14ac:dyDescent="0.2">
      <c r="A1070" t="s" s="0">
        <v>2927</v>
      </c>
      <c r="B1070" s="3">
        <v>933079</v>
      </c>
      <c r="C1070" s="3">
        <v>49105</v>
      </c>
      <c r="D1070" s="3">
        <v>42995</v>
      </c>
      <c r="E1070" s="3">
        <v>46415</v>
      </c>
      <c r="F1070" s="3">
        <v>34216</v>
      </c>
      <c r="G1070" s="3">
        <v>49634</v>
      </c>
    </row>
    <row r="1071" spans="1:7" x14ac:dyDescent="0.2">
      <c r="A1071" t="s" s="0">
        <v>2926</v>
      </c>
      <c r="B1071" s="2">
        <v>1083497</v>
      </c>
      <c r="C1071" s="2">
        <v>23787</v>
      </c>
      <c r="D1071" s="2">
        <v>50412</v>
      </c>
      <c r="E1071" s="2">
        <v>48684</v>
      </c>
      <c r="F1071" s="2">
        <v>66166</v>
      </c>
      <c r="G1071" s="2">
        <v>55301</v>
      </c>
    </row>
    <row r="1072" spans="1:7" x14ac:dyDescent="0.2">
      <c r="A1072" t="s" s="0">
        <v>2925</v>
      </c>
      <c r="B1072" s="2">
        <v>1100585</v>
      </c>
      <c r="C1072" s="2">
        <v>41324</v>
      </c>
      <c r="D1072" s="2">
        <v>52150</v>
      </c>
      <c r="E1072" s="2">
        <v>48263</v>
      </c>
      <c r="F1072" s="2">
        <v>62458</v>
      </c>
      <c r="G1072" s="2">
        <v>56605</v>
      </c>
    </row>
    <row r="1073" spans="1:7" x14ac:dyDescent="0.2">
      <c r="A1073" t="s" s="0">
        <v>2924</v>
      </c>
      <c r="B1073" s="2">
        <v>1045952</v>
      </c>
      <c r="C1073" s="2">
        <v>49332</v>
      </c>
      <c r="D1073" s="2">
        <v>53681</v>
      </c>
      <c r="E1073" s="2">
        <v>48316</v>
      </c>
      <c r="F1073" s="2">
        <v>59700</v>
      </c>
      <c r="G1073" s="2">
        <v>53957</v>
      </c>
    </row>
    <row r="1074" spans="1:7" x14ac:dyDescent="0.2">
      <c r="A1074" t="s" s="0">
        <v>2923</v>
      </c>
      <c r="B1074" s="2">
        <v>1016292</v>
      </c>
      <c r="C1074" s="2">
        <v>42989</v>
      </c>
      <c r="D1074" s="2">
        <v>52886</v>
      </c>
      <c r="E1074" s="2">
        <v>47909</v>
      </c>
      <c r="F1074" s="2">
        <v>58069</v>
      </c>
      <c r="G1074" s="2">
        <v>50224</v>
      </c>
    </row>
    <row r="1075" spans="1:7" x14ac:dyDescent="0.2">
      <c r="A1075" t="s" s="0">
        <v>2922</v>
      </c>
      <c r="B1075" s="2">
        <v>1123200</v>
      </c>
      <c r="C1075" s="2">
        <v>46724</v>
      </c>
      <c r="D1075" s="2">
        <v>51014</v>
      </c>
      <c r="E1075" s="2">
        <v>47532</v>
      </c>
      <c r="F1075" s="2">
        <v>78115</v>
      </c>
      <c r="G1075" s="2">
        <v>54805</v>
      </c>
    </row>
    <row r="1076" spans="1:7" x14ac:dyDescent="0.2">
      <c r="A1076" t="s" s="0">
        <v>2921</v>
      </c>
      <c r="B1076" s="3">
        <v>1123200</v>
      </c>
      <c r="C1076" s="3">
        <v>46724</v>
      </c>
      <c r="D1076" s="3">
        <v>51014</v>
      </c>
      <c r="E1076" s="3">
        <v>47532</v>
      </c>
      <c r="F1076" s="3">
        <v>78115</v>
      </c>
      <c r="G1076" s="3">
        <v>54805</v>
      </c>
    </row>
    <row r="1077" spans="1:7" x14ac:dyDescent="0.2">
      <c r="A1077" t="s" s="0">
        <v>2920</v>
      </c>
      <c r="B1077" s="3">
        <v>1123200</v>
      </c>
      <c r="C1077" s="3">
        <v>46724</v>
      </c>
      <c r="D1077" s="3">
        <v>51014</v>
      </c>
      <c r="E1077" s="3">
        <v>47532</v>
      </c>
      <c r="F1077" s="3">
        <v>78115</v>
      </c>
      <c r="G1077" s="3">
        <v>54805</v>
      </c>
    </row>
    <row r="1078" spans="1:7" x14ac:dyDescent="0.2">
      <c r="A1078" t="s" s="0">
        <v>2919</v>
      </c>
      <c r="B1078" s="2">
        <v>1105939</v>
      </c>
      <c r="C1078" s="2">
        <v>24271</v>
      </c>
      <c r="D1078" s="2">
        <v>44945</v>
      </c>
      <c r="E1078" s="2">
        <v>48504</v>
      </c>
      <c r="F1078" s="2">
        <v>48092</v>
      </c>
      <c r="G1078" s="2">
        <v>52892</v>
      </c>
    </row>
    <row r="1079" spans="1:7" x14ac:dyDescent="0.2">
      <c r="A1079" t="s" s="0">
        <v>2918</v>
      </c>
      <c r="B1079" s="2">
        <v>1184438</v>
      </c>
      <c r="C1079" s="2">
        <v>41758</v>
      </c>
      <c r="D1079" s="2">
        <v>45007</v>
      </c>
      <c r="E1079" s="2">
        <v>48530</v>
      </c>
      <c r="F1079" s="2">
        <v>56926</v>
      </c>
      <c r="G1079" s="2">
        <v>50539</v>
      </c>
    </row>
    <row r="1080" spans="1:7" x14ac:dyDescent="0.2">
      <c r="A1080" t="s" s="0">
        <v>2917</v>
      </c>
      <c r="B1080" s="2">
        <v>1191573</v>
      </c>
      <c r="C1080" s="2">
        <v>46266</v>
      </c>
      <c r="D1080" s="2">
        <v>44563</v>
      </c>
      <c r="E1080" s="2">
        <v>48451</v>
      </c>
      <c r="F1080" s="2">
        <v>65306</v>
      </c>
      <c r="G1080" s="2">
        <v>52624</v>
      </c>
    </row>
    <row r="1081" spans="1:7" x14ac:dyDescent="0.2">
      <c r="A1081" t="s" s="0">
        <v>2916</v>
      </c>
      <c r="B1081" s="2">
        <v>1176619</v>
      </c>
      <c r="C1081" s="2">
        <v>41779</v>
      </c>
      <c r="D1081" s="2">
        <v>46688</v>
      </c>
      <c r="E1081" s="2">
        <v>47461</v>
      </c>
      <c r="F1081" s="2">
        <v>69592</v>
      </c>
      <c r="G1081" s="2">
        <v>54157</v>
      </c>
    </row>
    <row r="1082" spans="1:7" x14ac:dyDescent="0.2">
      <c r="A1082" t="s" s="0">
        <v>2915</v>
      </c>
      <c r="B1082" s="2">
        <v>1143074</v>
      </c>
      <c r="C1082" s="2">
        <v>48529</v>
      </c>
      <c r="D1082" s="2">
        <v>46946</v>
      </c>
      <c r="E1082" s="2">
        <v>46974</v>
      </c>
      <c r="F1082" s="2">
        <v>49627</v>
      </c>
      <c r="G1082" s="2">
        <v>53555</v>
      </c>
    </row>
    <row r="1083" spans="1:7" x14ac:dyDescent="0.2">
      <c r="A1083" t="s" s="0">
        <v>2914</v>
      </c>
      <c r="B1083" s="3">
        <v>1143074</v>
      </c>
      <c r="C1083" s="3">
        <v>48529</v>
      </c>
      <c r="D1083" s="3">
        <v>46946</v>
      </c>
      <c r="E1083" s="3">
        <v>46974</v>
      </c>
      <c r="F1083" s="3">
        <v>49627</v>
      </c>
      <c r="G1083" s="3">
        <v>53555</v>
      </c>
    </row>
    <row r="1084" spans="1:7" x14ac:dyDescent="0.2">
      <c r="A1084" t="s" s="0">
        <v>2913</v>
      </c>
      <c r="B1084" s="3">
        <v>1143074</v>
      </c>
      <c r="C1084" s="3">
        <v>48529</v>
      </c>
      <c r="D1084" s="3">
        <v>46946</v>
      </c>
      <c r="E1084" s="3">
        <v>46974</v>
      </c>
      <c r="F1084" s="3">
        <v>49627</v>
      </c>
      <c r="G1084" s="3">
        <v>53555</v>
      </c>
    </row>
    <row r="1085" spans="1:7" x14ac:dyDescent="0.2">
      <c r="A1085" t="s" s="0">
        <v>2912</v>
      </c>
      <c r="B1085" s="2">
        <v>1138743</v>
      </c>
      <c r="C1085" s="2">
        <v>22933</v>
      </c>
      <c r="D1085" s="2">
        <v>47187</v>
      </c>
      <c r="E1085" s="2">
        <v>47490</v>
      </c>
      <c r="F1085" s="2">
        <v>51716</v>
      </c>
      <c r="G1085" s="2">
        <v>52989</v>
      </c>
    </row>
    <row r="1086" spans="1:7" x14ac:dyDescent="0.2">
      <c r="A1086" t="s" s="0">
        <v>2911</v>
      </c>
      <c r="B1086" s="2">
        <v>1074724</v>
      </c>
      <c r="C1086" s="2">
        <v>46115</v>
      </c>
      <c r="D1086" s="2">
        <v>49239</v>
      </c>
      <c r="E1086" s="2">
        <v>48176</v>
      </c>
      <c r="F1086" s="2">
        <v>33408</v>
      </c>
      <c r="G1086" s="2">
        <v>49772</v>
      </c>
    </row>
    <row r="1087" spans="1:7" x14ac:dyDescent="0.2">
      <c r="A1087" t="s" s="0">
        <v>2910</v>
      </c>
      <c r="B1087" s="2">
        <v>1040402</v>
      </c>
      <c r="C1087" s="2">
        <v>43818</v>
      </c>
      <c r="D1087" s="2">
        <v>48174</v>
      </c>
      <c r="E1087" s="2">
        <v>47717</v>
      </c>
      <c r="F1087" s="2">
        <v>26421</v>
      </c>
      <c r="G1087" s="2">
        <v>47352</v>
      </c>
    </row>
    <row r="1088" spans="1:7" x14ac:dyDescent="0.2">
      <c r="A1088" t="s" s="0">
        <v>2909</v>
      </c>
      <c r="B1088" s="2">
        <v>1057132</v>
      </c>
      <c r="C1088" s="2">
        <v>47243</v>
      </c>
      <c r="D1088" s="2">
        <v>47375</v>
      </c>
      <c r="E1088" s="2">
        <v>47090</v>
      </c>
      <c r="F1088" s="2">
        <v>30148</v>
      </c>
      <c r="G1088" s="2">
        <v>49235</v>
      </c>
    </row>
    <row r="1089" spans="1:7" x14ac:dyDescent="0.2">
      <c r="A1089" t="s" s="0">
        <v>2908</v>
      </c>
      <c r="B1089" s="2">
        <v>1070291</v>
      </c>
      <c r="C1089" s="2">
        <v>50992</v>
      </c>
      <c r="D1089" s="2">
        <v>47727</v>
      </c>
      <c r="E1089" s="2">
        <v>47171</v>
      </c>
      <c r="F1089" s="2">
        <v>37261</v>
      </c>
      <c r="G1089" s="2">
        <v>49805</v>
      </c>
    </row>
    <row r="1090" spans="1:7" x14ac:dyDescent="0.2">
      <c r="A1090" t="s" s="0">
        <v>2907</v>
      </c>
      <c r="B1090" s="3">
        <v>1070291</v>
      </c>
      <c r="C1090" s="3">
        <v>50992</v>
      </c>
      <c r="D1090" s="3">
        <v>47727</v>
      </c>
      <c r="E1090" s="3">
        <v>47171</v>
      </c>
      <c r="F1090" s="3">
        <v>37261</v>
      </c>
      <c r="G1090" s="3">
        <v>49805</v>
      </c>
    </row>
    <row r="1091" spans="1:7" x14ac:dyDescent="0.2">
      <c r="A1091" t="s" s="0">
        <v>2906</v>
      </c>
      <c r="B1091" s="3">
        <v>1070291</v>
      </c>
      <c r="C1091" s="3">
        <v>50992</v>
      </c>
      <c r="D1091" s="3">
        <v>47727</v>
      </c>
      <c r="E1091" s="3">
        <v>47171</v>
      </c>
      <c r="F1091" s="3">
        <v>37261</v>
      </c>
      <c r="G1091" s="3">
        <v>49805</v>
      </c>
    </row>
    <row r="1092" spans="1:7" x14ac:dyDescent="0.2">
      <c r="A1092" t="s" s="0">
        <v>2905</v>
      </c>
      <c r="B1092" s="2">
        <v>1081699</v>
      </c>
      <c r="C1092" s="2">
        <v>24689</v>
      </c>
      <c r="D1092" s="2">
        <v>47137</v>
      </c>
      <c r="E1092" s="2">
        <v>47421</v>
      </c>
      <c r="F1092" s="2">
        <v>38920</v>
      </c>
      <c r="G1092" s="2">
        <v>51224</v>
      </c>
    </row>
    <row r="1093" spans="1:7" x14ac:dyDescent="0.2">
      <c r="A1093" t="s" s="0">
        <v>2904</v>
      </c>
      <c r="B1093" s="2">
        <v>1085136</v>
      </c>
      <c r="C1093" s="2">
        <v>42737</v>
      </c>
      <c r="D1093" s="2">
        <v>45943</v>
      </c>
      <c r="E1093" s="2">
        <v>48085</v>
      </c>
      <c r="F1093" s="2">
        <v>47362</v>
      </c>
      <c r="G1093" s="2">
        <v>50039</v>
      </c>
    </row>
    <row r="1094" spans="1:7" x14ac:dyDescent="0.2">
      <c r="A1094" t="s" s="0">
        <v>2903</v>
      </c>
      <c r="B1094" s="2">
        <v>1024106</v>
      </c>
      <c r="C1094" s="2">
        <v>48090</v>
      </c>
      <c r="D1094" s="2">
        <v>49209</v>
      </c>
      <c r="E1094" s="2">
        <v>48907</v>
      </c>
      <c r="F1094" s="2">
        <v>46812</v>
      </c>
      <c r="G1094" s="2">
        <v>49560</v>
      </c>
    </row>
    <row r="1095" spans="1:7" x14ac:dyDescent="0.2">
      <c r="A1095" t="s" s="0">
        <v>2902</v>
      </c>
      <c r="B1095" s="2">
        <v>963161</v>
      </c>
      <c r="C1095" s="2">
        <v>48782</v>
      </c>
      <c r="D1095" s="2">
        <v>50460</v>
      </c>
      <c r="E1095" s="2">
        <v>49352</v>
      </c>
      <c r="F1095" s="2">
        <v>36967</v>
      </c>
      <c r="G1095" s="2">
        <v>48694</v>
      </c>
    </row>
    <row r="1096" spans="1:7" x14ac:dyDescent="0.2">
      <c r="A1096" t="s" s="0">
        <v>2901</v>
      </c>
      <c r="B1096" s="2">
        <v>1004781</v>
      </c>
      <c r="C1096" s="2">
        <v>48790</v>
      </c>
      <c r="D1096" s="2">
        <v>50146</v>
      </c>
      <c r="E1096" s="2">
        <v>48958</v>
      </c>
      <c r="F1096" s="2">
        <v>40625</v>
      </c>
      <c r="G1096" s="2">
        <v>51407</v>
      </c>
    </row>
    <row r="1097" spans="1:7" x14ac:dyDescent="0.2">
      <c r="A1097" t="s" s="0">
        <v>2900</v>
      </c>
      <c r="B1097" s="3">
        <v>1004781</v>
      </c>
      <c r="C1097" s="3">
        <v>48790</v>
      </c>
      <c r="D1097" s="3">
        <v>50146</v>
      </c>
      <c r="E1097" s="3">
        <v>48958</v>
      </c>
      <c r="F1097" s="3">
        <v>40625</v>
      </c>
      <c r="G1097" s="3">
        <v>51407</v>
      </c>
    </row>
    <row r="1098" spans="1:7" x14ac:dyDescent="0.2">
      <c r="A1098" t="s" s="0">
        <v>2899</v>
      </c>
      <c r="B1098" s="3">
        <v>1004781</v>
      </c>
      <c r="C1098" s="3">
        <v>48790</v>
      </c>
      <c r="D1098" s="3">
        <v>50146</v>
      </c>
      <c r="E1098" s="3">
        <v>48958</v>
      </c>
      <c r="F1098" s="3">
        <v>40625</v>
      </c>
      <c r="G1098" s="3">
        <v>51407</v>
      </c>
    </row>
    <row r="1099" spans="1:7" x14ac:dyDescent="0.2">
      <c r="A1099" t="s" s="0">
        <v>2898</v>
      </c>
      <c r="B1099" s="2">
        <v>931645</v>
      </c>
      <c r="C1099" s="2">
        <v>28294</v>
      </c>
      <c r="D1099" s="2">
        <v>51198</v>
      </c>
      <c r="E1099" s="2">
        <v>47617</v>
      </c>
      <c r="F1099" s="2">
        <v>29468</v>
      </c>
      <c r="G1099" s="2">
        <v>42049</v>
      </c>
    </row>
    <row r="1100" spans="1:7" x14ac:dyDescent="0.2">
      <c r="A1100" t="s" s="0">
        <v>2897</v>
      </c>
      <c r="B1100" s="2">
        <v>1013815</v>
      </c>
      <c r="C1100" s="2">
        <v>53910</v>
      </c>
      <c r="D1100" s="2">
        <v>51363</v>
      </c>
      <c r="E1100" s="2">
        <v>47888</v>
      </c>
      <c r="F1100" s="2">
        <v>40880</v>
      </c>
      <c r="G1100" s="2">
        <v>44644</v>
      </c>
    </row>
    <row r="1101" spans="1:7" x14ac:dyDescent="0.2">
      <c r="A1101" t="s" s="0">
        <v>2896</v>
      </c>
      <c r="B1101" s="2">
        <v>1029665</v>
      </c>
      <c r="C1101" s="2">
        <v>31695</v>
      </c>
      <c r="D1101" s="2">
        <v>48069</v>
      </c>
      <c r="E1101" s="2">
        <v>47504</v>
      </c>
      <c r="F1101" s="2">
        <v>48570</v>
      </c>
      <c r="G1101" s="2">
        <v>46777</v>
      </c>
    </row>
    <row r="1102" spans="1:7" x14ac:dyDescent="0.2">
      <c r="A1102" t="s" s="0">
        <v>2895</v>
      </c>
      <c r="B1102" s="2">
        <v>1050569</v>
      </c>
      <c r="C1102" s="2">
        <v>46087</v>
      </c>
      <c r="D1102" s="2">
        <v>47515</v>
      </c>
      <c r="E1102" s="2">
        <v>48010</v>
      </c>
      <c r="F1102" s="2">
        <v>59708</v>
      </c>
      <c r="G1102" s="2">
        <v>49104</v>
      </c>
    </row>
    <row r="1103" spans="1:7" x14ac:dyDescent="0.2">
      <c r="A1103" t="s" s="0">
        <v>2894</v>
      </c>
      <c r="B1103" s="2">
        <v>1018007</v>
      </c>
      <c r="C1103" s="2">
        <v>57237</v>
      </c>
      <c r="D1103" s="2">
        <v>50151</v>
      </c>
      <c r="E1103" s="2">
        <v>48742</v>
      </c>
      <c r="F1103" s="2">
        <v>51862</v>
      </c>
      <c r="G1103" s="2">
        <v>44844</v>
      </c>
    </row>
    <row r="1104" spans="1:7" x14ac:dyDescent="0.2">
      <c r="A1104" t="s" s="0">
        <v>2893</v>
      </c>
      <c r="B1104" s="3">
        <v>1018007</v>
      </c>
      <c r="C1104" s="3">
        <v>57237</v>
      </c>
      <c r="D1104" s="3">
        <v>50151</v>
      </c>
      <c r="E1104" s="3">
        <v>48742</v>
      </c>
      <c r="F1104" s="3">
        <v>51862</v>
      </c>
      <c r="G1104" s="3">
        <v>44844</v>
      </c>
    </row>
    <row r="1105" spans="1:7" x14ac:dyDescent="0.2">
      <c r="A1105" t="s" s="0">
        <v>2892</v>
      </c>
      <c r="B1105" s="3">
        <v>1018007</v>
      </c>
      <c r="C1105" s="3">
        <v>57237</v>
      </c>
      <c r="D1105" s="3">
        <v>50151</v>
      </c>
      <c r="E1105" s="3">
        <v>48742</v>
      </c>
      <c r="F1105" s="3">
        <v>51862</v>
      </c>
      <c r="G1105" s="3">
        <v>44844</v>
      </c>
    </row>
    <row r="1106" spans="1:7" x14ac:dyDescent="0.2">
      <c r="A1106" t="s" s="0">
        <v>2891</v>
      </c>
      <c r="B1106" s="2">
        <v>1044995</v>
      </c>
      <c r="C1106" s="2">
        <v>26024</v>
      </c>
      <c r="D1106" s="2">
        <v>47450</v>
      </c>
      <c r="E1106" s="2">
        <v>48243</v>
      </c>
      <c r="F1106" s="2">
        <v>63597</v>
      </c>
      <c r="G1106" s="2">
        <v>45925</v>
      </c>
    </row>
    <row r="1107" spans="1:7" x14ac:dyDescent="0.2">
      <c r="A1107" t="s" s="0">
        <v>2890</v>
      </c>
      <c r="B1107" s="2">
        <v>1132229</v>
      </c>
      <c r="C1107" s="2">
        <v>43229</v>
      </c>
      <c r="D1107" s="2">
        <v>46638</v>
      </c>
      <c r="E1107" s="2">
        <v>48296</v>
      </c>
      <c r="F1107" s="2">
        <v>63509</v>
      </c>
      <c r="G1107" s="2">
        <v>46290</v>
      </c>
    </row>
    <row r="1108" spans="1:7" x14ac:dyDescent="0.2">
      <c r="A1108" t="s" s="0">
        <v>2889</v>
      </c>
      <c r="B1108" s="2">
        <v>1140270</v>
      </c>
      <c r="C1108" s="2">
        <v>49042</v>
      </c>
      <c r="D1108" s="2">
        <v>47412</v>
      </c>
      <c r="E1108" s="2">
        <v>48216</v>
      </c>
      <c r="F1108" s="2">
        <v>63167</v>
      </c>
      <c r="G1108" s="2">
        <v>46242</v>
      </c>
    </row>
    <row r="1109" spans="1:7" x14ac:dyDescent="0.2">
      <c r="A1109" t="s" s="0">
        <v>2888</v>
      </c>
      <c r="B1109" s="2">
        <v>1115642</v>
      </c>
      <c r="C1109" s="2">
        <v>46229</v>
      </c>
      <c r="D1109" s="2">
        <v>45851</v>
      </c>
      <c r="E1109" s="2">
        <v>47800</v>
      </c>
      <c r="F1109" s="2">
        <v>55101</v>
      </c>
      <c r="G1109" s="2">
        <v>45481</v>
      </c>
    </row>
    <row r="1110" spans="1:7" x14ac:dyDescent="0.2">
      <c r="A1110" t="s" s="0">
        <v>2887</v>
      </c>
      <c r="B1110" s="2">
        <v>1125930</v>
      </c>
      <c r="C1110" s="2">
        <v>47015</v>
      </c>
      <c r="D1110" s="2">
        <v>42962</v>
      </c>
      <c r="E1110" s="2">
        <v>47746</v>
      </c>
      <c r="F1110" s="2">
        <v>55036</v>
      </c>
      <c r="G1110" s="2">
        <v>46196</v>
      </c>
    </row>
    <row r="1111" spans="1:7" x14ac:dyDescent="0.2">
      <c r="A1111" t="s" s="0">
        <v>2886</v>
      </c>
      <c r="B1111" s="3">
        <v>1125930</v>
      </c>
      <c r="C1111" s="3">
        <v>47015</v>
      </c>
      <c r="D1111" s="3">
        <v>42962</v>
      </c>
      <c r="E1111" s="3">
        <v>47746</v>
      </c>
      <c r="F1111" s="3">
        <v>55036</v>
      </c>
      <c r="G1111" s="3">
        <v>46196</v>
      </c>
    </row>
    <row r="1112" spans="1:7" x14ac:dyDescent="0.2">
      <c r="A1112" t="s" s="0">
        <v>2885</v>
      </c>
      <c r="B1112" s="3">
        <v>1125930</v>
      </c>
      <c r="C1112" s="3">
        <v>47015</v>
      </c>
      <c r="D1112" s="3">
        <v>42962</v>
      </c>
      <c r="E1112" s="3">
        <v>47746</v>
      </c>
      <c r="F1112" s="3">
        <v>55036</v>
      </c>
      <c r="G1112" s="3">
        <v>46196</v>
      </c>
    </row>
    <row r="1113" spans="1:7" x14ac:dyDescent="0.2">
      <c r="A1113" t="s" s="0">
        <v>2884</v>
      </c>
      <c r="B1113" s="2">
        <v>1119909</v>
      </c>
      <c r="C1113" s="2">
        <v>26568</v>
      </c>
      <c r="D1113" s="2">
        <v>45214</v>
      </c>
      <c r="E1113" s="2">
        <v>47750</v>
      </c>
      <c r="F1113" s="2">
        <v>52572</v>
      </c>
      <c r="G1113" s="2">
        <v>46139</v>
      </c>
    </row>
    <row r="1114" spans="1:7" x14ac:dyDescent="0.2">
      <c r="A1114" t="s" s="0">
        <v>2883</v>
      </c>
      <c r="B1114" s="2">
        <v>1088068</v>
      </c>
      <c r="C1114" s="2">
        <v>44102</v>
      </c>
      <c r="D1114" s="2">
        <v>45603</v>
      </c>
      <c r="E1114" s="2">
        <v>47387</v>
      </c>
      <c r="F1114" s="2">
        <v>35950</v>
      </c>
      <c r="G1114" s="2">
        <v>46925</v>
      </c>
    </row>
    <row r="1115" spans="1:7" x14ac:dyDescent="0.2">
      <c r="A1115" t="s" s="0">
        <v>2882</v>
      </c>
      <c r="B1115" s="2">
        <v>1117584</v>
      </c>
      <c r="C1115" s="2">
        <v>50353</v>
      </c>
      <c r="D1115" s="2">
        <v>46528</v>
      </c>
      <c r="E1115" s="2">
        <v>47804</v>
      </c>
      <c r="F1115" s="2">
        <v>39938</v>
      </c>
      <c r="G1115" s="2">
        <v>49622</v>
      </c>
    </row>
    <row r="1116" spans="1:7" x14ac:dyDescent="0.2">
      <c r="A1116" t="s" s="0">
        <v>2881</v>
      </c>
      <c r="B1116" s="2">
        <v>1144120</v>
      </c>
      <c r="C1116" s="2">
        <v>47919</v>
      </c>
      <c r="D1116" s="2">
        <v>48266</v>
      </c>
      <c r="E1116" s="2">
        <v>48023</v>
      </c>
      <c r="F1116" s="2">
        <v>48985</v>
      </c>
      <c r="G1116" s="2">
        <v>50191</v>
      </c>
    </row>
    <row r="1117" spans="1:7" x14ac:dyDescent="0.2">
      <c r="A1117" t="s" s="0">
        <v>2880</v>
      </c>
      <c r="B1117" s="2">
        <v>1139078</v>
      </c>
      <c r="C1117" s="2">
        <v>49257</v>
      </c>
      <c r="D1117" s="2">
        <v>48586</v>
      </c>
      <c r="E1117" s="2">
        <v>47961</v>
      </c>
      <c r="F1117" s="2">
        <v>50432</v>
      </c>
      <c r="G1117" s="2">
        <v>49489</v>
      </c>
    </row>
    <row r="1118" spans="1:7" x14ac:dyDescent="0.2">
      <c r="A1118" t="s" s="0">
        <v>2879</v>
      </c>
      <c r="B1118" s="3">
        <v>1139078</v>
      </c>
      <c r="C1118" s="3">
        <v>49257</v>
      </c>
      <c r="D1118" s="3">
        <v>48586</v>
      </c>
      <c r="E1118" s="3">
        <v>47961</v>
      </c>
      <c r="F1118" s="3">
        <v>50432</v>
      </c>
      <c r="G1118" s="3">
        <v>49489</v>
      </c>
    </row>
    <row r="1119" spans="1:7" x14ac:dyDescent="0.2">
      <c r="A1119" t="s" s="0">
        <v>2878</v>
      </c>
      <c r="B1119" s="3">
        <v>1139078</v>
      </c>
      <c r="C1119" s="3">
        <v>49257</v>
      </c>
      <c r="D1119" s="3">
        <v>48586</v>
      </c>
      <c r="E1119" s="3">
        <v>47961</v>
      </c>
      <c r="F1119" s="3">
        <v>50432</v>
      </c>
      <c r="G1119" s="3">
        <v>49489</v>
      </c>
    </row>
    <row r="1120" spans="1:7" x14ac:dyDescent="0.2">
      <c r="A1120" t="s" s="0">
        <v>2877</v>
      </c>
      <c r="B1120" s="2">
        <v>1030983</v>
      </c>
      <c r="C1120" s="2">
        <v>27115</v>
      </c>
      <c r="D1120" s="2">
        <v>49605</v>
      </c>
      <c r="E1120" s="2">
        <v>48367</v>
      </c>
      <c r="F1120" s="2">
        <v>36869</v>
      </c>
      <c r="G1120" s="2">
        <v>45627</v>
      </c>
    </row>
    <row r="1121" spans="1:7" x14ac:dyDescent="0.2">
      <c r="A1121" t="s" s="0">
        <v>2876</v>
      </c>
      <c r="B1121" s="2">
        <v>1109681</v>
      </c>
      <c r="C1121" s="2">
        <v>46437</v>
      </c>
      <c r="D1121" s="2">
        <v>48962</v>
      </c>
      <c r="E1121" s="2">
        <v>48141</v>
      </c>
      <c r="F1121" s="2">
        <v>52016</v>
      </c>
      <c r="G1121" s="2">
        <v>48089</v>
      </c>
    </row>
    <row r="1122" spans="1:7" x14ac:dyDescent="0.2">
      <c r="A1122" t="s" s="0">
        <v>2875</v>
      </c>
      <c r="B1122" s="2">
        <v>1072784</v>
      </c>
      <c r="C1122" s="2">
        <v>52086</v>
      </c>
      <c r="D1122" s="2">
        <v>51301</v>
      </c>
      <c r="E1122" s="2">
        <v>48328</v>
      </c>
      <c r="F1122" s="2">
        <v>44874</v>
      </c>
      <c r="G1122" s="2">
        <v>49137</v>
      </c>
    </row>
    <row r="1123" spans="1:7" x14ac:dyDescent="0.2">
      <c r="A1123" t="s" s="0">
        <v>2874</v>
      </c>
      <c r="B1123" s="2">
        <v>1039801</v>
      </c>
      <c r="C1123" s="2">
        <v>45134</v>
      </c>
      <c r="D1123" s="2">
        <v>49407</v>
      </c>
      <c r="E1123" s="2">
        <v>47760</v>
      </c>
      <c r="F1123" s="2">
        <v>34477</v>
      </c>
      <c r="G1123" s="2">
        <v>49568</v>
      </c>
    </row>
    <row r="1124" spans="1:7" x14ac:dyDescent="0.2">
      <c r="A1124" t="s" s="0">
        <v>2873</v>
      </c>
      <c r="B1124" s="2">
        <v>1060978</v>
      </c>
      <c r="C1124" s="2">
        <v>50820</v>
      </c>
      <c r="D1124" s="2">
        <v>49630</v>
      </c>
      <c r="E1124" s="2">
        <v>47832</v>
      </c>
      <c r="F1124" s="2">
        <v>38473</v>
      </c>
      <c r="G1124" s="2">
        <v>48951</v>
      </c>
    </row>
    <row r="1125" spans="1:7" x14ac:dyDescent="0.2">
      <c r="A1125" t="s" s="0">
        <v>2872</v>
      </c>
      <c r="B1125" s="3">
        <v>1060978</v>
      </c>
      <c r="C1125" s="3">
        <v>50820</v>
      </c>
      <c r="D1125" s="3">
        <v>49630</v>
      </c>
      <c r="E1125" s="3">
        <v>47832</v>
      </c>
      <c r="F1125" s="3">
        <v>38473</v>
      </c>
      <c r="G1125" s="3">
        <v>48951</v>
      </c>
    </row>
    <row r="1126" spans="1:7" x14ac:dyDescent="0.2">
      <c r="A1126" t="s" s="0">
        <v>2871</v>
      </c>
      <c r="B1126" s="3">
        <v>1060978</v>
      </c>
      <c r="C1126" s="3">
        <v>50820</v>
      </c>
      <c r="D1126" s="3">
        <v>49630</v>
      </c>
      <c r="E1126" s="3">
        <v>47832</v>
      </c>
      <c r="F1126" s="3">
        <v>38473</v>
      </c>
      <c r="G1126" s="3">
        <v>48951</v>
      </c>
    </row>
    <row r="1127" spans="1:7" x14ac:dyDescent="0.2">
      <c r="A1127" t="s" s="0">
        <v>2870</v>
      </c>
      <c r="B1127" s="2">
        <v>989604</v>
      </c>
      <c r="C1127" s="2">
        <v>26623</v>
      </c>
      <c r="D1127" s="2">
        <v>46532</v>
      </c>
      <c r="E1127" s="2">
        <v>47200</v>
      </c>
      <c r="F1127" s="2">
        <v>40589</v>
      </c>
      <c r="G1127" s="2">
        <v>48407</v>
      </c>
    </row>
    <row r="1128" spans="1:7" x14ac:dyDescent="0.2">
      <c r="A1128" t="s" s="0">
        <v>2869</v>
      </c>
      <c r="B1128" s="2">
        <v>966560</v>
      </c>
      <c r="C1128" s="2">
        <v>52615</v>
      </c>
      <c r="D1128" s="2">
        <v>48131</v>
      </c>
      <c r="E1128" s="2">
        <v>47333</v>
      </c>
      <c r="F1128" s="2">
        <v>27699</v>
      </c>
      <c r="G1128" s="2">
        <v>44793</v>
      </c>
    </row>
    <row r="1129" spans="1:7" x14ac:dyDescent="0.2">
      <c r="A1129" t="s" s="0">
        <v>2868</v>
      </c>
      <c r="B1129" s="2">
        <v>957694</v>
      </c>
      <c r="C1129" s="2">
        <v>44780</v>
      </c>
      <c r="D1129" s="2">
        <v>44257</v>
      </c>
      <c r="E1129" s="2">
        <v>47375</v>
      </c>
      <c r="F1129" s="2">
        <v>27829</v>
      </c>
      <c r="G1129" s="2">
        <v>43952</v>
      </c>
    </row>
    <row r="1130" spans="1:7" x14ac:dyDescent="0.2">
      <c r="A1130" t="s" s="0">
        <v>2867</v>
      </c>
      <c r="B1130" s="2">
        <v>925443</v>
      </c>
      <c r="C1130" s="2">
        <v>48170</v>
      </c>
      <c r="D1130" s="2">
        <v>46696</v>
      </c>
      <c r="E1130" s="2">
        <v>47555</v>
      </c>
      <c r="F1130" s="2">
        <v>30373</v>
      </c>
      <c r="G1130" s="2">
        <v>42234</v>
      </c>
    </row>
    <row r="1131" spans="1:7" x14ac:dyDescent="0.2">
      <c r="A1131" t="s" s="0">
        <v>2866</v>
      </c>
      <c r="B1131" s="2">
        <v>911392</v>
      </c>
      <c r="C1131" s="2">
        <v>50048</v>
      </c>
      <c r="D1131" s="2">
        <v>48015</v>
      </c>
      <c r="E1131" s="2">
        <v>47298</v>
      </c>
      <c r="F1131" s="2">
        <v>26659</v>
      </c>
      <c r="G1131" s="2">
        <v>42650</v>
      </c>
    </row>
    <row r="1132" spans="1:7" x14ac:dyDescent="0.2">
      <c r="A1132" t="s" s="0">
        <v>2865</v>
      </c>
      <c r="B1132" s="3">
        <v>911392</v>
      </c>
      <c r="C1132" s="3">
        <v>50048</v>
      </c>
      <c r="D1132" s="3">
        <v>48015</v>
      </c>
      <c r="E1132" s="3">
        <v>47298</v>
      </c>
      <c r="F1132" s="3">
        <v>26659</v>
      </c>
      <c r="G1132" s="3">
        <v>42650</v>
      </c>
    </row>
    <row r="1133" spans="1:7" x14ac:dyDescent="0.2">
      <c r="A1133" t="s" s="0">
        <v>2864</v>
      </c>
      <c r="B1133" s="3">
        <v>911392</v>
      </c>
      <c r="C1133" s="3">
        <v>50048</v>
      </c>
      <c r="D1133" s="3">
        <v>48015</v>
      </c>
      <c r="E1133" s="3">
        <v>47298</v>
      </c>
      <c r="F1133" s="3">
        <v>26659</v>
      </c>
      <c r="G1133" s="3">
        <v>42650</v>
      </c>
    </row>
    <row r="1134" spans="1:7" x14ac:dyDescent="0.2">
      <c r="A1134" t="s" s="0">
        <v>2863</v>
      </c>
      <c r="B1134" s="2">
        <v>891394</v>
      </c>
      <c r="C1134" s="2">
        <v>28298</v>
      </c>
      <c r="D1134" s="2">
        <v>48681</v>
      </c>
      <c r="E1134" s="2">
        <v>47508</v>
      </c>
      <c r="F1134" s="2">
        <v>34696</v>
      </c>
      <c r="G1134" s="2">
        <v>41181</v>
      </c>
    </row>
    <row r="1135" spans="1:7" x14ac:dyDescent="0.2">
      <c r="A1135" t="s" s="0">
        <v>2862</v>
      </c>
      <c r="B1135" s="2">
        <v>891004</v>
      </c>
      <c r="C1135" s="2">
        <v>42359</v>
      </c>
      <c r="D1135" s="2">
        <v>47213</v>
      </c>
      <c r="E1135" s="2">
        <v>47477</v>
      </c>
      <c r="F1135" s="2">
        <v>36420</v>
      </c>
      <c r="G1135" s="2">
        <v>38021</v>
      </c>
    </row>
    <row r="1136" spans="1:7" x14ac:dyDescent="0.2">
      <c r="A1136" t="s" s="0">
        <v>2861</v>
      </c>
      <c r="B1136" s="2">
        <v>898396</v>
      </c>
      <c r="C1136" s="2">
        <v>48269</v>
      </c>
      <c r="D1136" s="2">
        <v>49080</v>
      </c>
      <c r="E1136" s="2">
        <v>47792</v>
      </c>
      <c r="F1136" s="2">
        <v>40609</v>
      </c>
      <c r="G1136" s="2">
        <v>38312</v>
      </c>
    </row>
    <row r="1137" spans="1:7" x14ac:dyDescent="0.2">
      <c r="A1137" t="s" s="0">
        <v>2860</v>
      </c>
      <c r="B1137" s="2">
        <v>876552</v>
      </c>
      <c r="C1137" s="2">
        <v>45665</v>
      </c>
      <c r="D1137" s="2">
        <v>47600</v>
      </c>
      <c r="E1137" s="2">
        <v>47992</v>
      </c>
      <c r="F1137" s="2">
        <v>40616</v>
      </c>
      <c r="G1137" s="2">
        <v>38613</v>
      </c>
    </row>
    <row r="1138" spans="1:7" x14ac:dyDescent="0.2">
      <c r="A1138" t="s" s="0">
        <v>2859</v>
      </c>
      <c r="B1138" s="2">
        <v>893453</v>
      </c>
      <c r="C1138" s="2">
        <v>49553</v>
      </c>
      <c r="D1138" s="2">
        <v>48071</v>
      </c>
      <c r="E1138" s="2">
        <v>48576</v>
      </c>
      <c r="F1138" s="2">
        <v>45446</v>
      </c>
      <c r="G1138" s="2">
        <v>40252</v>
      </c>
    </row>
    <row r="1139" spans="1:7" x14ac:dyDescent="0.2">
      <c r="A1139" t="s" s="0">
        <v>2858</v>
      </c>
      <c r="B1139" s="3">
        <v>893453</v>
      </c>
      <c r="C1139" s="3">
        <v>49553</v>
      </c>
      <c r="D1139" s="3">
        <v>48071</v>
      </c>
      <c r="E1139" s="3">
        <v>48576</v>
      </c>
      <c r="F1139" s="3">
        <v>45446</v>
      </c>
      <c r="G1139" s="3">
        <v>40252</v>
      </c>
    </row>
    <row r="1140" spans="1:7" x14ac:dyDescent="0.2">
      <c r="A1140" t="s" s="0">
        <v>2857</v>
      </c>
      <c r="B1140" s="3">
        <v>893453</v>
      </c>
      <c r="C1140" s="3">
        <v>49553</v>
      </c>
      <c r="D1140" s="3">
        <v>48071</v>
      </c>
      <c r="E1140" s="3">
        <v>48576</v>
      </c>
      <c r="F1140" s="3">
        <v>45446</v>
      </c>
      <c r="G1140" s="3">
        <v>40252</v>
      </c>
    </row>
    <row r="1141" spans="1:7" x14ac:dyDescent="0.2">
      <c r="A1141" t="s" s="0">
        <v>2856</v>
      </c>
      <c r="B1141" s="2">
        <v>821888</v>
      </c>
      <c r="C1141" s="2">
        <v>25872</v>
      </c>
      <c r="D1141" s="2">
        <v>57997</v>
      </c>
      <c r="E1141" s="2">
        <v>50704</v>
      </c>
      <c r="F1141" s="2">
        <v>48005</v>
      </c>
      <c r="G1141" s="2">
        <v>40040</v>
      </c>
    </row>
    <row r="1142" spans="1:7" x14ac:dyDescent="0.2">
      <c r="A1142" t="s" s="0">
        <v>2855</v>
      </c>
      <c r="B1142" s="2">
        <v>818399</v>
      </c>
      <c r="C1142" s="2">
        <v>40849</v>
      </c>
      <c r="D1142" s="2">
        <v>57067</v>
      </c>
      <c r="E1142" s="2">
        <v>50343</v>
      </c>
      <c r="F1142" s="2">
        <v>46632</v>
      </c>
      <c r="G1142" s="2">
        <v>40692</v>
      </c>
    </row>
    <row r="1143" spans="1:7" x14ac:dyDescent="0.2">
      <c r="A1143" t="s" s="0">
        <v>2854</v>
      </c>
      <c r="B1143" s="2">
        <v>765843</v>
      </c>
      <c r="C1143" s="2">
        <v>46557</v>
      </c>
      <c r="D1143" s="2">
        <v>56311</v>
      </c>
      <c r="E1143" s="2">
        <v>50237</v>
      </c>
      <c r="F1143" s="2">
        <v>37312</v>
      </c>
      <c r="G1143" s="2">
        <v>37656</v>
      </c>
    </row>
    <row r="1144" spans="1:7" x14ac:dyDescent="0.2">
      <c r="A1144" t="s" s="0">
        <v>2853</v>
      </c>
      <c r="B1144" s="2">
        <v>758468</v>
      </c>
      <c r="C1144" s="2">
        <v>45836</v>
      </c>
      <c r="D1144" s="2">
        <v>55461</v>
      </c>
      <c r="E1144" s="2">
        <v>49791</v>
      </c>
      <c r="F1144" s="2">
        <v>38454</v>
      </c>
      <c r="G1144" s="2">
        <v>35980</v>
      </c>
    </row>
    <row r="1145" spans="1:7" x14ac:dyDescent="0.2">
      <c r="A1145" t="s" s="0">
        <v>2852</v>
      </c>
      <c r="B1145" s="2">
        <v>959021</v>
      </c>
      <c r="C1145" s="2">
        <v>47560</v>
      </c>
      <c r="D1145" s="2">
        <v>53206</v>
      </c>
      <c r="E1145" s="2">
        <v>49731</v>
      </c>
      <c r="F1145" s="2">
        <v>62497</v>
      </c>
      <c r="G1145" s="2">
        <v>43269</v>
      </c>
    </row>
    <row r="1146" spans="1:7" x14ac:dyDescent="0.2">
      <c r="A1146" t="s" s="0">
        <v>2851</v>
      </c>
      <c r="B1146" s="3">
        <v>959021</v>
      </c>
      <c r="C1146" s="3">
        <v>47560</v>
      </c>
      <c r="D1146" s="3">
        <v>53206</v>
      </c>
      <c r="E1146" s="3">
        <v>49731</v>
      </c>
      <c r="F1146" s="3">
        <v>62497</v>
      </c>
      <c r="G1146" s="3">
        <v>43269</v>
      </c>
    </row>
    <row r="1147" spans="1:7" x14ac:dyDescent="0.2">
      <c r="A1147" t="s" s="0">
        <v>2850</v>
      </c>
      <c r="B1147" s="3">
        <v>959021</v>
      </c>
      <c r="C1147" s="3">
        <v>47560</v>
      </c>
      <c r="D1147" s="3">
        <v>53206</v>
      </c>
      <c r="E1147" s="3">
        <v>49731</v>
      </c>
      <c r="F1147" s="3">
        <v>62497</v>
      </c>
      <c r="G1147" s="3">
        <v>43269</v>
      </c>
    </row>
    <row r="1148" spans="1:7" x14ac:dyDescent="0.2">
      <c r="A1148" t="s" s="0">
        <v>2849</v>
      </c>
      <c r="B1148" s="2">
        <v>919916</v>
      </c>
      <c r="C1148" s="2">
        <v>23386</v>
      </c>
      <c r="D1148" s="2">
        <v>45767</v>
      </c>
      <c r="E1148" s="2">
        <v>49744</v>
      </c>
      <c r="F1148" s="2">
        <v>59636</v>
      </c>
      <c r="G1148" s="2">
        <v>45732</v>
      </c>
    </row>
    <row r="1149" spans="1:7" x14ac:dyDescent="0.2">
      <c r="A1149" t="s" s="0">
        <v>2848</v>
      </c>
      <c r="B1149" s="2">
        <v>940543</v>
      </c>
      <c r="C1149" s="2">
        <v>37746</v>
      </c>
      <c r="D1149" s="2">
        <v>45324</v>
      </c>
      <c r="E1149" s="2">
        <v>49434</v>
      </c>
      <c r="F1149" s="2">
        <v>62638</v>
      </c>
      <c r="G1149" s="2">
        <v>43347</v>
      </c>
    </row>
    <row r="1150" spans="1:7" x14ac:dyDescent="0.2">
      <c r="A1150" t="s" s="0">
        <v>2847</v>
      </c>
      <c r="B1150" s="2">
        <v>993606</v>
      </c>
      <c r="C1150" s="2">
        <v>50911</v>
      </c>
      <c r="D1150" s="2">
        <v>45089</v>
      </c>
      <c r="E1150" s="2">
        <v>48684</v>
      </c>
      <c r="F1150" s="2">
        <v>77491</v>
      </c>
      <c r="G1150" s="2">
        <v>45811</v>
      </c>
    </row>
    <row r="1151" spans="1:7" x14ac:dyDescent="0.2">
      <c r="A1151" t="s" s="0">
        <v>2846</v>
      </c>
      <c r="B1151" s="2">
        <v>967743</v>
      </c>
      <c r="C1151" s="2">
        <v>48310</v>
      </c>
      <c r="D1151" s="2">
        <v>51293</v>
      </c>
      <c r="E1151" s="2">
        <v>50263</v>
      </c>
      <c r="F1151" s="2">
        <v>81130</v>
      </c>
      <c r="G1151" s="2">
        <v>47643</v>
      </c>
    </row>
    <row r="1152" spans="1:7" x14ac:dyDescent="0.2">
      <c r="A1152" t="s" s="0">
        <v>2845</v>
      </c>
      <c r="B1152" s="2">
        <v>1028268</v>
      </c>
      <c r="C1152" s="2">
        <v>50808</v>
      </c>
      <c r="D1152" s="2">
        <v>51757</v>
      </c>
      <c r="E1152" s="2">
        <v>50262</v>
      </c>
      <c r="F1152" s="2">
        <v>61541</v>
      </c>
      <c r="G1152" s="2">
        <v>49036</v>
      </c>
    </row>
    <row r="1153" spans="1:7" x14ac:dyDescent="0.2">
      <c r="A1153" t="s" s="0">
        <v>2844</v>
      </c>
      <c r="B1153" s="3">
        <v>1028268</v>
      </c>
      <c r="C1153" s="3">
        <v>50808</v>
      </c>
      <c r="D1153" s="3">
        <v>51757</v>
      </c>
      <c r="E1153" s="3">
        <v>50262</v>
      </c>
      <c r="F1153" s="3">
        <v>61541</v>
      </c>
      <c r="G1153" s="3">
        <v>49036</v>
      </c>
    </row>
    <row r="1154" spans="1:7" x14ac:dyDescent="0.2">
      <c r="A1154" t="s" s="0">
        <v>2843</v>
      </c>
      <c r="B1154" s="3">
        <v>1028268</v>
      </c>
      <c r="C1154" s="3">
        <v>50808</v>
      </c>
      <c r="D1154" s="3">
        <v>51757</v>
      </c>
      <c r="E1154" s="3">
        <v>50262</v>
      </c>
      <c r="F1154" s="3">
        <v>61541</v>
      </c>
      <c r="G1154" s="3">
        <v>49036</v>
      </c>
    </row>
    <row r="1155" spans="1:7" x14ac:dyDescent="0.2">
      <c r="A1155" t="s" s="0">
        <v>2842</v>
      </c>
      <c r="B1155" s="2">
        <v>964237</v>
      </c>
      <c r="C1155" s="2">
        <v>25801</v>
      </c>
      <c r="D1155" s="2">
        <v>50266</v>
      </c>
      <c r="E1155" s="2">
        <v>50678</v>
      </c>
      <c r="F1155" s="2">
        <v>56548</v>
      </c>
      <c r="G1155" s="2">
        <v>49721</v>
      </c>
    </row>
    <row r="1156" spans="1:7" x14ac:dyDescent="0.2">
      <c r="A1156" t="s" s="0">
        <v>2841</v>
      </c>
      <c r="B1156" s="2">
        <v>964299</v>
      </c>
      <c r="C1156" s="2">
        <v>50667</v>
      </c>
      <c r="D1156" s="2">
        <v>52112</v>
      </c>
      <c r="E1156" s="2">
        <v>50429</v>
      </c>
      <c r="F1156" s="2">
        <v>55456</v>
      </c>
      <c r="G1156" s="2">
        <v>50286</v>
      </c>
    </row>
    <row r="1157" spans="1:7" x14ac:dyDescent="0.2">
      <c r="A1157" t="s" s="0">
        <v>2840</v>
      </c>
      <c r="B1157" s="2">
        <v>906864</v>
      </c>
      <c r="C1157" s="2">
        <v>48937</v>
      </c>
      <c r="D1157" s="2">
        <v>53044</v>
      </c>
      <c r="E1157" s="2">
        <v>50881</v>
      </c>
      <c r="F1157" s="2">
        <v>40602</v>
      </c>
      <c r="G1157" s="2">
        <v>49004</v>
      </c>
    </row>
    <row r="1158" spans="1:7" x14ac:dyDescent="0.2">
      <c r="A1158" t="s" s="0">
        <v>2839</v>
      </c>
      <c r="B1158" s="2">
        <v>947196</v>
      </c>
      <c r="C1158" s="2">
        <v>49668</v>
      </c>
      <c r="D1158" s="2">
        <v>47378</v>
      </c>
      <c r="E1158" s="2">
        <v>50433</v>
      </c>
      <c r="F1158" s="2">
        <v>44393</v>
      </c>
      <c r="G1158" s="2">
        <v>51148</v>
      </c>
    </row>
    <row r="1159" spans="1:7" x14ac:dyDescent="0.2">
      <c r="A1159" t="s" s="0">
        <v>2838</v>
      </c>
      <c r="B1159" s="2">
        <v>949858</v>
      </c>
      <c r="C1159" s="2">
        <v>50564</v>
      </c>
      <c r="D1159" s="2">
        <v>47343</v>
      </c>
      <c r="E1159" s="2">
        <v>50094</v>
      </c>
      <c r="F1159" s="2">
        <v>36019</v>
      </c>
      <c r="G1159" s="2">
        <v>51376</v>
      </c>
    </row>
    <row r="1160" spans="1:7" x14ac:dyDescent="0.2">
      <c r="A1160" t="s" s="0">
        <v>2837</v>
      </c>
      <c r="B1160" s="3">
        <v>949858</v>
      </c>
      <c r="C1160" s="3">
        <v>50564</v>
      </c>
      <c r="D1160" s="3">
        <v>47343</v>
      </c>
      <c r="E1160" s="3">
        <v>50094</v>
      </c>
      <c r="F1160" s="3">
        <v>36019</v>
      </c>
      <c r="G1160" s="3">
        <v>51376</v>
      </c>
    </row>
    <row r="1161" spans="1:7" x14ac:dyDescent="0.2">
      <c r="A1161" t="s" s="0">
        <v>2836</v>
      </c>
      <c r="B1161" s="3">
        <v>949858</v>
      </c>
      <c r="C1161" s="3">
        <v>50564</v>
      </c>
      <c r="D1161" s="3">
        <v>47343</v>
      </c>
      <c r="E1161" s="3">
        <v>50094</v>
      </c>
      <c r="F1161" s="3">
        <v>36019</v>
      </c>
      <c r="G1161" s="3">
        <v>51376</v>
      </c>
    </row>
    <row r="1162" spans="1:7" x14ac:dyDescent="0.2">
      <c r="A1162" t="s" s="0">
        <v>2835</v>
      </c>
      <c r="B1162" s="2">
        <v>1007667</v>
      </c>
      <c r="C1162" s="2">
        <v>29946</v>
      </c>
      <c r="D1162" s="2">
        <v>47785</v>
      </c>
      <c r="E1162" s="2">
        <v>50454</v>
      </c>
      <c r="F1162" s="2">
        <v>53867</v>
      </c>
      <c r="G1162" s="2">
        <v>54514</v>
      </c>
    </row>
    <row r="1163" spans="1:7" x14ac:dyDescent="0.2">
      <c r="A1163" t="s" s="0">
        <v>2834</v>
      </c>
      <c r="B1163" s="2">
        <v>1063042</v>
      </c>
      <c r="C1163" s="2">
        <v>36660</v>
      </c>
      <c r="D1163" s="2">
        <v>45784</v>
      </c>
      <c r="E1163" s="2">
        <v>50072</v>
      </c>
      <c r="F1163" s="2">
        <v>59768</v>
      </c>
      <c r="G1163" s="2">
        <v>56124</v>
      </c>
    </row>
    <row r="1164" spans="1:7" x14ac:dyDescent="0.2">
      <c r="A1164" t="s" s="0">
        <v>2833</v>
      </c>
      <c r="B1164" s="2">
        <v>1076213</v>
      </c>
      <c r="C1164" s="2">
        <v>43153</v>
      </c>
      <c r="D1164" s="2">
        <v>43744</v>
      </c>
      <c r="E1164" s="2">
        <v>49547</v>
      </c>
      <c r="F1164" s="2">
        <v>67815</v>
      </c>
      <c r="G1164" s="2">
        <v>55805</v>
      </c>
    </row>
    <row r="1165" spans="1:7" x14ac:dyDescent="0.2">
      <c r="A1165" t="s" s="0">
        <v>2832</v>
      </c>
      <c r="B1165" s="2">
        <v>1036909</v>
      </c>
      <c r="C1165" s="2">
        <v>45042</v>
      </c>
      <c r="D1165" s="2">
        <v>55154</v>
      </c>
      <c r="E1165" s="2">
        <v>52322</v>
      </c>
      <c r="F1165" s="2">
        <v>67848</v>
      </c>
      <c r="G1165" s="2">
        <v>57956</v>
      </c>
    </row>
    <row r="1166" spans="1:7" x14ac:dyDescent="0.2">
      <c r="A1166" t="s" s="0">
        <v>2831</v>
      </c>
      <c r="B1166" s="2">
        <v>1001063</v>
      </c>
      <c r="C1166" s="2">
        <v>49080</v>
      </c>
      <c r="D1166" s="2">
        <v>54942</v>
      </c>
      <c r="E1166" s="2">
        <v>51812</v>
      </c>
      <c r="F1166" s="2">
        <v>60389</v>
      </c>
      <c r="G1166" s="2">
        <v>55112</v>
      </c>
    </row>
    <row r="1167" spans="1:7" x14ac:dyDescent="0.2">
      <c r="A1167" t="s" s="0">
        <v>2830</v>
      </c>
      <c r="B1167" s="3">
        <v>1001063</v>
      </c>
      <c r="C1167" s="3">
        <v>49080</v>
      </c>
      <c r="D1167" s="3">
        <v>54942</v>
      </c>
      <c r="E1167" s="3">
        <v>51812</v>
      </c>
      <c r="F1167" s="3">
        <v>60389</v>
      </c>
      <c r="G1167" s="3">
        <v>55112</v>
      </c>
    </row>
    <row r="1168" spans="1:7" x14ac:dyDescent="0.2">
      <c r="A1168" t="s" s="0">
        <v>2829</v>
      </c>
      <c r="B1168" s="3">
        <v>1001063</v>
      </c>
      <c r="C1168" s="3">
        <v>49080</v>
      </c>
      <c r="D1168" s="3">
        <v>54942</v>
      </c>
      <c r="E1168" s="3">
        <v>51812</v>
      </c>
      <c r="F1168" s="3">
        <v>60389</v>
      </c>
      <c r="G1168" s="3">
        <v>55112</v>
      </c>
    </row>
    <row r="1169" spans="1:7" x14ac:dyDescent="0.2">
      <c r="A1169" t="s" s="0">
        <v>2828</v>
      </c>
      <c r="B1169" s="2">
        <v>952802</v>
      </c>
      <c r="C1169" s="2">
        <v>23830</v>
      </c>
      <c r="D1169" s="2">
        <v>56379</v>
      </c>
      <c r="E1169" s="2">
        <v>50049</v>
      </c>
      <c r="F1169" s="2">
        <v>46674</v>
      </c>
      <c r="G1169" s="2">
        <v>54181</v>
      </c>
    </row>
    <row r="1170" spans="1:7" x14ac:dyDescent="0.2">
      <c r="A1170" t="s" s="0">
        <v>2827</v>
      </c>
      <c r="B1170" s="2">
        <v>1076605</v>
      </c>
      <c r="C1170" s="2">
        <v>34929</v>
      </c>
      <c r="D1170" s="2">
        <v>56132</v>
      </c>
      <c r="E1170" s="2">
        <v>49838</v>
      </c>
      <c r="F1170" s="2">
        <v>56202</v>
      </c>
      <c r="G1170" s="2">
        <v>58516</v>
      </c>
    </row>
    <row r="1171" spans="1:7" x14ac:dyDescent="0.2">
      <c r="A1171" t="s" s="0">
        <v>2826</v>
      </c>
      <c r="B1171" s="2">
        <v>1021384</v>
      </c>
      <c r="C1171" s="2">
        <v>45318</v>
      </c>
      <c r="D1171" s="2">
        <v>57859</v>
      </c>
      <c r="E1171" s="2">
        <v>49934</v>
      </c>
      <c r="F1171" s="2">
        <v>48159</v>
      </c>
      <c r="G1171" s="2">
        <v>58517</v>
      </c>
    </row>
    <row r="1172" spans="1:7" x14ac:dyDescent="0.2">
      <c r="A1172" t="s" s="0">
        <v>2825</v>
      </c>
      <c r="B1172" s="2">
        <v>987591</v>
      </c>
      <c r="C1172" s="2">
        <v>40344</v>
      </c>
      <c r="D1172" s="2">
        <v>45117</v>
      </c>
      <c r="E1172" s="2">
        <v>49736</v>
      </c>
      <c r="F1172" s="2">
        <v>35264</v>
      </c>
      <c r="G1172" s="2">
        <v>57159</v>
      </c>
    </row>
    <row r="1173" spans="1:7" x14ac:dyDescent="0.2">
      <c r="A1173" t="s" s="0">
        <v>2824</v>
      </c>
      <c r="B1173" s="2">
        <v>948334</v>
      </c>
      <c r="C1173" s="2">
        <v>47112</v>
      </c>
      <c r="D1173" s="2">
        <v>51925</v>
      </c>
      <c r="E1173" s="2">
        <v>51492</v>
      </c>
      <c r="F1173" s="2">
        <v>43098</v>
      </c>
      <c r="G1173" s="2">
        <v>50262</v>
      </c>
    </row>
    <row r="1174" spans="1:7" x14ac:dyDescent="0.2">
      <c r="A1174" t="s" s="0">
        <v>2823</v>
      </c>
      <c r="B1174" s="3">
        <v>948334</v>
      </c>
      <c r="C1174" s="3">
        <v>47112</v>
      </c>
      <c r="D1174" s="3">
        <v>51925</v>
      </c>
      <c r="E1174" s="3">
        <v>51492</v>
      </c>
      <c r="F1174" s="3">
        <v>43098</v>
      </c>
      <c r="G1174" s="3">
        <v>50262</v>
      </c>
    </row>
    <row r="1175" spans="1:7" x14ac:dyDescent="0.2">
      <c r="A1175" t="s" s="0">
        <v>2822</v>
      </c>
      <c r="B1175" s="3">
        <v>948334</v>
      </c>
      <c r="C1175" s="3">
        <v>47112</v>
      </c>
      <c r="D1175" s="3">
        <v>51925</v>
      </c>
      <c r="E1175" s="3">
        <v>51492</v>
      </c>
      <c r="F1175" s="3">
        <v>43098</v>
      </c>
      <c r="G1175" s="3">
        <v>50262</v>
      </c>
    </row>
    <row r="1176" spans="1:7" x14ac:dyDescent="0.2">
      <c r="A1176" t="s" s="0">
        <v>2821</v>
      </c>
      <c r="B1176" s="2">
        <v>933793</v>
      </c>
      <c r="C1176" s="2">
        <v>23935</v>
      </c>
      <c r="D1176" s="2">
        <v>46873</v>
      </c>
      <c r="E1176" s="2">
        <v>50326</v>
      </c>
      <c r="F1176" s="2">
        <v>42863</v>
      </c>
      <c r="G1176" s="2">
        <v>49988</v>
      </c>
    </row>
    <row r="1177" spans="1:7" x14ac:dyDescent="0.2">
      <c r="A1177" t="s" s="0">
        <v>2820</v>
      </c>
      <c r="B1177" s="2">
        <v>946974</v>
      </c>
      <c r="C1177" s="2">
        <v>42020</v>
      </c>
      <c r="D1177" s="2">
        <v>51459</v>
      </c>
      <c r="E1177" s="2">
        <v>51372</v>
      </c>
      <c r="F1177" s="2">
        <v>31617</v>
      </c>
      <c r="G1177" s="2">
        <v>50761</v>
      </c>
    </row>
    <row r="1178" spans="1:7" x14ac:dyDescent="0.2">
      <c r="A1178" t="s" s="0">
        <v>2819</v>
      </c>
      <c r="B1178" s="2">
        <v>914526</v>
      </c>
      <c r="C1178" s="2">
        <v>41437</v>
      </c>
      <c r="D1178" s="2">
        <v>51629</v>
      </c>
      <c r="E1178" s="2">
        <v>51569</v>
      </c>
      <c r="F1178" s="2">
        <v>35041</v>
      </c>
      <c r="G1178" s="2">
        <v>47904</v>
      </c>
    </row>
    <row r="1179" spans="1:7" x14ac:dyDescent="0.2">
      <c r="A1179" t="s" s="0">
        <v>2818</v>
      </c>
      <c r="B1179" s="2">
        <v>990986</v>
      </c>
      <c r="C1179" s="2">
        <v>41726</v>
      </c>
      <c r="D1179" s="2">
        <v>53513</v>
      </c>
      <c r="E1179" s="2">
        <v>50290</v>
      </c>
      <c r="F1179" s="2">
        <v>53615</v>
      </c>
      <c r="G1179" s="2">
        <v>50280</v>
      </c>
    </row>
    <row r="1180" spans="1:7" x14ac:dyDescent="0.2">
      <c r="A1180" t="s" s="0">
        <v>2817</v>
      </c>
      <c r="B1180" s="2">
        <v>973596</v>
      </c>
      <c r="C1180" s="2">
        <v>43887</v>
      </c>
      <c r="D1180" s="2">
        <v>49998</v>
      </c>
      <c r="E1180" s="2">
        <v>51052</v>
      </c>
      <c r="F1180" s="2">
        <v>52466</v>
      </c>
      <c r="G1180" s="2">
        <v>47993</v>
      </c>
    </row>
    <row r="1181" spans="1:7" x14ac:dyDescent="0.2">
      <c r="A1181" t="s" s="0">
        <v>2816</v>
      </c>
      <c r="B1181" s="3">
        <v>973596</v>
      </c>
      <c r="C1181" s="3">
        <v>43887</v>
      </c>
      <c r="D1181" s="3">
        <v>49998</v>
      </c>
      <c r="E1181" s="3">
        <v>51052</v>
      </c>
      <c r="F1181" s="3">
        <v>52466</v>
      </c>
      <c r="G1181" s="3">
        <v>47993</v>
      </c>
    </row>
    <row r="1182" spans="1:7" x14ac:dyDescent="0.2">
      <c r="A1182" t="s" s="0">
        <v>2815</v>
      </c>
      <c r="B1182" s="3">
        <v>973596</v>
      </c>
      <c r="C1182" s="3">
        <v>43887</v>
      </c>
      <c r="D1182" s="3">
        <v>49998</v>
      </c>
      <c r="E1182" s="3">
        <v>51052</v>
      </c>
      <c r="F1182" s="3">
        <v>52466</v>
      </c>
      <c r="G1182" s="3">
        <v>47993</v>
      </c>
    </row>
    <row r="1183" spans="1:7" x14ac:dyDescent="0.2">
      <c r="A1183" t="s" s="0">
        <v>2814</v>
      </c>
      <c r="B1183" s="2">
        <v>923379</v>
      </c>
      <c r="C1183" s="2">
        <v>27823</v>
      </c>
      <c r="D1183" s="2">
        <v>54657</v>
      </c>
      <c r="E1183" s="2">
        <v>51424</v>
      </c>
      <c r="F1183" s="2">
        <v>52028</v>
      </c>
      <c r="G1183" s="2">
        <v>48858</v>
      </c>
    </row>
    <row r="1184" spans="1:7" x14ac:dyDescent="0.2">
      <c r="A1184" t="s" s="0">
        <v>2813</v>
      </c>
      <c r="B1184" s="2">
        <v>843252</v>
      </c>
      <c r="C1184" s="2">
        <v>42572</v>
      </c>
      <c r="D1184" s="2">
        <v>56715</v>
      </c>
      <c r="E1184" s="2">
        <v>52522</v>
      </c>
      <c r="F1184" s="2">
        <v>40785</v>
      </c>
      <c r="G1184" s="2">
        <v>47093</v>
      </c>
    </row>
    <row r="1185" spans="1:7" x14ac:dyDescent="0.2">
      <c r="A1185" t="s" s="0">
        <v>2812</v>
      </c>
      <c r="B1185" s="2">
        <v>795523</v>
      </c>
      <c r="C1185" s="2">
        <v>39798</v>
      </c>
      <c r="D1185" s="2">
        <v>55471</v>
      </c>
      <c r="E1185" s="2">
        <v>52176</v>
      </c>
      <c r="F1185" s="2">
        <v>37358</v>
      </c>
      <c r="G1185" s="2">
        <v>47093</v>
      </c>
    </row>
    <row r="1186" spans="1:7" x14ac:dyDescent="0.2">
      <c r="A1186" t="s" s="0">
        <v>2811</v>
      </c>
      <c r="B1186" s="2">
        <v>850474</v>
      </c>
      <c r="C1186" s="2">
        <v>40049</v>
      </c>
      <c r="D1186" s="2">
        <v>53545</v>
      </c>
      <c r="E1186" s="2">
        <v>51832</v>
      </c>
      <c r="F1186" s="2">
        <v>32359</v>
      </c>
      <c r="G1186" s="2">
        <v>47272</v>
      </c>
    </row>
    <row r="1187" spans="1:7" x14ac:dyDescent="0.2">
      <c r="A1187" t="s" s="0">
        <v>2810</v>
      </c>
      <c r="B1187" s="2">
        <v>849204</v>
      </c>
      <c r="C1187" s="2">
        <v>43467</v>
      </c>
      <c r="D1187" s="2">
        <v>49450</v>
      </c>
      <c r="E1187" s="2">
        <v>51579</v>
      </c>
      <c r="F1187" s="2">
        <v>31428</v>
      </c>
      <c r="G1187" s="2">
        <v>46845</v>
      </c>
    </row>
    <row r="1188" spans="1:7" x14ac:dyDescent="0.2">
      <c r="A1188" t="s" s="0">
        <v>2809</v>
      </c>
      <c r="B1188" s="3">
        <v>849204</v>
      </c>
      <c r="C1188" s="3">
        <v>43467</v>
      </c>
      <c r="D1188" s="3">
        <v>49450</v>
      </c>
      <c r="E1188" s="3">
        <v>51579</v>
      </c>
      <c r="F1188" s="3">
        <v>31428</v>
      </c>
      <c r="G1188" s="3">
        <v>46845</v>
      </c>
    </row>
    <row r="1189" spans="1:7" x14ac:dyDescent="0.2">
      <c r="A1189" t="s" s="0">
        <v>2808</v>
      </c>
      <c r="B1189" s="3">
        <v>849204</v>
      </c>
      <c r="C1189" s="3">
        <v>43467</v>
      </c>
      <c r="D1189" s="3">
        <v>49450</v>
      </c>
      <c r="E1189" s="3">
        <v>51579</v>
      </c>
      <c r="F1189" s="3">
        <v>31428</v>
      </c>
      <c r="G1189" s="3">
        <v>46845</v>
      </c>
    </row>
    <row r="1190" spans="1:7" x14ac:dyDescent="0.2">
      <c r="A1190" t="s" s="0">
        <v>2807</v>
      </c>
      <c r="B1190" s="2">
        <v>798286</v>
      </c>
      <c r="C1190" s="2">
        <v>24412</v>
      </c>
      <c r="D1190" s="2">
        <v>46079</v>
      </c>
      <c r="E1190" s="2">
        <v>50997</v>
      </c>
      <c r="F1190" s="2">
        <v>27864</v>
      </c>
      <c r="G1190" s="2">
        <v>42357</v>
      </c>
    </row>
    <row r="1191" spans="1:7" x14ac:dyDescent="0.2">
      <c r="A1191" t="s" s="0">
        <v>2806</v>
      </c>
      <c r="B1191" s="2">
        <v>800582</v>
      </c>
      <c r="C1191" s="2">
        <v>35228</v>
      </c>
      <c r="D1191" s="2">
        <v>41193</v>
      </c>
      <c r="E1191" s="2">
        <v>51375</v>
      </c>
      <c r="F1191" s="2">
        <v>34753</v>
      </c>
      <c r="G1191" s="2">
        <v>40839</v>
      </c>
    </row>
    <row r="1192" spans="1:7" x14ac:dyDescent="0.2">
      <c r="A1192" t="s" s="0">
        <v>2805</v>
      </c>
      <c r="B1192" s="2">
        <v>792882</v>
      </c>
      <c r="C1192" s="2">
        <v>41606</v>
      </c>
      <c r="D1192" s="2">
        <v>42617</v>
      </c>
      <c r="E1192" s="2">
        <v>51894</v>
      </c>
      <c r="F1192" s="2">
        <v>41895</v>
      </c>
      <c r="G1192" s="2">
        <v>40613</v>
      </c>
    </row>
    <row r="1193" spans="1:7" x14ac:dyDescent="0.2">
      <c r="A1193" t="s" s="0">
        <v>2804</v>
      </c>
      <c r="B1193" s="2">
        <v>741382</v>
      </c>
      <c r="C1193" s="2">
        <v>37802</v>
      </c>
      <c r="D1193" s="2">
        <v>44283</v>
      </c>
      <c r="E1193" s="2">
        <v>49115</v>
      </c>
      <c r="F1193" s="2">
        <v>28354</v>
      </c>
      <c r="G1193" s="2">
        <v>37398</v>
      </c>
    </row>
    <row r="1194" spans="1:7" x14ac:dyDescent="0.2">
      <c r="A1194" t="s" s="0">
        <v>2803</v>
      </c>
      <c r="B1194" s="2">
        <v>729397</v>
      </c>
      <c r="C1194" s="2">
        <v>42093</v>
      </c>
      <c r="D1194" s="2">
        <v>44087</v>
      </c>
      <c r="E1194" s="2">
        <v>48865</v>
      </c>
      <c r="F1194" s="2">
        <v>26878</v>
      </c>
      <c r="G1194" s="2">
        <v>38468</v>
      </c>
    </row>
    <row r="1195" spans="1:7" x14ac:dyDescent="0.2">
      <c r="A1195" t="s" s="0">
        <v>2802</v>
      </c>
      <c r="B1195" s="3">
        <v>729397</v>
      </c>
      <c r="C1195" s="3">
        <v>42093</v>
      </c>
      <c r="D1195" s="3">
        <v>44087</v>
      </c>
      <c r="E1195" s="3">
        <v>48865</v>
      </c>
      <c r="F1195" s="3">
        <v>26878</v>
      </c>
      <c r="G1195" s="3">
        <v>38468</v>
      </c>
    </row>
    <row r="1196" spans="1:7" x14ac:dyDescent="0.2">
      <c r="A1196" t="s" s="0">
        <v>2801</v>
      </c>
      <c r="B1196" s="3">
        <v>729397</v>
      </c>
      <c r="C1196" s="3">
        <v>42093</v>
      </c>
      <c r="D1196" s="3">
        <v>44087</v>
      </c>
      <c r="E1196" s="3">
        <v>48865</v>
      </c>
      <c r="F1196" s="3">
        <v>26878</v>
      </c>
      <c r="G1196" s="3">
        <v>38468</v>
      </c>
    </row>
    <row r="1197" spans="1:7" x14ac:dyDescent="0.2">
      <c r="A1197" t="s" s="0">
        <v>2800</v>
      </c>
      <c r="B1197" s="2">
        <v>890643</v>
      </c>
      <c r="C1197" s="2">
        <v>21916</v>
      </c>
      <c r="D1197" s="2">
        <v>41557</v>
      </c>
      <c r="E1197" s="2">
        <v>47292</v>
      </c>
      <c r="F1197" s="2">
        <v>53361</v>
      </c>
      <c r="G1197" s="2">
        <v>44029</v>
      </c>
    </row>
    <row r="1198" spans="1:7" x14ac:dyDescent="0.2">
      <c r="A1198" t="s" s="0">
        <v>2799</v>
      </c>
      <c r="B1198" s="2">
        <v>1014245</v>
      </c>
      <c r="C1198" s="2">
        <v>35466</v>
      </c>
      <c r="D1198" s="2">
        <v>39876</v>
      </c>
      <c r="E1198" s="2">
        <v>47311</v>
      </c>
      <c r="F1198" s="2">
        <v>69010</v>
      </c>
      <c r="G1198" s="2">
        <v>44041</v>
      </c>
    </row>
    <row r="1199" spans="1:7" x14ac:dyDescent="0.2">
      <c r="A1199" t="s" s="0">
        <v>2798</v>
      </c>
      <c r="B1199" s="2">
        <v>1058707</v>
      </c>
      <c r="C1199" s="2">
        <v>45156</v>
      </c>
      <c r="D1199" s="2">
        <v>40250</v>
      </c>
      <c r="E1199" s="2">
        <v>47492</v>
      </c>
      <c r="F1199" s="2">
        <v>76835</v>
      </c>
      <c r="G1199" s="2">
        <v>47782</v>
      </c>
    </row>
    <row r="1200" spans="1:7" x14ac:dyDescent="0.2">
      <c r="A1200" t="s" s="0">
        <v>2797</v>
      </c>
      <c r="B1200" s="2">
        <v>1070724</v>
      </c>
      <c r="C1200" s="2">
        <v>38949</v>
      </c>
      <c r="D1200" s="2">
        <v>39855</v>
      </c>
      <c r="E1200" s="2">
        <v>47799</v>
      </c>
      <c r="F1200" s="2">
        <v>85514</v>
      </c>
      <c r="G1200" s="2">
        <v>49961</v>
      </c>
    </row>
    <row r="1201" spans="1:7" x14ac:dyDescent="0.2">
      <c r="A1201" t="s" s="0">
        <v>2796</v>
      </c>
      <c r="B1201" s="2">
        <v>1092295</v>
      </c>
      <c r="C1201" s="2">
        <v>36473</v>
      </c>
      <c r="D1201" s="2">
        <v>39052</v>
      </c>
      <c r="E1201" s="2">
        <v>45647</v>
      </c>
      <c r="F1201" s="2">
        <v>88735</v>
      </c>
      <c r="G1201" s="2">
        <v>49877</v>
      </c>
    </row>
    <row r="1202" spans="1:7" x14ac:dyDescent="0.2">
      <c r="A1202" t="s" s="0">
        <v>2795</v>
      </c>
      <c r="B1202" s="3">
        <v>1092295</v>
      </c>
      <c r="C1202" s="3">
        <v>36473</v>
      </c>
      <c r="D1202" s="3">
        <v>39052</v>
      </c>
      <c r="E1202" s="3">
        <v>45647</v>
      </c>
      <c r="F1202" s="3">
        <v>88735</v>
      </c>
      <c r="G1202" s="3">
        <v>49877</v>
      </c>
    </row>
    <row r="1203" spans="1:7" x14ac:dyDescent="0.2">
      <c r="A1203" t="s" s="0">
        <v>2794</v>
      </c>
      <c r="B1203" s="3">
        <v>1092295</v>
      </c>
      <c r="C1203" s="3">
        <v>36473</v>
      </c>
      <c r="D1203" s="3">
        <v>39052</v>
      </c>
      <c r="E1203" s="3">
        <v>45647</v>
      </c>
      <c r="F1203" s="3">
        <v>88735</v>
      </c>
      <c r="G1203" s="3">
        <v>49877</v>
      </c>
    </row>
    <row r="1204" spans="1:7" x14ac:dyDescent="0.2">
      <c r="A1204" t="s" s="0">
        <v>2793</v>
      </c>
      <c r="B1204" s="2">
        <v>1111044</v>
      </c>
      <c r="C1204" s="2">
        <v>27873</v>
      </c>
      <c r="D1204" s="2">
        <v>48617</v>
      </c>
      <c r="E1204" s="2">
        <v>47728</v>
      </c>
      <c r="F1204" s="2">
        <v>79093</v>
      </c>
      <c r="G1204" s="2">
        <v>53087</v>
      </c>
    </row>
    <row r="1205" spans="1:7" x14ac:dyDescent="0.2">
      <c r="A1205" t="s" s="0">
        <v>2792</v>
      </c>
      <c r="B1205" s="2">
        <v>1104355</v>
      </c>
      <c r="C1205" s="2">
        <v>43140</v>
      </c>
      <c r="D1205" s="2">
        <v>54284</v>
      </c>
      <c r="E1205" s="2">
        <v>48017</v>
      </c>
      <c r="F1205" s="2">
        <v>66147</v>
      </c>
      <c r="G1205" s="2">
        <v>52674</v>
      </c>
    </row>
    <row r="1206" spans="1:7" x14ac:dyDescent="0.2">
      <c r="A1206" t="s" s="0">
        <v>2791</v>
      </c>
      <c r="B1206" s="2">
        <v>1069913</v>
      </c>
      <c r="C1206" s="2">
        <v>43279</v>
      </c>
      <c r="D1206" s="2">
        <v>56017</v>
      </c>
      <c r="E1206" s="2">
        <v>48589</v>
      </c>
      <c r="F1206" s="2">
        <v>56609</v>
      </c>
      <c r="G1206" s="2">
        <v>53174</v>
      </c>
    </row>
    <row r="1207" spans="1:7" x14ac:dyDescent="0.2">
      <c r="A1207" t="s" s="0">
        <v>2790</v>
      </c>
      <c r="B1207" s="2">
        <v>1057971</v>
      </c>
      <c r="C1207" s="2">
        <v>43653</v>
      </c>
      <c r="D1207" s="2">
        <v>55260</v>
      </c>
      <c r="E1207" s="2">
        <v>48236</v>
      </c>
      <c r="F1207" s="2">
        <v>52429</v>
      </c>
      <c r="G1207" s="2">
        <v>49664</v>
      </c>
    </row>
    <row r="1208" spans="1:7" x14ac:dyDescent="0.2">
      <c r="A1208" t="s" s="0">
        <v>2789</v>
      </c>
      <c r="B1208" s="2">
        <v>1093291</v>
      </c>
      <c r="C1208" s="2">
        <v>46434</v>
      </c>
      <c r="D1208" s="2">
        <v>59210</v>
      </c>
      <c r="E1208" s="2">
        <v>47950</v>
      </c>
      <c r="F1208" s="2">
        <v>58480</v>
      </c>
      <c r="G1208" s="2">
        <v>51380</v>
      </c>
    </row>
    <row r="1209" spans="1:7" x14ac:dyDescent="0.2">
      <c r="A1209" t="s" s="0">
        <v>2788</v>
      </c>
      <c r="B1209" s="3">
        <v>1093291</v>
      </c>
      <c r="C1209" s="3">
        <v>46434</v>
      </c>
      <c r="D1209" s="3">
        <v>59210</v>
      </c>
      <c r="E1209" s="3">
        <v>47950</v>
      </c>
      <c r="F1209" s="3">
        <v>58480</v>
      </c>
      <c r="G1209" s="3">
        <v>51380</v>
      </c>
    </row>
    <row r="1210" spans="1:7" x14ac:dyDescent="0.2">
      <c r="A1210" t="s" s="0">
        <v>2787</v>
      </c>
      <c r="B1210" s="3">
        <v>1093291</v>
      </c>
      <c r="C1210" s="3">
        <v>46434</v>
      </c>
      <c r="D1210" s="3">
        <v>59210</v>
      </c>
      <c r="E1210" s="3">
        <v>47950</v>
      </c>
      <c r="F1210" s="3">
        <v>58480</v>
      </c>
      <c r="G1210" s="3">
        <v>51380</v>
      </c>
    </row>
    <row r="1211" spans="1:7" x14ac:dyDescent="0.2">
      <c r="A1211" t="s" s="0">
        <v>2786</v>
      </c>
      <c r="B1211" s="2">
        <v>948935</v>
      </c>
      <c r="C1211" s="2">
        <v>28319</v>
      </c>
      <c r="D1211" s="2">
        <v>57099</v>
      </c>
      <c r="E1211" s="2">
        <v>48338</v>
      </c>
      <c r="F1211" s="2">
        <v>33308</v>
      </c>
      <c r="G1211" s="2">
        <v>48407</v>
      </c>
    </row>
    <row r="1212" spans="1:7" x14ac:dyDescent="0.2">
      <c r="A1212" t="s" s="0">
        <v>2785</v>
      </c>
      <c r="B1212" s="2">
        <v>906398</v>
      </c>
      <c r="C1212" s="2">
        <v>42533</v>
      </c>
      <c r="D1212" s="2">
        <v>52443</v>
      </c>
      <c r="E1212" s="2">
        <v>46949</v>
      </c>
      <c r="F1212" s="2">
        <v>23530</v>
      </c>
      <c r="G1212" s="2">
        <v>48360</v>
      </c>
    </row>
    <row r="1213" spans="1:7" x14ac:dyDescent="0.2">
      <c r="A1213" t="s" s="0">
        <v>2784</v>
      </c>
      <c r="B1213" s="2">
        <v>866642</v>
      </c>
      <c r="C1213" s="2">
        <v>46756</v>
      </c>
      <c r="D1213" s="2">
        <v>49487</v>
      </c>
      <c r="E1213" s="2">
        <v>47093</v>
      </c>
      <c r="F1213" s="2">
        <v>19816</v>
      </c>
      <c r="G1213" s="2">
        <v>48788</v>
      </c>
    </row>
    <row r="1214" spans="1:7" x14ac:dyDescent="0.2">
      <c r="A1214" t="s" s="0">
        <v>2783</v>
      </c>
      <c r="B1214" s="2">
        <v>885895</v>
      </c>
      <c r="C1214" s="2">
        <v>48715</v>
      </c>
      <c r="D1214" s="2">
        <v>53070</v>
      </c>
      <c r="E1214" s="2">
        <v>48117</v>
      </c>
      <c r="F1214" s="2">
        <v>27855</v>
      </c>
      <c r="G1214" s="2">
        <v>48538</v>
      </c>
    </row>
    <row r="1215" spans="1:7" x14ac:dyDescent="0.2">
      <c r="A1215" t="s" s="0">
        <v>2782</v>
      </c>
      <c r="B1215" s="2">
        <v>852269</v>
      </c>
      <c r="C1215" s="2">
        <v>43270</v>
      </c>
      <c r="D1215" s="2">
        <v>50091</v>
      </c>
      <c r="E1215" s="2">
        <v>48110</v>
      </c>
      <c r="F1215" s="2">
        <v>15012</v>
      </c>
      <c r="G1215" s="2">
        <v>47276</v>
      </c>
    </row>
    <row r="1216" spans="1:7" x14ac:dyDescent="0.2">
      <c r="A1216" t="s" s="0">
        <v>2781</v>
      </c>
      <c r="B1216" s="3">
        <v>852269</v>
      </c>
      <c r="C1216" s="3">
        <v>43270</v>
      </c>
      <c r="D1216" s="3">
        <v>50091</v>
      </c>
      <c r="E1216" s="3">
        <v>48110</v>
      </c>
      <c r="F1216" s="3">
        <v>15012</v>
      </c>
      <c r="G1216" s="3">
        <v>47276</v>
      </c>
    </row>
    <row r="1217" spans="1:7" x14ac:dyDescent="0.2">
      <c r="A1217" t="s" s="0">
        <v>2780</v>
      </c>
      <c r="B1217" s="3">
        <v>852269</v>
      </c>
      <c r="C1217" s="3">
        <v>43270</v>
      </c>
      <c r="D1217" s="3">
        <v>50091</v>
      </c>
      <c r="E1217" s="3">
        <v>48110</v>
      </c>
      <c r="F1217" s="3">
        <v>15012</v>
      </c>
      <c r="G1217" s="3">
        <v>47276</v>
      </c>
    </row>
    <row r="1218" spans="1:7" x14ac:dyDescent="0.2">
      <c r="A1218" t="s" s="0">
        <v>2779</v>
      </c>
      <c r="B1218" s="2">
        <v>882869</v>
      </c>
      <c r="C1218" s="2">
        <v>29612</v>
      </c>
      <c r="D1218" s="2">
        <v>42434</v>
      </c>
      <c r="E1218" s="2">
        <v>47427</v>
      </c>
      <c r="F1218" s="2">
        <v>32349</v>
      </c>
      <c r="G1218" s="2">
        <v>49528</v>
      </c>
    </row>
    <row r="1219" spans="1:7" x14ac:dyDescent="0.2">
      <c r="A1219" t="s" s="0">
        <v>2778</v>
      </c>
      <c r="B1219" s="2">
        <v>888116</v>
      </c>
      <c r="C1219" s="2">
        <v>41333</v>
      </c>
      <c r="D1219" s="2">
        <v>44365</v>
      </c>
      <c r="E1219" s="2">
        <v>47742</v>
      </c>
      <c r="F1219" s="2">
        <v>41106</v>
      </c>
      <c r="G1219" s="2">
        <v>49948</v>
      </c>
    </row>
    <row r="1220" spans="1:7" x14ac:dyDescent="0.2">
      <c r="A1220" t="s" s="0">
        <v>2777</v>
      </c>
      <c r="B1220" s="2">
        <v>886258</v>
      </c>
      <c r="C1220" s="2">
        <v>42128</v>
      </c>
      <c r="D1220" s="2">
        <v>43704</v>
      </c>
      <c r="E1220" s="2">
        <v>47365</v>
      </c>
      <c r="F1220" s="2">
        <v>45638</v>
      </c>
      <c r="G1220" s="2">
        <v>49724</v>
      </c>
    </row>
    <row r="1221" spans="1:7" x14ac:dyDescent="0.2">
      <c r="A1221" t="s" s="0">
        <v>2776</v>
      </c>
      <c r="B1221" s="2">
        <v>917067</v>
      </c>
      <c r="C1221" s="2">
        <v>40076</v>
      </c>
      <c r="D1221" s="2">
        <v>41325</v>
      </c>
      <c r="E1221" s="2">
        <v>47378</v>
      </c>
      <c r="F1221" s="2">
        <v>44910</v>
      </c>
      <c r="G1221" s="2">
        <v>52677</v>
      </c>
    </row>
    <row r="1222" spans="1:7" x14ac:dyDescent="0.2">
      <c r="A1222" t="s" s="0">
        <v>2775</v>
      </c>
      <c r="B1222" s="2">
        <v>998489</v>
      </c>
      <c r="C1222" s="2">
        <v>43618</v>
      </c>
      <c r="D1222" s="2">
        <v>41375</v>
      </c>
      <c r="E1222" s="2">
        <v>47432</v>
      </c>
      <c r="F1222" s="2">
        <v>61326</v>
      </c>
      <c r="G1222" s="2">
        <v>55888</v>
      </c>
    </row>
    <row r="1223" spans="1:7" x14ac:dyDescent="0.2">
      <c r="A1223" t="s" s="0">
        <v>2774</v>
      </c>
      <c r="B1223" s="3">
        <v>998489</v>
      </c>
      <c r="C1223" s="3">
        <v>43618</v>
      </c>
      <c r="D1223" s="3">
        <v>41375</v>
      </c>
      <c r="E1223" s="3">
        <v>47432</v>
      </c>
      <c r="F1223" s="3">
        <v>61326</v>
      </c>
      <c r="G1223" s="3">
        <v>55888</v>
      </c>
    </row>
    <row r="1224" spans="1:7" x14ac:dyDescent="0.2">
      <c r="A1224" t="s" s="0">
        <v>2773</v>
      </c>
      <c r="B1224" s="3">
        <v>998489</v>
      </c>
      <c r="C1224" s="3">
        <v>43618</v>
      </c>
      <c r="D1224" s="3">
        <v>41375</v>
      </c>
      <c r="E1224" s="3">
        <v>47432</v>
      </c>
      <c r="F1224" s="3">
        <v>61326</v>
      </c>
      <c r="G1224" s="3">
        <v>55888</v>
      </c>
    </row>
    <row r="1225" spans="1:7" x14ac:dyDescent="0.2">
      <c r="A1225" t="s" s="0">
        <v>2772</v>
      </c>
      <c r="B1225" s="2">
        <v>1033199</v>
      </c>
      <c r="C1225" s="2">
        <v>21964</v>
      </c>
      <c r="D1225" s="2">
        <v>45390</v>
      </c>
      <c r="E1225" s="2">
        <v>48385</v>
      </c>
      <c r="F1225" s="2">
        <v>65928</v>
      </c>
      <c r="G1225" s="2">
        <v>52670</v>
      </c>
    </row>
    <row r="1226" spans="1:7" x14ac:dyDescent="0.2">
      <c r="A1226" t="s" s="0">
        <v>2771</v>
      </c>
      <c r="B1226" s="2">
        <v>1059604</v>
      </c>
      <c r="C1226" s="2">
        <v>35636</v>
      </c>
      <c r="D1226" s="2">
        <v>42473</v>
      </c>
      <c r="E1226" s="2">
        <v>48391</v>
      </c>
      <c r="F1226" s="2">
        <v>66034</v>
      </c>
      <c r="G1226" s="2">
        <v>49204</v>
      </c>
    </row>
    <row r="1227" spans="1:7" x14ac:dyDescent="0.2">
      <c r="A1227" t="s" s="0">
        <v>2770</v>
      </c>
      <c r="B1227" s="2">
        <v>1005732</v>
      </c>
      <c r="C1227" s="2">
        <v>39829</v>
      </c>
      <c r="D1227" s="2">
        <v>44145</v>
      </c>
      <c r="E1227" s="2">
        <v>48338</v>
      </c>
      <c r="F1227" s="2">
        <v>60496</v>
      </c>
      <c r="G1227" s="2">
        <v>45640</v>
      </c>
    </row>
    <row r="1228" spans="1:7" x14ac:dyDescent="0.2">
      <c r="A1228" t="s" s="0">
        <v>2769</v>
      </c>
      <c r="B1228" s="2">
        <v>998212</v>
      </c>
      <c r="C1228" s="2">
        <v>41475</v>
      </c>
      <c r="D1228" s="2">
        <v>44059</v>
      </c>
      <c r="E1228" s="2">
        <v>48429</v>
      </c>
      <c r="F1228" s="2">
        <v>54934</v>
      </c>
      <c r="G1228" s="2">
        <v>45032</v>
      </c>
    </row>
    <row r="1229" spans="1:7" x14ac:dyDescent="0.2">
      <c r="A1229" t="s" s="0">
        <v>2768</v>
      </c>
      <c r="B1229" s="2">
        <v>1009065</v>
      </c>
      <c r="C1229" s="2">
        <v>44328</v>
      </c>
      <c r="D1229" s="2">
        <v>44160</v>
      </c>
      <c r="E1229" s="2">
        <v>48709</v>
      </c>
      <c r="F1229" s="2">
        <v>44351</v>
      </c>
      <c r="G1229" s="2">
        <v>44792</v>
      </c>
    </row>
    <row r="1230" spans="1:7" x14ac:dyDescent="0.2">
      <c r="A1230" t="s" s="0">
        <v>2767</v>
      </c>
      <c r="B1230" s="3">
        <v>1009065</v>
      </c>
      <c r="C1230" s="3">
        <v>44328</v>
      </c>
      <c r="D1230" s="3">
        <v>44160</v>
      </c>
      <c r="E1230" s="3">
        <v>48709</v>
      </c>
      <c r="F1230" s="3">
        <v>44351</v>
      </c>
      <c r="G1230" s="3">
        <v>44792</v>
      </c>
    </row>
    <row r="1231" spans="1:7" x14ac:dyDescent="0.2">
      <c r="A1231" t="s" s="0">
        <v>2766</v>
      </c>
      <c r="B1231" s="3">
        <v>1009065</v>
      </c>
      <c r="C1231" s="3">
        <v>44328</v>
      </c>
      <c r="D1231" s="3">
        <v>44160</v>
      </c>
      <c r="E1231" s="3">
        <v>48709</v>
      </c>
      <c r="F1231" s="3">
        <v>44351</v>
      </c>
      <c r="G1231" s="3">
        <v>44792</v>
      </c>
    </row>
    <row r="1232" spans="1:7" x14ac:dyDescent="0.2">
      <c r="A1232" t="s" s="0">
        <v>2765</v>
      </c>
      <c r="B1232" s="0">
        <v>1030347</v>
      </c>
      <c r="C1232" s="0">
        <v>27110</v>
      </c>
      <c r="D1232" s="0">
        <v>44095</v>
      </c>
      <c r="E1232" s="0">
        <v>47254</v>
      </c>
      <c r="F1232" s="0">
        <v>42367</v>
      </c>
      <c r="G1232" s="0">
        <v>43488</v>
      </c>
    </row>
    <row r="1233" spans="1:7" x14ac:dyDescent="0.2">
      <c r="A1233" t="s" s="0">
        <v>2764</v>
      </c>
      <c r="B1233" s="2">
        <v>1045052</v>
      </c>
      <c r="C1233" s="2">
        <v>42078</v>
      </c>
      <c r="D1233" s="2">
        <v>45741</v>
      </c>
      <c r="E1233" s="2">
        <v>46255</v>
      </c>
      <c r="F1233" s="2">
        <v>42342</v>
      </c>
      <c r="G1233" s="2">
        <v>43253</v>
      </c>
    </row>
    <row r="1234" spans="1:7" x14ac:dyDescent="0.2">
      <c r="A1234" t="s" s="0">
        <v>2763</v>
      </c>
      <c r="B1234" s="2">
        <v>1055775</v>
      </c>
      <c r="C1234" s="2">
        <v>42896</v>
      </c>
      <c r="D1234" s="2">
        <v>47728</v>
      </c>
      <c r="E1234" s="2">
        <v>46266</v>
      </c>
      <c r="F1234" s="2">
        <v>53557</v>
      </c>
      <c r="G1234" s="2">
        <v>44877</v>
      </c>
    </row>
    <row r="1235" spans="1:7" x14ac:dyDescent="0.2">
      <c r="A1235" t="s" s="0">
        <v>2762</v>
      </c>
      <c r="B1235" s="2">
        <v>1047950</v>
      </c>
      <c r="C1235" s="2">
        <v>43825</v>
      </c>
      <c r="D1235" s="2">
        <v>46634</v>
      </c>
      <c r="E1235" s="2">
        <v>46272</v>
      </c>
      <c r="F1235" s="2">
        <v>52420</v>
      </c>
      <c r="G1235" s="2">
        <v>45030</v>
      </c>
    </row>
    <row r="1236" spans="1:7" x14ac:dyDescent="0.2">
      <c r="A1236" t="s" s="0">
        <v>2761</v>
      </c>
      <c r="B1236" s="2">
        <v>1111327</v>
      </c>
      <c r="C1236" s="2">
        <v>41430</v>
      </c>
      <c r="D1236" s="2">
        <v>46220</v>
      </c>
      <c r="E1236" s="2">
        <v>45462</v>
      </c>
      <c r="F1236" s="2">
        <v>59867</v>
      </c>
      <c r="G1236" s="2">
        <v>45139</v>
      </c>
    </row>
    <row r="1237" spans="1:7" x14ac:dyDescent="0.2">
      <c r="A1237" t="s" s="0">
        <v>2760</v>
      </c>
      <c r="B1237" s="3">
        <v>1111327</v>
      </c>
      <c r="C1237" s="3">
        <v>41430</v>
      </c>
      <c r="D1237" s="3">
        <v>46220</v>
      </c>
      <c r="E1237" s="3">
        <v>45462</v>
      </c>
      <c r="F1237" s="3">
        <v>59867</v>
      </c>
      <c r="G1237" s="3">
        <v>45139</v>
      </c>
    </row>
    <row r="1238" spans="1:7" x14ac:dyDescent="0.2">
      <c r="A1238" t="s" s="0">
        <v>2759</v>
      </c>
      <c r="B1238" s="3">
        <v>1111327</v>
      </c>
      <c r="C1238" s="3">
        <v>41430</v>
      </c>
      <c r="D1238" s="3">
        <v>46220</v>
      </c>
      <c r="E1238" s="3">
        <v>45462</v>
      </c>
      <c r="F1238" s="3">
        <v>59867</v>
      </c>
      <c r="G1238" s="3">
        <v>45139</v>
      </c>
    </row>
    <row r="1239" spans="1:7" x14ac:dyDescent="0.2">
      <c r="A1239" t="s" s="0">
        <v>2758</v>
      </c>
      <c r="B1239" s="2">
        <v>1092524</v>
      </c>
      <c r="C1239" s="2">
        <v>25049</v>
      </c>
      <c r="D1239" s="2">
        <v>44030</v>
      </c>
      <c r="E1239" s="2">
        <v>43987</v>
      </c>
      <c r="F1239" s="2">
        <v>51949</v>
      </c>
      <c r="G1239" s="2">
        <v>48148</v>
      </c>
    </row>
    <row r="1240" spans="1:7" x14ac:dyDescent="0.2">
      <c r="A1240" t="s" s="0">
        <v>2757</v>
      </c>
      <c r="B1240" s="2">
        <v>1090521</v>
      </c>
      <c r="C1240" s="2">
        <v>39076</v>
      </c>
      <c r="D1240" s="2">
        <v>42875</v>
      </c>
      <c r="E1240" s="2">
        <v>43863</v>
      </c>
      <c r="F1240" s="2">
        <v>48408</v>
      </c>
      <c r="G1240" s="2">
        <v>49472</v>
      </c>
    </row>
    <row r="1241" spans="1:7" x14ac:dyDescent="0.2">
      <c r="A1241" t="s" s="0">
        <v>2756</v>
      </c>
      <c r="B1241" s="2">
        <v>1068669</v>
      </c>
      <c r="C1241" s="2">
        <v>49231</v>
      </c>
      <c r="D1241" s="2">
        <v>39517</v>
      </c>
      <c r="E1241" s="2">
        <v>43773</v>
      </c>
      <c r="F1241" s="2">
        <v>40197</v>
      </c>
      <c r="G1241" s="2">
        <v>49972</v>
      </c>
    </row>
    <row r="1242" spans="1:7" x14ac:dyDescent="0.2">
      <c r="A1242" t="s" s="0">
        <v>2755</v>
      </c>
      <c r="B1242" s="2">
        <v>1063560</v>
      </c>
      <c r="C1242" s="2">
        <v>45911</v>
      </c>
      <c r="D1242" s="2">
        <v>44695</v>
      </c>
      <c r="E1242" s="2">
        <v>44178</v>
      </c>
      <c r="F1242" s="2">
        <v>45763</v>
      </c>
      <c r="G1242" s="2">
        <v>49507</v>
      </c>
    </row>
    <row r="1243" spans="1:7" x14ac:dyDescent="0.2">
      <c r="A1243" t="s" s="0">
        <v>2754</v>
      </c>
      <c r="B1243" s="2">
        <v>1077909</v>
      </c>
      <c r="C1243" s="2">
        <v>27596</v>
      </c>
      <c r="D1243" s="2">
        <v>42718</v>
      </c>
      <c r="E1243" s="2">
        <v>43618</v>
      </c>
      <c r="F1243" s="2">
        <v>37745</v>
      </c>
      <c r="G1243" s="2">
        <v>50822</v>
      </c>
    </row>
    <row r="1244" spans="1:7" x14ac:dyDescent="0.2">
      <c r="A1244" t="s" s="0">
        <v>2753</v>
      </c>
      <c r="B1244" s="3">
        <v>1077909</v>
      </c>
      <c r="C1244" s="3">
        <v>27596</v>
      </c>
      <c r="D1244" s="3">
        <v>42718</v>
      </c>
      <c r="E1244" s="3">
        <v>43618</v>
      </c>
      <c r="F1244" s="3">
        <v>37745</v>
      </c>
      <c r="G1244" s="3">
        <v>50822</v>
      </c>
    </row>
    <row r="1245" spans="1:7" x14ac:dyDescent="0.2">
      <c r="A1245" t="s" s="0">
        <v>2752</v>
      </c>
      <c r="B1245" s="3">
        <v>1077909</v>
      </c>
      <c r="C1245" s="3">
        <v>27596</v>
      </c>
      <c r="D1245" s="3">
        <v>42718</v>
      </c>
      <c r="E1245" s="3">
        <v>43618</v>
      </c>
      <c r="F1245" s="3">
        <v>37745</v>
      </c>
      <c r="G1245" s="3">
        <v>50822</v>
      </c>
    </row>
    <row r="1246" spans="1:7" x14ac:dyDescent="0.2">
      <c r="A1246" t="s" s="0">
        <v>2751</v>
      </c>
      <c r="B1246" s="2">
        <v>1169938</v>
      </c>
      <c r="C1246" s="2">
        <v>25548</v>
      </c>
      <c r="D1246" s="2">
        <v>43415</v>
      </c>
      <c r="E1246" s="2">
        <v>44232</v>
      </c>
      <c r="F1246" s="2">
        <v>54276</v>
      </c>
      <c r="G1246" s="2">
        <v>53630</v>
      </c>
    </row>
    <row r="1247" spans="1:7" x14ac:dyDescent="0.2">
      <c r="A1247" t="s" s="0">
        <v>2750</v>
      </c>
      <c r="B1247" s="2">
        <v>1128886</v>
      </c>
      <c r="C1247" s="2">
        <v>40870</v>
      </c>
      <c r="D1247" s="2">
        <v>43672</v>
      </c>
      <c r="E1247" s="2">
        <v>43690</v>
      </c>
      <c r="F1247" s="2">
        <v>48953</v>
      </c>
      <c r="G1247" s="2">
        <v>51434</v>
      </c>
    </row>
    <row r="1248" spans="1:7" x14ac:dyDescent="0.2">
      <c r="A1248" t="s" s="0">
        <v>2749</v>
      </c>
      <c r="B1248" s="2">
        <v>1142060</v>
      </c>
      <c r="C1248" s="2">
        <v>36808</v>
      </c>
      <c r="D1248" s="2">
        <v>42611</v>
      </c>
      <c r="E1248" s="2">
        <v>43500</v>
      </c>
      <c r="F1248" s="2">
        <v>53095</v>
      </c>
      <c r="G1248" s="2">
        <v>51836</v>
      </c>
    </row>
    <row r="1249" spans="1:7" x14ac:dyDescent="0.2">
      <c r="A1249" t="s" s="0">
        <v>2748</v>
      </c>
      <c r="B1249" s="2">
        <v>1184036</v>
      </c>
      <c r="C1249" s="2">
        <v>40721</v>
      </c>
      <c r="D1249" s="2">
        <v>38907</v>
      </c>
      <c r="E1249" s="2">
        <v>43574</v>
      </c>
      <c r="F1249" s="2">
        <v>56118</v>
      </c>
      <c r="G1249" s="2">
        <v>52309</v>
      </c>
    </row>
    <row r="1250" spans="1:7" x14ac:dyDescent="0.2">
      <c r="A1250" t="s" s="0">
        <v>2747</v>
      </c>
      <c r="B1250" s="2">
        <v>1240686</v>
      </c>
      <c r="C1250" s="2">
        <v>41374</v>
      </c>
      <c r="D1250" s="2">
        <v>42247</v>
      </c>
      <c r="E1250" s="2">
        <v>43836</v>
      </c>
      <c r="F1250" s="2">
        <v>64740</v>
      </c>
      <c r="G1250" s="2">
        <v>51676</v>
      </c>
    </row>
    <row r="1251" spans="1:7" x14ac:dyDescent="0.2">
      <c r="A1251" t="s" s="0">
        <v>2746</v>
      </c>
      <c r="B1251" s="3">
        <v>1240686</v>
      </c>
      <c r="C1251" s="3">
        <v>41374</v>
      </c>
      <c r="D1251" s="3">
        <v>42247</v>
      </c>
      <c r="E1251" s="3">
        <v>43836</v>
      </c>
      <c r="F1251" s="3">
        <v>64740</v>
      </c>
      <c r="G1251" s="3">
        <v>51676</v>
      </c>
    </row>
    <row r="1252" spans="1:7" x14ac:dyDescent="0.2">
      <c r="A1252" t="s" s="0">
        <v>2745</v>
      </c>
      <c r="B1252" s="3">
        <v>1240686</v>
      </c>
      <c r="C1252" s="3">
        <v>41374</v>
      </c>
      <c r="D1252" s="3">
        <v>42247</v>
      </c>
      <c r="E1252" s="3">
        <v>43836</v>
      </c>
      <c r="F1252" s="3">
        <v>64740</v>
      </c>
      <c r="G1252" s="3">
        <v>51676</v>
      </c>
    </row>
    <row r="1253" spans="1:7" x14ac:dyDescent="0.2">
      <c r="A1253" t="s" s="0">
        <v>2744</v>
      </c>
      <c r="B1253" s="2">
        <v>1174727</v>
      </c>
      <c r="C1253" s="2">
        <v>26931</v>
      </c>
      <c r="D1253" s="2">
        <v>40969</v>
      </c>
      <c r="E1253" s="2">
        <v>43127</v>
      </c>
      <c r="F1253" s="2">
        <v>40892</v>
      </c>
      <c r="G1253" s="2">
        <v>47371</v>
      </c>
    </row>
    <row r="1254" spans="1:7" x14ac:dyDescent="0.2">
      <c r="A1254" t="s" s="0">
        <v>2743</v>
      </c>
      <c r="B1254" s="2">
        <v>1112450</v>
      </c>
      <c r="C1254" s="2">
        <v>40123</v>
      </c>
      <c r="D1254" s="2">
        <v>44027</v>
      </c>
      <c r="E1254" s="2">
        <v>44079</v>
      </c>
      <c r="F1254" s="2">
        <v>40918</v>
      </c>
      <c r="G1254" s="2">
        <v>45155</v>
      </c>
    </row>
    <row r="1255" spans="1:7" x14ac:dyDescent="0.2">
      <c r="A1255" t="s" s="0">
        <v>2742</v>
      </c>
      <c r="B1255" s="2">
        <v>1130145</v>
      </c>
      <c r="C1255" s="2">
        <v>40290</v>
      </c>
      <c r="D1255" s="2">
        <v>43810</v>
      </c>
      <c r="E1255" s="2">
        <v>43416</v>
      </c>
      <c r="F1255" s="2">
        <v>41348</v>
      </c>
      <c r="G1255" s="2">
        <v>47049</v>
      </c>
    </row>
    <row r="1256" spans="1:7" x14ac:dyDescent="0.2">
      <c r="A1256" t="s" s="0">
        <v>2741</v>
      </c>
      <c r="B1256" s="2">
        <v>1116948</v>
      </c>
      <c r="C1256" s="2">
        <v>39150</v>
      </c>
      <c r="D1256" s="2">
        <v>42954</v>
      </c>
      <c r="E1256" s="2">
        <v>43298</v>
      </c>
      <c r="F1256" s="2">
        <v>32609</v>
      </c>
      <c r="G1256" s="2">
        <v>46728</v>
      </c>
    </row>
    <row r="1257" spans="1:7" x14ac:dyDescent="0.2">
      <c r="A1257" t="s" s="0">
        <v>2740</v>
      </c>
      <c r="B1257" s="2">
        <v>1117032</v>
      </c>
      <c r="C1257" s="2">
        <v>39476</v>
      </c>
      <c r="D1257" s="2">
        <v>42604</v>
      </c>
      <c r="E1257" s="2">
        <v>43447</v>
      </c>
      <c r="F1257" s="2">
        <v>23755</v>
      </c>
      <c r="G1257" s="2">
        <v>46527</v>
      </c>
    </row>
    <row r="1258" spans="1:7" x14ac:dyDescent="0.2">
      <c r="A1258" t="s" s="0">
        <v>2739</v>
      </c>
      <c r="B1258" s="3">
        <v>1117032</v>
      </c>
      <c r="C1258" s="3">
        <v>39476</v>
      </c>
      <c r="D1258" s="3">
        <v>42604</v>
      </c>
      <c r="E1258" s="3">
        <v>43447</v>
      </c>
      <c r="F1258" s="3">
        <v>23755</v>
      </c>
      <c r="G1258" s="3">
        <v>46527</v>
      </c>
    </row>
    <row r="1259" spans="1:7" x14ac:dyDescent="0.2">
      <c r="A1259" t="s" s="0">
        <v>2738</v>
      </c>
      <c r="B1259" s="3">
        <v>1117032</v>
      </c>
      <c r="C1259" s="3">
        <v>39476</v>
      </c>
      <c r="D1259" s="3">
        <v>42604</v>
      </c>
      <c r="E1259" s="3">
        <v>43447</v>
      </c>
      <c r="F1259" s="3">
        <v>23755</v>
      </c>
      <c r="G1259" s="3">
        <v>46527</v>
      </c>
    </row>
    <row r="1260" spans="1:7" x14ac:dyDescent="0.2">
      <c r="A1260" t="s" s="0">
        <v>2737</v>
      </c>
      <c r="B1260" s="2">
        <v>1065987</v>
      </c>
      <c r="C1260" s="2">
        <v>24354</v>
      </c>
      <c r="D1260" s="2">
        <v>42174</v>
      </c>
      <c r="E1260" s="2">
        <v>42647</v>
      </c>
      <c r="F1260" s="2">
        <v>25455</v>
      </c>
      <c r="G1260" s="2">
        <v>43143</v>
      </c>
    </row>
    <row r="1261" spans="1:7" x14ac:dyDescent="0.2">
      <c r="A1261" t="s" s="0">
        <v>2736</v>
      </c>
      <c r="B1261" s="2">
        <v>1071859</v>
      </c>
      <c r="C1261" s="2">
        <v>39079</v>
      </c>
      <c r="D1261" s="2">
        <v>39856</v>
      </c>
      <c r="E1261" s="2">
        <v>42607</v>
      </c>
      <c r="F1261" s="2">
        <v>32873</v>
      </c>
      <c r="G1261" s="2">
        <v>42788</v>
      </c>
    </row>
    <row r="1262" spans="1:7" x14ac:dyDescent="0.2">
      <c r="A1262" t="s" s="0">
        <v>2735</v>
      </c>
      <c r="B1262" s="2">
        <v>1069207</v>
      </c>
      <c r="C1262" s="2">
        <v>41417</v>
      </c>
      <c r="D1262" s="2">
        <v>41446</v>
      </c>
      <c r="E1262" s="2">
        <v>41846</v>
      </c>
      <c r="F1262" s="2">
        <v>31556</v>
      </c>
      <c r="G1262" s="2">
        <v>41549</v>
      </c>
    </row>
    <row r="1263" spans="1:7" x14ac:dyDescent="0.2">
      <c r="A1263" t="s" s="0">
        <v>2734</v>
      </c>
      <c r="B1263" s="2">
        <v>1044206</v>
      </c>
      <c r="C1263" s="2">
        <v>39937</v>
      </c>
      <c r="D1263" s="2">
        <v>42417</v>
      </c>
      <c r="E1263" s="2">
        <v>42243</v>
      </c>
      <c r="F1263" s="2">
        <v>30840</v>
      </c>
      <c r="G1263" s="2">
        <v>41333</v>
      </c>
    </row>
    <row r="1264" spans="1:7" x14ac:dyDescent="0.2">
      <c r="A1264" t="s" s="0">
        <v>2733</v>
      </c>
      <c r="B1264" s="2">
        <v>1067880</v>
      </c>
      <c r="C1264" s="2">
        <v>42680</v>
      </c>
      <c r="D1264" s="2">
        <v>43725</v>
      </c>
      <c r="E1264" s="2">
        <v>42824</v>
      </c>
      <c r="F1264" s="2">
        <v>36704</v>
      </c>
      <c r="G1264" s="2">
        <v>40736</v>
      </c>
    </row>
    <row r="1265" spans="1:7" x14ac:dyDescent="0.2">
      <c r="A1265" t="s" s="0">
        <v>2732</v>
      </c>
      <c r="B1265" s="3">
        <v>1067880</v>
      </c>
      <c r="C1265" s="3">
        <v>42680</v>
      </c>
      <c r="D1265" s="3">
        <v>43725</v>
      </c>
      <c r="E1265" s="3">
        <v>42824</v>
      </c>
      <c r="F1265" s="3">
        <v>36704</v>
      </c>
      <c r="G1265" s="3">
        <v>40736</v>
      </c>
    </row>
    <row r="1266" spans="1:7" x14ac:dyDescent="0.2">
      <c r="A1266" t="s" s="0">
        <v>2731</v>
      </c>
      <c r="B1266" s="3">
        <v>1067880</v>
      </c>
      <c r="C1266" s="3">
        <v>42680</v>
      </c>
      <c r="D1266" s="3">
        <v>43725</v>
      </c>
      <c r="E1266" s="3">
        <v>42824</v>
      </c>
      <c r="F1266" s="3">
        <v>36704</v>
      </c>
      <c r="G1266" s="3">
        <v>40736</v>
      </c>
    </row>
    <row r="1267" spans="1:7" x14ac:dyDescent="0.2">
      <c r="A1267" t="s" s="0">
        <v>2730</v>
      </c>
      <c r="B1267" s="2">
        <v>1057405</v>
      </c>
      <c r="C1267" s="2">
        <v>25026</v>
      </c>
      <c r="D1267" s="2">
        <v>44902</v>
      </c>
      <c r="E1267" s="2">
        <v>42865</v>
      </c>
      <c r="F1267" s="2">
        <v>42844</v>
      </c>
      <c r="G1267" s="2">
        <v>40867</v>
      </c>
    </row>
    <row r="1268" spans="1:7" x14ac:dyDescent="0.2">
      <c r="A1268" t="s" s="0">
        <v>2729</v>
      </c>
      <c r="B1268" s="2">
        <v>1033956</v>
      </c>
      <c r="C1268" s="2">
        <v>38429</v>
      </c>
      <c r="D1268" s="2">
        <v>43813</v>
      </c>
      <c r="E1268" s="2">
        <v>42842</v>
      </c>
      <c r="F1268" s="2">
        <v>37567</v>
      </c>
      <c r="G1268" s="2">
        <v>40078</v>
      </c>
    </row>
    <row r="1269" spans="1:7" x14ac:dyDescent="0.2">
      <c r="A1269" t="s" s="0">
        <v>2728</v>
      </c>
      <c r="B1269" s="2">
        <v>1037225</v>
      </c>
      <c r="C1269" s="2">
        <v>44548</v>
      </c>
      <c r="D1269" s="2">
        <v>44974</v>
      </c>
      <c r="E1269" s="2">
        <v>43210</v>
      </c>
      <c r="F1269" s="2">
        <v>39574</v>
      </c>
      <c r="G1269" s="2">
        <v>41393</v>
      </c>
    </row>
    <row r="1270" spans="1:7" x14ac:dyDescent="0.2">
      <c r="A1270" t="s" s="0">
        <v>2727</v>
      </c>
      <c r="B1270" s="2">
        <v>1103809</v>
      </c>
      <c r="C1270" s="2">
        <v>41095</v>
      </c>
      <c r="D1270" s="2">
        <v>43898</v>
      </c>
      <c r="E1270" s="2">
        <v>42044</v>
      </c>
      <c r="F1270" s="2">
        <v>51582</v>
      </c>
      <c r="G1270" s="2">
        <v>42787</v>
      </c>
    </row>
    <row r="1271" spans="1:7" x14ac:dyDescent="0.2">
      <c r="A1271" t="s" s="0">
        <v>2726</v>
      </c>
      <c r="B1271" s="2">
        <v>1106297</v>
      </c>
      <c r="C1271" s="2">
        <v>43905</v>
      </c>
      <c r="D1271" s="2">
        <v>43860</v>
      </c>
      <c r="E1271" s="2">
        <v>43109</v>
      </c>
      <c r="F1271" s="2">
        <v>48517</v>
      </c>
      <c r="G1271" s="2">
        <v>43429</v>
      </c>
    </row>
    <row r="1272" spans="1:7" x14ac:dyDescent="0.2">
      <c r="A1272" t="s" s="0">
        <v>2725</v>
      </c>
      <c r="B1272" s="3">
        <v>1106297</v>
      </c>
      <c r="C1272" s="3">
        <v>43905</v>
      </c>
      <c r="D1272" s="3">
        <v>43860</v>
      </c>
      <c r="E1272" s="3">
        <v>43109</v>
      </c>
      <c r="F1272" s="3">
        <v>48517</v>
      </c>
      <c r="G1272" s="3">
        <v>43429</v>
      </c>
    </row>
    <row r="1273" spans="1:7" x14ac:dyDescent="0.2">
      <c r="A1273" t="s" s="0">
        <v>2724</v>
      </c>
      <c r="B1273" s="3">
        <v>1106297</v>
      </c>
      <c r="C1273" s="3">
        <v>43905</v>
      </c>
      <c r="D1273" s="3">
        <v>43860</v>
      </c>
      <c r="E1273" s="3">
        <v>43109</v>
      </c>
      <c r="F1273" s="3">
        <v>48517</v>
      </c>
      <c r="G1273" s="3">
        <v>43429</v>
      </c>
    </row>
    <row r="1274" spans="1:7" x14ac:dyDescent="0.2">
      <c r="A1274" t="s" s="0">
        <v>2723</v>
      </c>
      <c r="B1274" s="2">
        <v>1041838</v>
      </c>
      <c r="C1274" s="2">
        <v>22177</v>
      </c>
      <c r="D1274" s="2">
        <v>50296</v>
      </c>
      <c r="E1274" s="2">
        <v>44585</v>
      </c>
      <c r="F1274" s="2">
        <v>48072</v>
      </c>
      <c r="G1274" s="2">
        <v>39316</v>
      </c>
    </row>
    <row r="1275" spans="1:7" x14ac:dyDescent="0.2">
      <c r="A1275" t="s" s="0">
        <v>2722</v>
      </c>
      <c r="B1275" s="2">
        <v>1060118</v>
      </c>
      <c r="C1275" s="2">
        <v>11724</v>
      </c>
      <c r="D1275" s="2">
        <v>46481</v>
      </c>
      <c r="E1275" s="2">
        <v>43544</v>
      </c>
      <c r="F1275" s="2">
        <v>50219</v>
      </c>
      <c r="G1275" s="2">
        <v>40394</v>
      </c>
    </row>
    <row r="1276" spans="1:7" x14ac:dyDescent="0.2">
      <c r="A1276" t="s" s="0">
        <v>2721</v>
      </c>
      <c r="B1276" s="2">
        <v>1032315</v>
      </c>
      <c r="C1276" s="2">
        <v>38833</v>
      </c>
      <c r="D1276" s="2">
        <v>46808</v>
      </c>
      <c r="E1276" s="2">
        <v>44260</v>
      </c>
      <c r="F1276" s="2">
        <v>46107</v>
      </c>
      <c r="G1276" s="2">
        <v>39646</v>
      </c>
    </row>
    <row r="1277" spans="1:7" x14ac:dyDescent="0.2">
      <c r="A1277" t="s" s="0">
        <v>2720</v>
      </c>
      <c r="B1277" s="2">
        <v>1021385</v>
      </c>
      <c r="C1277" s="2">
        <v>40665</v>
      </c>
      <c r="D1277" s="2">
        <v>47037</v>
      </c>
      <c r="E1277" s="2">
        <v>44076</v>
      </c>
      <c r="F1277" s="2">
        <v>35262</v>
      </c>
      <c r="G1277" s="2">
        <v>37573</v>
      </c>
    </row>
    <row r="1278" spans="1:7" x14ac:dyDescent="0.2">
      <c r="A1278" t="s" s="0">
        <v>2719</v>
      </c>
      <c r="B1278" s="2">
        <v>983232</v>
      </c>
      <c r="C1278" s="2">
        <v>45601</v>
      </c>
      <c r="D1278" s="2">
        <v>45349</v>
      </c>
      <c r="E1278" s="2">
        <v>43885</v>
      </c>
      <c r="F1278" s="2">
        <v>26654</v>
      </c>
      <c r="G1278" s="2">
        <v>33907</v>
      </c>
    </row>
    <row r="1279" spans="1:7" x14ac:dyDescent="0.2">
      <c r="A1279" t="s" s="0">
        <v>2718</v>
      </c>
      <c r="B1279" s="3">
        <v>983232</v>
      </c>
      <c r="C1279" s="3">
        <v>45601</v>
      </c>
      <c r="D1279" s="3">
        <v>45349</v>
      </c>
      <c r="E1279" s="3">
        <v>43885</v>
      </c>
      <c r="F1279" s="3">
        <v>26654</v>
      </c>
      <c r="G1279" s="3">
        <v>33907</v>
      </c>
    </row>
    <row r="1280" spans="1:7" x14ac:dyDescent="0.2">
      <c r="A1280" t="s" s="0">
        <v>2717</v>
      </c>
      <c r="B1280" s="3">
        <v>983232</v>
      </c>
      <c r="C1280" s="3">
        <v>45601</v>
      </c>
      <c r="D1280" s="3">
        <v>45349</v>
      </c>
      <c r="E1280" s="3">
        <v>43885</v>
      </c>
      <c r="F1280" s="3">
        <v>26654</v>
      </c>
      <c r="G1280" s="3">
        <v>33907</v>
      </c>
    </row>
    <row r="1281" spans="1:7" x14ac:dyDescent="0.2">
      <c r="A1281" t="s" s="0">
        <v>2716</v>
      </c>
      <c r="B1281" s="2">
        <v>945170</v>
      </c>
      <c r="C1281" s="2">
        <v>22669</v>
      </c>
      <c r="D1281" s="2">
        <v>46049</v>
      </c>
      <c r="E1281" s="2">
        <v>45855</v>
      </c>
      <c r="F1281" s="2">
        <v>31146</v>
      </c>
      <c r="G1281" s="2">
        <v>36880</v>
      </c>
    </row>
    <row r="1282" spans="1:7" x14ac:dyDescent="0.2">
      <c r="A1282" t="s" s="0">
        <v>2715</v>
      </c>
      <c r="B1282" s="2">
        <v>923888</v>
      </c>
      <c r="C1282" s="2">
        <v>21282</v>
      </c>
      <c r="D1282" s="2">
        <v>47414</v>
      </c>
      <c r="E1282" s="2">
        <v>44391</v>
      </c>
      <c r="F1282" s="2">
        <v>26860</v>
      </c>
      <c r="G1282" s="2">
        <v>36880</v>
      </c>
    </row>
    <row r="1283" spans="1:7" x14ac:dyDescent="0.2">
      <c r="A1283" t="s" s="0">
        <v>2714</v>
      </c>
      <c r="B1283" s="2">
        <v>899679</v>
      </c>
      <c r="C1283" s="2">
        <v>36994</v>
      </c>
      <c r="D1283" s="2">
        <v>43865</v>
      </c>
      <c r="E1283" s="2">
        <v>44273</v>
      </c>
      <c r="F1283" s="2">
        <v>23824</v>
      </c>
      <c r="G1283" s="2">
        <v>35265</v>
      </c>
    </row>
    <row r="1284" spans="1:7" x14ac:dyDescent="0.2">
      <c r="A1284" t="s" s="0">
        <v>2713</v>
      </c>
      <c r="B1284" s="2">
        <v>915954</v>
      </c>
      <c r="C1284" s="2">
        <v>43714</v>
      </c>
      <c r="D1284" s="2">
        <v>44536</v>
      </c>
      <c r="E1284" s="2">
        <v>44472</v>
      </c>
      <c r="F1284" s="2">
        <v>28382</v>
      </c>
      <c r="G1284" s="2">
        <v>36516</v>
      </c>
    </row>
    <row r="1285" spans="1:7" x14ac:dyDescent="0.2">
      <c r="A1285" t="s" s="0">
        <v>2712</v>
      </c>
      <c r="B1285" s="2">
        <v>913459</v>
      </c>
      <c r="C1285" s="2">
        <v>42679</v>
      </c>
      <c r="D1285" s="2">
        <v>44119</v>
      </c>
      <c r="E1285" s="2">
        <v>44263</v>
      </c>
      <c r="F1285" s="2">
        <v>34005</v>
      </c>
      <c r="G1285" s="2">
        <v>36470</v>
      </c>
    </row>
    <row r="1286" spans="1:7" x14ac:dyDescent="0.2">
      <c r="A1286" t="s" s="0">
        <v>2711</v>
      </c>
      <c r="B1286" s="3">
        <v>913459</v>
      </c>
      <c r="C1286" s="3">
        <v>42679</v>
      </c>
      <c r="D1286" s="3">
        <v>44119</v>
      </c>
      <c r="E1286" s="3">
        <v>44263</v>
      </c>
      <c r="F1286" s="3">
        <v>34005</v>
      </c>
      <c r="G1286" s="3">
        <v>36470</v>
      </c>
    </row>
    <row r="1287" spans="1:7" x14ac:dyDescent="0.2">
      <c r="A1287" t="s" s="0">
        <v>2710</v>
      </c>
      <c r="B1287" s="3">
        <v>913459</v>
      </c>
      <c r="C1287" s="3">
        <v>42679</v>
      </c>
      <c r="D1287" s="3">
        <v>44119</v>
      </c>
      <c r="E1287" s="3">
        <v>44263</v>
      </c>
      <c r="F1287" s="3">
        <v>34005</v>
      </c>
      <c r="G1287" s="3">
        <v>36470</v>
      </c>
    </row>
    <row r="1288" spans="1:7" x14ac:dyDescent="0.2">
      <c r="A1288" t="s" s="0">
        <v>2709</v>
      </c>
      <c r="B1288" s="2">
        <v>976804</v>
      </c>
      <c r="C1288" s="2">
        <v>23506</v>
      </c>
      <c r="D1288" s="2">
        <v>35944</v>
      </c>
      <c r="E1288" s="2">
        <v>44298</v>
      </c>
      <c r="F1288" s="2">
        <v>40295</v>
      </c>
      <c r="G1288" s="2">
        <v>40589</v>
      </c>
    </row>
    <row r="1289" spans="1:7" x14ac:dyDescent="0.2">
      <c r="A1289" t="s" s="0">
        <v>2708</v>
      </c>
      <c r="B1289" s="2">
        <v>937142</v>
      </c>
      <c r="C1289" s="2">
        <v>39662</v>
      </c>
      <c r="D1289" s="2">
        <v>38570</v>
      </c>
      <c r="E1289" s="2">
        <v>44069</v>
      </c>
      <c r="F1289" s="2">
        <v>40295</v>
      </c>
      <c r="G1289" s="2">
        <v>38735</v>
      </c>
    </row>
    <row r="1290" spans="1:7" x14ac:dyDescent="0.2">
      <c r="A1290" t="s" s="0">
        <v>2707</v>
      </c>
      <c r="B1290" s="2">
        <v>890229</v>
      </c>
      <c r="C1290" s="2">
        <v>46902</v>
      </c>
      <c r="D1290" s="2">
        <v>39985</v>
      </c>
      <c r="E1290" s="2">
        <v>43908</v>
      </c>
      <c r="F1290" s="2">
        <v>38467</v>
      </c>
      <c r="G1290" s="2">
        <v>36993</v>
      </c>
    </row>
    <row r="1291" spans="1:7" x14ac:dyDescent="0.2">
      <c r="A1291" t="s" s="0">
        <v>2706</v>
      </c>
      <c r="B1291" s="2">
        <v>867355</v>
      </c>
      <c r="C1291" s="2">
        <v>37877</v>
      </c>
      <c r="D1291" s="2">
        <v>39865</v>
      </c>
      <c r="E1291" s="2">
        <v>43834</v>
      </c>
      <c r="F1291" s="2">
        <v>32754</v>
      </c>
      <c r="G1291" s="2">
        <v>36995</v>
      </c>
    </row>
    <row r="1292" spans="1:7" x14ac:dyDescent="0.2">
      <c r="A1292" t="s" s="0">
        <v>2705</v>
      </c>
      <c r="B1292" s="2">
        <v>871701</v>
      </c>
      <c r="C1292" s="2">
        <v>35728</v>
      </c>
      <c r="D1292" s="2">
        <v>40246</v>
      </c>
      <c r="E1292" s="2">
        <v>43394</v>
      </c>
      <c r="F1292" s="2">
        <v>33603</v>
      </c>
      <c r="G1292" s="2">
        <v>35695</v>
      </c>
    </row>
    <row r="1293" spans="1:7" x14ac:dyDescent="0.2">
      <c r="A1293" t="s" s="0">
        <v>2704</v>
      </c>
      <c r="B1293" s="3">
        <v>871701</v>
      </c>
      <c r="C1293" s="3">
        <v>35728</v>
      </c>
      <c r="D1293" s="3">
        <v>40246</v>
      </c>
      <c r="E1293" s="3">
        <v>43394</v>
      </c>
      <c r="F1293" s="3">
        <v>33603</v>
      </c>
      <c r="G1293" s="3">
        <v>35695</v>
      </c>
    </row>
    <row r="1294" spans="1:7" x14ac:dyDescent="0.2">
      <c r="A1294" t="s" s="0">
        <v>2703</v>
      </c>
      <c r="B1294" s="3">
        <v>871701</v>
      </c>
      <c r="C1294" s="3">
        <v>35728</v>
      </c>
      <c r="D1294" s="3">
        <v>40246</v>
      </c>
      <c r="E1294" s="3">
        <v>43394</v>
      </c>
      <c r="F1294" s="3">
        <v>33603</v>
      </c>
      <c r="G1294" s="3">
        <v>35695</v>
      </c>
    </row>
    <row r="1295" spans="1:7" x14ac:dyDescent="0.2">
      <c r="A1295" t="s" s="0">
        <v>2702</v>
      </c>
      <c r="B1295" s="2">
        <v>858210</v>
      </c>
      <c r="C1295" s="2">
        <v>19962</v>
      </c>
      <c r="D1295" s="2">
        <v>44106</v>
      </c>
      <c r="E1295" s="2">
        <v>44099</v>
      </c>
      <c r="F1295" s="2">
        <v>26487</v>
      </c>
      <c r="G1295" s="2">
        <v>36500</v>
      </c>
    </row>
    <row r="1296" spans="1:7" x14ac:dyDescent="0.2">
      <c r="A1296" t="s" s="0">
        <v>2701</v>
      </c>
      <c r="B1296" s="2">
        <v>922789</v>
      </c>
      <c r="C1296" s="2">
        <v>28730</v>
      </c>
      <c r="D1296" s="2">
        <v>43834</v>
      </c>
      <c r="E1296" s="2">
        <v>44075</v>
      </c>
      <c r="F1296" s="2">
        <v>41158</v>
      </c>
      <c r="G1296" s="2">
        <v>39633</v>
      </c>
    </row>
    <row r="1297" spans="1:7" x14ac:dyDescent="0.2">
      <c r="A1297" t="s" s="0">
        <v>2700</v>
      </c>
      <c r="B1297" s="2">
        <v>967440</v>
      </c>
      <c r="C1297" s="2">
        <v>30336</v>
      </c>
      <c r="D1297" s="2">
        <v>41467</v>
      </c>
      <c r="E1297" s="2">
        <v>43031</v>
      </c>
      <c r="F1297" s="2">
        <v>51872</v>
      </c>
      <c r="G1297" s="2">
        <v>40067</v>
      </c>
    </row>
    <row r="1298" spans="1:7" x14ac:dyDescent="0.2">
      <c r="A1298" t="s" s="0">
        <v>2699</v>
      </c>
      <c r="B1298" s="2">
        <v>975871</v>
      </c>
      <c r="C1298" s="2">
        <v>36491</v>
      </c>
      <c r="D1298" s="2">
        <v>39127</v>
      </c>
      <c r="E1298" s="2">
        <v>42641</v>
      </c>
      <c r="F1298" s="2">
        <v>54004</v>
      </c>
      <c r="G1298" s="2">
        <v>37600</v>
      </c>
    </row>
    <row r="1299" spans="1:7" x14ac:dyDescent="0.2">
      <c r="A1299" t="s" s="0">
        <v>2698</v>
      </c>
      <c r="B1299" s="2">
        <v>964634</v>
      </c>
      <c r="C1299" s="2">
        <v>36198</v>
      </c>
      <c r="D1299" s="2">
        <v>37820</v>
      </c>
      <c r="E1299" s="2">
        <v>41884</v>
      </c>
      <c r="F1299" s="2">
        <v>50437</v>
      </c>
      <c r="G1299" s="2">
        <v>36175</v>
      </c>
    </row>
    <row r="1300" spans="1:7" x14ac:dyDescent="0.2">
      <c r="A1300" t="s" s="0">
        <v>2697</v>
      </c>
      <c r="B1300" s="3">
        <v>964634</v>
      </c>
      <c r="C1300" s="3">
        <v>36198</v>
      </c>
      <c r="D1300" s="3">
        <v>37820</v>
      </c>
      <c r="E1300" s="3">
        <v>41884</v>
      </c>
      <c r="F1300" s="3">
        <v>50437</v>
      </c>
      <c r="G1300" s="3">
        <v>36175</v>
      </c>
    </row>
    <row r="1301" spans="1:7" x14ac:dyDescent="0.2">
      <c r="A1301" t="s" s="0">
        <v>2696</v>
      </c>
      <c r="B1301" s="3">
        <v>964634</v>
      </c>
      <c r="C1301" s="3">
        <v>36198</v>
      </c>
      <c r="D1301" s="3">
        <v>37820</v>
      </c>
      <c r="E1301" s="3">
        <v>41884</v>
      </c>
      <c r="F1301" s="3">
        <v>50437</v>
      </c>
      <c r="G1301" s="3">
        <v>36175</v>
      </c>
    </row>
    <row r="1302" spans="1:7" x14ac:dyDescent="0.2">
      <c r="A1302" t="s" s="0">
        <v>2695</v>
      </c>
      <c r="B1302" s="2">
        <v>1002045</v>
      </c>
      <c r="C1302" s="2">
        <v>21732</v>
      </c>
      <c r="D1302" s="2">
        <v>32637</v>
      </c>
      <c r="E1302" s="2">
        <v>39684</v>
      </c>
      <c r="F1302" s="2">
        <v>52527</v>
      </c>
      <c r="G1302" s="2">
        <v>37614</v>
      </c>
    </row>
    <row r="1303" spans="1:7" x14ac:dyDescent="0.2">
      <c r="A1303" t="s" s="0">
        <v>2694</v>
      </c>
      <c r="B1303" s="2">
        <v>1000782</v>
      </c>
      <c r="C1303" s="2">
        <v>28074</v>
      </c>
      <c r="D1303" s="2">
        <v>31254</v>
      </c>
      <c r="E1303" s="2">
        <v>40268</v>
      </c>
      <c r="F1303" s="2">
        <v>41686</v>
      </c>
      <c r="G1303" s="2">
        <v>37500</v>
      </c>
    </row>
    <row r="1304" spans="1:7" x14ac:dyDescent="0.2">
      <c r="A1304" t="s" s="0">
        <v>2693</v>
      </c>
      <c r="B1304" s="2">
        <v>1060181</v>
      </c>
      <c r="C1304" s="2">
        <v>38926</v>
      </c>
      <c r="D1304" s="2">
        <v>32481</v>
      </c>
      <c r="E1304" s="2">
        <v>39450</v>
      </c>
      <c r="F1304" s="2">
        <v>45020</v>
      </c>
      <c r="G1304" s="2">
        <v>39796</v>
      </c>
    </row>
    <row r="1305" spans="1:7" x14ac:dyDescent="0.2">
      <c r="A1305" t="s" s="0">
        <v>2692</v>
      </c>
      <c r="B1305" s="2">
        <v>1126548</v>
      </c>
      <c r="C1305" s="2">
        <v>33483</v>
      </c>
      <c r="D1305" s="2">
        <v>32052</v>
      </c>
      <c r="E1305" s="2">
        <v>38895</v>
      </c>
      <c r="F1305" s="2">
        <v>52867</v>
      </c>
      <c r="G1305" s="2">
        <v>42002</v>
      </c>
    </row>
    <row r="1306" spans="1:7" x14ac:dyDescent="0.2">
      <c r="A1306" t="s" s="0">
        <v>2691</v>
      </c>
      <c r="B1306" s="2">
        <v>1112315</v>
      </c>
      <c r="C1306" s="2">
        <v>36347</v>
      </c>
      <c r="D1306" s="2">
        <v>32073</v>
      </c>
      <c r="E1306" s="2">
        <v>38564</v>
      </c>
      <c r="F1306" s="2">
        <v>52876</v>
      </c>
      <c r="G1306" s="2">
        <v>42730</v>
      </c>
    </row>
    <row r="1307" spans="1:7" x14ac:dyDescent="0.2">
      <c r="A1307" t="s" s="0">
        <v>2690</v>
      </c>
      <c r="B1307" s="3">
        <v>1112315</v>
      </c>
      <c r="C1307" s="3">
        <v>36347</v>
      </c>
      <c r="D1307" s="3">
        <v>32073</v>
      </c>
      <c r="E1307" s="3">
        <v>38564</v>
      </c>
      <c r="F1307" s="3">
        <v>52876</v>
      </c>
      <c r="G1307" s="3">
        <v>42730</v>
      </c>
    </row>
    <row r="1308" spans="1:7" x14ac:dyDescent="0.2">
      <c r="A1308" t="s" s="0">
        <v>2689</v>
      </c>
      <c r="B1308" s="3">
        <v>1112315</v>
      </c>
      <c r="C1308" s="3">
        <v>36347</v>
      </c>
      <c r="D1308" s="3">
        <v>32073</v>
      </c>
      <c r="E1308" s="3">
        <v>38564</v>
      </c>
      <c r="F1308" s="3">
        <v>52876</v>
      </c>
      <c r="G1308" s="3">
        <v>42730</v>
      </c>
    </row>
    <row r="1309" spans="1:7" x14ac:dyDescent="0.2">
      <c r="A1309" t="s" s="0">
        <v>2688</v>
      </c>
      <c r="B1309" s="2">
        <v>1086720</v>
      </c>
      <c r="C1309" s="2">
        <v>20663</v>
      </c>
      <c r="D1309" s="2">
        <v>34625</v>
      </c>
      <c r="E1309" s="2">
        <v>36828</v>
      </c>
      <c r="F1309" s="2">
        <v>46426</v>
      </c>
      <c r="G1309" s="2">
        <v>41434</v>
      </c>
    </row>
    <row r="1310" spans="1:7" x14ac:dyDescent="0.2">
      <c r="A1310" t="s" s="0">
        <v>2687</v>
      </c>
      <c r="B1310" s="2">
        <v>1069437</v>
      </c>
      <c r="C1310" s="2">
        <v>34249</v>
      </c>
      <c r="D1310" s="2">
        <v>34510</v>
      </c>
      <c r="E1310" s="2">
        <v>37042</v>
      </c>
      <c r="F1310" s="2">
        <v>44023</v>
      </c>
      <c r="G1310" s="2">
        <v>41790</v>
      </c>
    </row>
    <row r="1311" spans="1:7" x14ac:dyDescent="0.2">
      <c r="A1311" t="s" s="0">
        <v>2686</v>
      </c>
      <c r="B1311" s="2">
        <v>1020275</v>
      </c>
      <c r="C1311" s="2">
        <v>35122</v>
      </c>
      <c r="D1311" s="2">
        <v>33966</v>
      </c>
      <c r="E1311" s="2">
        <v>36975</v>
      </c>
      <c r="F1311" s="2">
        <v>27971</v>
      </c>
      <c r="G1311" s="2">
        <v>40832</v>
      </c>
    </row>
    <row r="1312" spans="1:7" x14ac:dyDescent="0.2">
      <c r="A1312" t="s" s="0">
        <v>2685</v>
      </c>
      <c r="B1312" s="2">
        <v>1129090</v>
      </c>
      <c r="C1312" s="2">
        <v>36503</v>
      </c>
      <c r="D1312" s="2">
        <v>35099</v>
      </c>
      <c r="E1312" s="2">
        <v>36536</v>
      </c>
      <c r="F1312" s="2">
        <v>35224</v>
      </c>
      <c r="G1312" s="2">
        <v>43712</v>
      </c>
    </row>
    <row r="1313" spans="1:7" x14ac:dyDescent="0.2">
      <c r="A1313" t="s" s="0">
        <v>2684</v>
      </c>
      <c r="B1313" s="2">
        <v>1094728</v>
      </c>
      <c r="C1313" s="2">
        <v>35523</v>
      </c>
      <c r="D1313" s="2">
        <v>34981</v>
      </c>
      <c r="E1313" s="2">
        <v>36280</v>
      </c>
      <c r="F1313" s="2">
        <v>32300</v>
      </c>
      <c r="G1313" s="2">
        <v>42304</v>
      </c>
    </row>
    <row r="1314" spans="1:7" x14ac:dyDescent="0.2">
      <c r="A1314" t="s" s="0">
        <v>2683</v>
      </c>
      <c r="B1314" s="3">
        <v>1094728</v>
      </c>
      <c r="C1314" s="3">
        <v>35523</v>
      </c>
      <c r="D1314" s="3">
        <v>34981</v>
      </c>
      <c r="E1314" s="3">
        <v>36280</v>
      </c>
      <c r="F1314" s="3">
        <v>32300</v>
      </c>
      <c r="G1314" s="3">
        <v>42304</v>
      </c>
    </row>
    <row r="1315" spans="1:7" x14ac:dyDescent="0.2">
      <c r="A1315" t="s" s="0">
        <v>2682</v>
      </c>
      <c r="B1315" s="3">
        <v>1094728</v>
      </c>
      <c r="C1315" s="3">
        <v>35523</v>
      </c>
      <c r="D1315" s="3">
        <v>34981</v>
      </c>
      <c r="E1315" s="3">
        <v>36280</v>
      </c>
      <c r="F1315" s="3">
        <v>32300</v>
      </c>
      <c r="G1315" s="3">
        <v>42304</v>
      </c>
    </row>
    <row r="1316" spans="1:7" x14ac:dyDescent="0.2">
      <c r="A1316" t="s" s="0">
        <v>2681</v>
      </c>
      <c r="B1316" s="2">
        <v>1185157</v>
      </c>
      <c r="C1316" s="2">
        <v>20533</v>
      </c>
      <c r="D1316" s="2">
        <v>36671</v>
      </c>
      <c r="E1316" s="2">
        <v>37010</v>
      </c>
      <c r="F1316" s="2">
        <v>50564</v>
      </c>
      <c r="G1316" s="2">
        <v>44001</v>
      </c>
    </row>
    <row r="1317" spans="1:7" x14ac:dyDescent="0.2">
      <c r="A1317" t="s" s="0">
        <v>2680</v>
      </c>
      <c r="B1317" s="2">
        <v>1172193</v>
      </c>
      <c r="C1317" s="2">
        <v>31947</v>
      </c>
      <c r="D1317" s="2">
        <v>38196</v>
      </c>
      <c r="E1317" s="2">
        <v>36949</v>
      </c>
      <c r="F1317" s="2">
        <v>52706</v>
      </c>
      <c r="G1317" s="2">
        <v>44893</v>
      </c>
    </row>
    <row r="1318" spans="1:7" x14ac:dyDescent="0.2">
      <c r="A1318" t="s" s="0">
        <v>2679</v>
      </c>
      <c r="B1318" s="2">
        <v>1177713</v>
      </c>
      <c r="C1318" s="2">
        <v>34480</v>
      </c>
      <c r="D1318" s="2">
        <v>38104</v>
      </c>
      <c r="E1318" s="2">
        <v>36505</v>
      </c>
      <c r="F1318" s="2">
        <v>60426</v>
      </c>
      <c r="G1318" s="2">
        <v>46322</v>
      </c>
    </row>
    <row r="1319" spans="1:7" x14ac:dyDescent="0.2">
      <c r="A1319" t="s" s="0">
        <v>2678</v>
      </c>
      <c r="B1319" s="2">
        <v>1145617</v>
      </c>
      <c r="C1319" s="2">
        <v>37448</v>
      </c>
      <c r="D1319" s="2">
        <v>38253</v>
      </c>
      <c r="E1319" s="2">
        <v>36133</v>
      </c>
      <c r="F1319" s="2">
        <v>40388</v>
      </c>
      <c r="G1319" s="2">
        <v>45621</v>
      </c>
    </row>
    <row r="1320" spans="1:7" x14ac:dyDescent="0.2">
      <c r="A1320" t="s" s="0">
        <v>2677</v>
      </c>
      <c r="B1320" s="2">
        <v>1136932</v>
      </c>
      <c r="C1320" s="2">
        <v>39706</v>
      </c>
      <c r="D1320" s="2">
        <v>38851</v>
      </c>
      <c r="E1320" s="2">
        <v>35931</v>
      </c>
      <c r="F1320" s="2">
        <v>44021</v>
      </c>
      <c r="G1320" s="2">
        <v>44909</v>
      </c>
    </row>
    <row r="1321" spans="1:7" x14ac:dyDescent="0.2">
      <c r="A1321" t="s" s="0">
        <v>2676</v>
      </c>
      <c r="B1321" s="3">
        <v>1136932</v>
      </c>
      <c r="C1321" s="3">
        <v>39706</v>
      </c>
      <c r="D1321" s="3">
        <v>38851</v>
      </c>
      <c r="E1321" s="3">
        <v>35931</v>
      </c>
      <c r="F1321" s="3">
        <v>44021</v>
      </c>
      <c r="G1321" s="3">
        <v>44909</v>
      </c>
    </row>
    <row r="1322" spans="1:7" x14ac:dyDescent="0.2">
      <c r="A1322" t="s" s="0">
        <v>2675</v>
      </c>
      <c r="B1322" s="3">
        <v>1136932</v>
      </c>
      <c r="C1322" s="3">
        <v>39706</v>
      </c>
      <c r="D1322" s="3">
        <v>38851</v>
      </c>
      <c r="E1322" s="3">
        <v>35931</v>
      </c>
      <c r="F1322" s="3">
        <v>44021</v>
      </c>
      <c r="G1322" s="3">
        <v>44909</v>
      </c>
    </row>
    <row r="1323" spans="1:7" x14ac:dyDescent="0.2">
      <c r="A1323" t="s" s="0">
        <v>2674</v>
      </c>
      <c r="B1323" s="2">
        <v>1123449</v>
      </c>
      <c r="C1323" s="2">
        <v>21155</v>
      </c>
      <c r="D1323" s="2">
        <v>34736</v>
      </c>
      <c r="E1323" s="2">
        <v>34667</v>
      </c>
      <c r="F1323" s="2">
        <v>25062</v>
      </c>
      <c r="G1323" s="2">
        <v>43645</v>
      </c>
    </row>
    <row r="1324" spans="1:7" x14ac:dyDescent="0.2">
      <c r="A1324" t="s" s="0">
        <v>2673</v>
      </c>
      <c r="B1324" s="2">
        <v>1111623</v>
      </c>
      <c r="C1324" s="2">
        <v>35816</v>
      </c>
      <c r="D1324" s="2">
        <v>34432</v>
      </c>
      <c r="E1324" s="2">
        <v>34598</v>
      </c>
      <c r="F1324" s="2">
        <v>24921</v>
      </c>
      <c r="G1324" s="2">
        <v>40834</v>
      </c>
    </row>
    <row r="1325" spans="1:7" x14ac:dyDescent="0.2">
      <c r="A1325" t="s" s="0">
        <v>2672</v>
      </c>
      <c r="B1325" s="2">
        <v>1227763</v>
      </c>
      <c r="C1325" s="2">
        <v>38831</v>
      </c>
      <c r="D1325" s="2">
        <v>35768</v>
      </c>
      <c r="E1325" s="2">
        <v>35080</v>
      </c>
      <c r="F1325" s="2">
        <v>42059</v>
      </c>
      <c r="G1325" s="2">
        <v>43869</v>
      </c>
    </row>
    <row r="1326" spans="1:7" x14ac:dyDescent="0.2">
      <c r="A1326" t="s" s="0">
        <v>2671</v>
      </c>
      <c r="B1326" s="2">
        <v>1248006</v>
      </c>
      <c r="C1326" s="2">
        <v>36788</v>
      </c>
      <c r="D1326" s="2">
        <v>36385</v>
      </c>
      <c r="E1326" s="2">
        <v>35447</v>
      </c>
      <c r="F1326" s="2">
        <v>50154</v>
      </c>
      <c r="G1326" s="2">
        <v>44658</v>
      </c>
    </row>
    <row r="1327" spans="1:7" x14ac:dyDescent="0.2">
      <c r="A1327" t="s" s="0">
        <v>2670</v>
      </c>
      <c r="B1327" s="2">
        <v>1239553</v>
      </c>
      <c r="C1327" s="2">
        <v>39001</v>
      </c>
      <c r="D1327" s="2">
        <v>37400</v>
      </c>
      <c r="E1327" s="2">
        <v>35826</v>
      </c>
      <c r="F1327" s="2">
        <v>50892</v>
      </c>
      <c r="G1327" s="2">
        <v>45022</v>
      </c>
    </row>
    <row r="1328" spans="1:7" x14ac:dyDescent="0.2">
      <c r="A1328" t="s" s="0">
        <v>2669</v>
      </c>
      <c r="B1328" s="3">
        <v>1239553</v>
      </c>
      <c r="C1328" s="3">
        <v>39001</v>
      </c>
      <c r="D1328" s="3">
        <v>37400</v>
      </c>
      <c r="E1328" s="3">
        <v>35826</v>
      </c>
      <c r="F1328" s="3">
        <v>50892</v>
      </c>
      <c r="G1328" s="3">
        <v>45022</v>
      </c>
    </row>
    <row r="1329" spans="1:7" x14ac:dyDescent="0.2">
      <c r="A1329" t="s" s="0">
        <v>2668</v>
      </c>
      <c r="B1329" s="3">
        <v>1239553</v>
      </c>
      <c r="C1329" s="3">
        <v>39001</v>
      </c>
      <c r="D1329" s="3">
        <v>37400</v>
      </c>
      <c r="E1329" s="3">
        <v>35826</v>
      </c>
      <c r="F1329" s="3">
        <v>50892</v>
      </c>
      <c r="G1329" s="3">
        <v>45022</v>
      </c>
    </row>
    <row r="1330" spans="1:7" x14ac:dyDescent="0.2">
      <c r="A1330" t="s" s="0">
        <v>2667</v>
      </c>
      <c r="B1330" s="2">
        <v>1355557</v>
      </c>
      <c r="C1330" s="2">
        <v>21861</v>
      </c>
      <c r="D1330" s="2">
        <v>37319</v>
      </c>
      <c r="E1330" s="2">
        <v>35838</v>
      </c>
      <c r="F1330" s="2">
        <v>69309</v>
      </c>
      <c r="G1330" s="2">
        <v>47841</v>
      </c>
    </row>
    <row r="1331" spans="1:7" x14ac:dyDescent="0.2">
      <c r="A1331" t="s" s="0">
        <v>2666</v>
      </c>
      <c r="B1331" s="2">
        <v>1319336</v>
      </c>
      <c r="C1331" s="2">
        <v>36200</v>
      </c>
      <c r="D1331" s="2">
        <v>37374</v>
      </c>
      <c r="E1331" s="2">
        <v>36128</v>
      </c>
      <c r="F1331" s="2">
        <v>65879</v>
      </c>
      <c r="G1331" s="2">
        <v>46882</v>
      </c>
    </row>
    <row r="1332" spans="1:7" x14ac:dyDescent="0.2">
      <c r="A1332" t="s" s="0">
        <v>2665</v>
      </c>
      <c r="B1332" s="2">
        <v>1285895</v>
      </c>
      <c r="C1332" s="2">
        <v>33441</v>
      </c>
      <c r="D1332" s="2">
        <v>35890</v>
      </c>
      <c r="E1332" s="2">
        <v>35932</v>
      </c>
      <c r="F1332" s="2">
        <v>43026</v>
      </c>
      <c r="G1332" s="2">
        <v>43371</v>
      </c>
    </row>
    <row r="1333" spans="1:7" x14ac:dyDescent="0.2">
      <c r="A1333" t="s" s="0">
        <v>2664</v>
      </c>
      <c r="B1333" s="2">
        <v>1279779</v>
      </c>
      <c r="C1333" s="2">
        <v>35493</v>
      </c>
      <c r="D1333" s="2">
        <v>35705</v>
      </c>
      <c r="E1333" s="2">
        <v>36361</v>
      </c>
      <c r="F1333" s="2">
        <v>38738</v>
      </c>
      <c r="G1333" s="2">
        <v>41126</v>
      </c>
    </row>
    <row r="1334" spans="1:7" x14ac:dyDescent="0.2">
      <c r="A1334" t="s" s="0">
        <v>2663</v>
      </c>
      <c r="B1334" s="2">
        <v>1358304</v>
      </c>
      <c r="C1334" s="2">
        <v>36569</v>
      </c>
      <c r="D1334" s="2">
        <v>34242</v>
      </c>
      <c r="E1334" s="2">
        <v>36368</v>
      </c>
      <c r="F1334" s="2">
        <v>49102</v>
      </c>
      <c r="G1334" s="2">
        <v>44079</v>
      </c>
    </row>
    <row r="1335" spans="1:7" x14ac:dyDescent="0.2">
      <c r="A1335" t="s" s="0">
        <v>2662</v>
      </c>
      <c r="B1335" s="3">
        <v>1358304</v>
      </c>
      <c r="C1335" s="3">
        <v>36569</v>
      </c>
      <c r="D1335" s="3">
        <v>34242</v>
      </c>
      <c r="E1335" s="3">
        <v>36368</v>
      </c>
      <c r="F1335" s="3">
        <v>49102</v>
      </c>
      <c r="G1335" s="3">
        <v>44079</v>
      </c>
    </row>
    <row r="1336" spans="1:7" x14ac:dyDescent="0.2">
      <c r="A1336" t="s" s="0">
        <v>2661</v>
      </c>
      <c r="B1336" s="3">
        <v>1358304</v>
      </c>
      <c r="C1336" s="3">
        <v>36569</v>
      </c>
      <c r="D1336" s="3">
        <v>34242</v>
      </c>
      <c r="E1336" s="3">
        <v>36368</v>
      </c>
      <c r="F1336" s="3">
        <v>49102</v>
      </c>
      <c r="G1336" s="3">
        <v>44079</v>
      </c>
    </row>
    <row r="1337" spans="1:7" x14ac:dyDescent="0.2">
      <c r="A1337" t="s" s="0">
        <v>2660</v>
      </c>
      <c r="B1337" s="2">
        <v>1401127</v>
      </c>
      <c r="C1337" s="2">
        <v>21598</v>
      </c>
      <c r="D1337" s="2">
        <v>36509</v>
      </c>
      <c r="E1337" s="2">
        <v>36309</v>
      </c>
      <c r="F1337" s="2">
        <v>40915</v>
      </c>
      <c r="G1337" s="2">
        <v>46463</v>
      </c>
    </row>
    <row r="1338" spans="1:7" x14ac:dyDescent="0.2">
      <c r="A1338" t="s" s="0">
        <v>2659</v>
      </c>
      <c r="B1338" s="2">
        <v>1363385</v>
      </c>
      <c r="C1338" s="2">
        <v>37563</v>
      </c>
      <c r="D1338" s="2">
        <v>36704</v>
      </c>
      <c r="E1338" s="2">
        <v>36676</v>
      </c>
      <c r="F1338" s="2">
        <v>40892</v>
      </c>
      <c r="G1338" s="2">
        <v>46100</v>
      </c>
    </row>
    <row r="1339" spans="1:7" x14ac:dyDescent="0.2">
      <c r="A1339" t="s" s="0">
        <v>2658</v>
      </c>
      <c r="B1339" s="2">
        <v>1376448</v>
      </c>
      <c r="C1339" s="2">
        <v>36779</v>
      </c>
      <c r="D1339" s="2">
        <v>37181</v>
      </c>
      <c r="E1339" s="2">
        <v>36736</v>
      </c>
      <c r="F1339" s="2">
        <v>48013</v>
      </c>
      <c r="G1339" s="2">
        <v>48381</v>
      </c>
    </row>
    <row r="1340" spans="1:7" x14ac:dyDescent="0.2">
      <c r="A1340" t="s" s="0">
        <v>2657</v>
      </c>
      <c r="B1340" s="2">
        <v>1335116</v>
      </c>
      <c r="C1340" s="2">
        <v>36753</v>
      </c>
      <c r="D1340" s="2">
        <v>35934</v>
      </c>
      <c r="E1340" s="2">
        <v>36569</v>
      </c>
      <c r="F1340" s="2">
        <v>42112</v>
      </c>
      <c r="G1340" s="2">
        <v>42848</v>
      </c>
    </row>
    <row r="1341" spans="1:7" x14ac:dyDescent="0.2">
      <c r="A1341" t="s" s="0">
        <v>2656</v>
      </c>
      <c r="B1341" s="2">
        <v>1354965</v>
      </c>
      <c r="C1341" s="2">
        <v>38119</v>
      </c>
      <c r="D1341" s="2">
        <v>36156</v>
      </c>
      <c r="E1341" s="2">
        <v>36662</v>
      </c>
      <c r="F1341" s="2">
        <v>34707</v>
      </c>
      <c r="G1341" s="2">
        <v>44680</v>
      </c>
    </row>
    <row r="1342" spans="1:7" x14ac:dyDescent="0.2">
      <c r="A1342" t="s" s="0">
        <v>2655</v>
      </c>
      <c r="B1342" s="3">
        <v>1354965</v>
      </c>
      <c r="C1342" s="3">
        <v>38119</v>
      </c>
      <c r="D1342" s="3">
        <v>36156</v>
      </c>
      <c r="E1342" s="3">
        <v>36662</v>
      </c>
      <c r="F1342" s="3">
        <v>34707</v>
      </c>
      <c r="G1342" s="3">
        <v>44680</v>
      </c>
    </row>
    <row r="1343" spans="1:7" x14ac:dyDescent="0.2">
      <c r="A1343" t="s" s="0">
        <v>2654</v>
      </c>
      <c r="B1343" s="3">
        <v>1354965</v>
      </c>
      <c r="C1343" s="3">
        <v>38119</v>
      </c>
      <c r="D1343" s="3">
        <v>36156</v>
      </c>
      <c r="E1343" s="3">
        <v>36662</v>
      </c>
      <c r="F1343" s="3">
        <v>34707</v>
      </c>
      <c r="G1343" s="3">
        <v>44680</v>
      </c>
    </row>
    <row r="1344" spans="1:7" x14ac:dyDescent="0.2">
      <c r="A1344" t="s" s="0">
        <v>2653</v>
      </c>
      <c r="B1344" s="2">
        <v>1401078</v>
      </c>
      <c r="C1344" s="2">
        <v>23901</v>
      </c>
      <c r="D1344" s="2">
        <v>36461</v>
      </c>
      <c r="E1344" s="2">
        <v>36256</v>
      </c>
      <c r="F1344" s="2">
        <v>35482</v>
      </c>
      <c r="G1344" s="2">
        <v>42692</v>
      </c>
    </row>
    <row r="1345" spans="1:7" x14ac:dyDescent="0.2">
      <c r="A1345" t="s" s="0">
        <v>2652</v>
      </c>
      <c r="B1345" s="2">
        <v>1358544</v>
      </c>
      <c r="C1345" s="2">
        <v>37635</v>
      </c>
      <c r="D1345" s="2">
        <v>37186</v>
      </c>
      <c r="E1345" s="2">
        <v>36424</v>
      </c>
      <c r="F1345" s="2">
        <v>35522</v>
      </c>
      <c r="G1345" s="2">
        <v>41804</v>
      </c>
    </row>
    <row r="1346" spans="1:7" x14ac:dyDescent="0.2">
      <c r="A1346" t="s" s="0">
        <v>2651</v>
      </c>
      <c r="B1346" s="2">
        <v>1320023</v>
      </c>
      <c r="C1346" s="2">
        <v>38308</v>
      </c>
      <c r="D1346" s="2">
        <v>38118</v>
      </c>
      <c r="E1346" s="2">
        <v>36739</v>
      </c>
      <c r="F1346" s="2">
        <v>29085</v>
      </c>
      <c r="G1346" s="2">
        <v>40546</v>
      </c>
    </row>
    <row r="1347" spans="1:7" x14ac:dyDescent="0.2">
      <c r="A1347" t="s" s="0">
        <v>2650</v>
      </c>
      <c r="B1347" s="2">
        <v>1276757</v>
      </c>
      <c r="C1347" s="2">
        <v>38215</v>
      </c>
      <c r="D1347" s="2">
        <v>39048</v>
      </c>
      <c r="E1347" s="2">
        <v>36768</v>
      </c>
      <c r="F1347" s="2">
        <v>29700</v>
      </c>
      <c r="G1347" s="2">
        <v>40176</v>
      </c>
    </row>
    <row r="1348" spans="1:7" x14ac:dyDescent="0.2">
      <c r="A1348" t="s" s="0">
        <v>2649</v>
      </c>
      <c r="B1348" s="2">
        <v>1300649</v>
      </c>
      <c r="C1348" s="2">
        <v>38612</v>
      </c>
      <c r="D1348" s="2">
        <v>39119</v>
      </c>
      <c r="E1348" s="2">
        <v>36729</v>
      </c>
      <c r="F1348" s="2">
        <v>30276</v>
      </c>
      <c r="G1348" s="2">
        <v>41244</v>
      </c>
    </row>
    <row r="1349" spans="1:7" x14ac:dyDescent="0.2">
      <c r="A1349" t="s" s="0">
        <v>2648</v>
      </c>
      <c r="B1349" s="3">
        <v>1300649</v>
      </c>
      <c r="C1349" s="3">
        <v>38612</v>
      </c>
      <c r="D1349" s="3">
        <v>39119</v>
      </c>
      <c r="E1349" s="3">
        <v>36729</v>
      </c>
      <c r="F1349" s="3">
        <v>30276</v>
      </c>
      <c r="G1349" s="3">
        <v>41244</v>
      </c>
    </row>
    <row r="1350" spans="1:7" x14ac:dyDescent="0.2">
      <c r="A1350" t="s" s="0">
        <v>2647</v>
      </c>
      <c r="B1350" s="3">
        <v>1300649</v>
      </c>
      <c r="C1350" s="3">
        <v>38612</v>
      </c>
      <c r="D1350" s="3">
        <v>39119</v>
      </c>
      <c r="E1350" s="3">
        <v>36729</v>
      </c>
      <c r="F1350" s="3">
        <v>30276</v>
      </c>
      <c r="G1350" s="3">
        <v>41244</v>
      </c>
    </row>
    <row r="1351" spans="1:7" x14ac:dyDescent="0.2">
      <c r="A1351" t="s" s="0">
        <v>2646</v>
      </c>
      <c r="B1351" s="2">
        <v>1216092</v>
      </c>
      <c r="C1351" s="2">
        <v>22174</v>
      </c>
      <c r="D1351" s="2">
        <v>39036</v>
      </c>
      <c r="E1351" s="2">
        <v>37331</v>
      </c>
      <c r="F1351" s="2">
        <v>11395</v>
      </c>
      <c r="G1351" s="2">
        <v>39275</v>
      </c>
    </row>
    <row r="1352" spans="1:7" x14ac:dyDescent="0.2">
      <c r="A1352" t="s" s="0">
        <v>2645</v>
      </c>
      <c r="B1352" s="2">
        <v>1191013</v>
      </c>
      <c r="C1352" s="2">
        <v>35072</v>
      </c>
      <c r="D1352" s="2">
        <v>37956</v>
      </c>
      <c r="E1352" s="2">
        <v>37305</v>
      </c>
      <c r="F1352" s="2">
        <v>12808</v>
      </c>
      <c r="G1352" s="2">
        <v>38775</v>
      </c>
    </row>
    <row r="1353" spans="1:7" x14ac:dyDescent="0.2">
      <c r="A1353" t="s" s="0">
        <v>2644</v>
      </c>
      <c r="B1353" s="2">
        <v>1244943</v>
      </c>
      <c r="C1353" s="2">
        <v>38195</v>
      </c>
      <c r="D1353" s="2">
        <v>38659</v>
      </c>
      <c r="E1353" s="2">
        <v>37462</v>
      </c>
      <c r="F1353" s="2">
        <v>26719</v>
      </c>
      <c r="G1353" s="2">
        <v>36711</v>
      </c>
    </row>
    <row r="1354" spans="1:7" x14ac:dyDescent="0.2">
      <c r="A1354" t="s" s="0">
        <v>2643</v>
      </c>
      <c r="B1354" s="2">
        <v>1252992</v>
      </c>
      <c r="C1354" s="2">
        <v>42035</v>
      </c>
      <c r="D1354" s="2">
        <v>38484</v>
      </c>
      <c r="E1354" s="2">
        <v>37293</v>
      </c>
      <c r="F1354" s="2">
        <v>33874</v>
      </c>
      <c r="G1354" s="2">
        <v>36106</v>
      </c>
    </row>
    <row r="1355" spans="1:7" x14ac:dyDescent="0.2">
      <c r="A1355" t="s" s="0">
        <v>2642</v>
      </c>
      <c r="B1355" s="2">
        <v>1211904</v>
      </c>
      <c r="C1355" s="2">
        <v>39311</v>
      </c>
      <c r="D1355" s="2">
        <v>39479</v>
      </c>
      <c r="E1355" s="2">
        <v>37249</v>
      </c>
      <c r="F1355" s="2">
        <v>26027</v>
      </c>
      <c r="G1355" s="2">
        <v>35028</v>
      </c>
    </row>
    <row r="1356" spans="1:7" x14ac:dyDescent="0.2">
      <c r="A1356" t="s" s="0">
        <v>2641</v>
      </c>
      <c r="B1356" s="3">
        <v>1211904</v>
      </c>
      <c r="C1356" s="3">
        <v>39311</v>
      </c>
      <c r="D1356" s="3">
        <v>39479</v>
      </c>
      <c r="E1356" s="3">
        <v>37249</v>
      </c>
      <c r="F1356" s="3">
        <v>26027</v>
      </c>
      <c r="G1356" s="3">
        <v>35028</v>
      </c>
    </row>
    <row r="1357" spans="1:7" x14ac:dyDescent="0.2">
      <c r="A1357" t="s" s="0">
        <v>2640</v>
      </c>
      <c r="B1357" s="3">
        <v>1211904</v>
      </c>
      <c r="C1357" s="3">
        <v>39311</v>
      </c>
      <c r="D1357" s="3">
        <v>39479</v>
      </c>
      <c r="E1357" s="3">
        <v>37249</v>
      </c>
      <c r="F1357" s="3">
        <v>26027</v>
      </c>
      <c r="G1357" s="3">
        <v>35028</v>
      </c>
    </row>
    <row r="1358" spans="1:7" x14ac:dyDescent="0.2">
      <c r="A1358" t="s" s="0">
        <v>2639</v>
      </c>
      <c r="B1358" s="2">
        <v>1146770</v>
      </c>
      <c r="C1358" s="2">
        <v>22803</v>
      </c>
      <c r="D1358" s="2">
        <v>37887</v>
      </c>
      <c r="E1358" s="2">
        <v>37473</v>
      </c>
      <c r="F1358" s="2">
        <v>27426</v>
      </c>
      <c r="G1358" s="2">
        <v>28804</v>
      </c>
    </row>
    <row r="1359" spans="1:7" x14ac:dyDescent="0.2">
      <c r="A1359" t="s" s="0">
        <v>2638</v>
      </c>
      <c r="B1359" s="2">
        <v>1213948</v>
      </c>
      <c r="C1359" s="2">
        <v>34822</v>
      </c>
      <c r="D1359" s="2">
        <v>39280</v>
      </c>
      <c r="E1359" s="2">
        <v>37781</v>
      </c>
      <c r="F1359" s="2">
        <v>41999</v>
      </c>
      <c r="G1359" s="2">
        <v>32805</v>
      </c>
    </row>
    <row r="1360" spans="1:7" x14ac:dyDescent="0.2">
      <c r="A1360" t="s" s="0">
        <v>2637</v>
      </c>
      <c r="B1360" s="2">
        <v>1180395</v>
      </c>
      <c r="C1360" s="2">
        <v>44782</v>
      </c>
      <c r="D1360" s="2">
        <v>40783</v>
      </c>
      <c r="E1360" s="2">
        <v>38685</v>
      </c>
      <c r="F1360" s="2">
        <v>31004</v>
      </c>
      <c r="G1360" s="2">
        <v>33705</v>
      </c>
    </row>
    <row r="1361" spans="1:7" x14ac:dyDescent="0.2">
      <c r="A1361" t="s" s="0">
        <v>2636</v>
      </c>
      <c r="B1361" s="2">
        <v>1126527</v>
      </c>
      <c r="C1361" s="2">
        <v>38890</v>
      </c>
      <c r="D1361" s="2">
        <v>41720</v>
      </c>
      <c r="E1361" s="2">
        <v>38796</v>
      </c>
      <c r="F1361" s="2">
        <v>23096</v>
      </c>
      <c r="G1361" s="2">
        <v>32195</v>
      </c>
    </row>
    <row r="1362" spans="1:7" x14ac:dyDescent="0.2">
      <c r="A1362" t="s" s="0">
        <v>2635</v>
      </c>
      <c r="B1362" s="2">
        <v>1121190</v>
      </c>
      <c r="C1362" s="2">
        <v>34269</v>
      </c>
      <c r="D1362" s="2">
        <v>40104</v>
      </c>
      <c r="E1362" s="2">
        <v>38714</v>
      </c>
      <c r="F1362" s="2">
        <v>26663</v>
      </c>
      <c r="G1362" s="2">
        <v>29418</v>
      </c>
    </row>
    <row r="1363" spans="1:7" x14ac:dyDescent="0.2">
      <c r="A1363" t="s" s="0">
        <v>2634</v>
      </c>
      <c r="B1363" s="3">
        <v>1121190</v>
      </c>
      <c r="C1363" s="3">
        <v>34269</v>
      </c>
      <c r="D1363" s="3">
        <v>40104</v>
      </c>
      <c r="E1363" s="3">
        <v>38714</v>
      </c>
      <c r="F1363" s="3">
        <v>26663</v>
      </c>
      <c r="G1363" s="3">
        <v>29418</v>
      </c>
    </row>
    <row r="1364" spans="1:7" x14ac:dyDescent="0.2">
      <c r="A1364" t="s" s="0">
        <v>2633</v>
      </c>
      <c r="B1364" s="3">
        <v>1121190</v>
      </c>
      <c r="C1364" s="3">
        <v>34269</v>
      </c>
      <c r="D1364" s="3">
        <v>40104</v>
      </c>
      <c r="E1364" s="3">
        <v>38714</v>
      </c>
      <c r="F1364" s="3">
        <v>26663</v>
      </c>
      <c r="G1364" s="3">
        <v>29418</v>
      </c>
    </row>
    <row r="1365" spans="1:7" x14ac:dyDescent="0.2">
      <c r="A1365" t="s" s="0">
        <v>2632</v>
      </c>
      <c r="B1365" s="2">
        <v>1049088</v>
      </c>
      <c r="C1365" s="2">
        <v>22975</v>
      </c>
      <c r="D1365" s="2">
        <v>38364</v>
      </c>
      <c r="E1365" s="2">
        <v>37937</v>
      </c>
      <c r="F1365" s="2">
        <v>23843</v>
      </c>
      <c r="G1365" s="2">
        <v>24537</v>
      </c>
    </row>
    <row r="1366" spans="1:7" x14ac:dyDescent="0.2">
      <c r="A1366" t="s" s="0">
        <v>2631</v>
      </c>
      <c r="B1366" s="2">
        <v>1206645</v>
      </c>
      <c r="C1366" s="2">
        <v>32395</v>
      </c>
      <c r="D1366" s="2">
        <v>36589</v>
      </c>
      <c r="E1366" s="2">
        <v>37752</v>
      </c>
      <c r="F1366" s="2">
        <v>34979</v>
      </c>
      <c r="G1366" s="2">
        <v>31327</v>
      </c>
    </row>
    <row r="1367" spans="1:7" x14ac:dyDescent="0.2">
      <c r="A1367" t="s" s="0">
        <v>2630</v>
      </c>
      <c r="B1367" s="2">
        <v>1197377</v>
      </c>
      <c r="C1367" s="2">
        <v>37384</v>
      </c>
      <c r="D1367" s="2">
        <v>33536</v>
      </c>
      <c r="E1367" s="2">
        <v>37774</v>
      </c>
      <c r="F1367" s="2">
        <v>35396</v>
      </c>
      <c r="G1367" s="2">
        <v>30551</v>
      </c>
    </row>
    <row r="1368" spans="1:7" x14ac:dyDescent="0.2">
      <c r="A1368" t="s" s="0">
        <v>2629</v>
      </c>
      <c r="B1368" s="2">
        <v>1305061</v>
      </c>
      <c r="C1368" s="2">
        <v>38211</v>
      </c>
      <c r="D1368" s="2">
        <v>32053</v>
      </c>
      <c r="E1368" s="2">
        <v>37826</v>
      </c>
      <c r="F1368" s="2">
        <v>56991</v>
      </c>
      <c r="G1368" s="2">
        <v>35915</v>
      </c>
    </row>
    <row r="1369" spans="1:7" x14ac:dyDescent="0.2">
      <c r="A1369" t="s" s="0">
        <v>2628</v>
      </c>
      <c r="B1369" s="2">
        <v>1263212</v>
      </c>
      <c r="C1369" s="2">
        <v>37641</v>
      </c>
      <c r="D1369" s="2">
        <v>32534</v>
      </c>
      <c r="E1369" s="2">
        <v>37809</v>
      </c>
      <c r="F1369" s="2">
        <v>51555</v>
      </c>
      <c r="G1369" s="2">
        <v>33631</v>
      </c>
    </row>
    <row r="1370" spans="1:7" x14ac:dyDescent="0.2">
      <c r="A1370" t="s" s="0">
        <v>2627</v>
      </c>
      <c r="B1370" s="3">
        <v>1263212</v>
      </c>
      <c r="C1370" s="3">
        <v>37641</v>
      </c>
      <c r="D1370" s="3">
        <v>32534</v>
      </c>
      <c r="E1370" s="3">
        <v>37809</v>
      </c>
      <c r="F1370" s="3">
        <v>51555</v>
      </c>
      <c r="G1370" s="3">
        <v>33631</v>
      </c>
    </row>
    <row r="1371" spans="1:7" x14ac:dyDescent="0.2">
      <c r="A1371" t="s" s="0">
        <v>2626</v>
      </c>
      <c r="B1371" s="3">
        <v>1263212</v>
      </c>
      <c r="C1371" s="3">
        <v>37641</v>
      </c>
      <c r="D1371" s="3">
        <v>32534</v>
      </c>
      <c r="E1371" s="3">
        <v>37809</v>
      </c>
      <c r="F1371" s="3">
        <v>51555</v>
      </c>
      <c r="G1371" s="3">
        <v>33631</v>
      </c>
    </row>
    <row r="1372" spans="1:7" x14ac:dyDescent="0.2">
      <c r="A1372" t="s" s="0">
        <v>2625</v>
      </c>
      <c r="B1372" s="2">
        <v>1170885</v>
      </c>
      <c r="C1372" s="2">
        <v>20316</v>
      </c>
      <c r="D1372" s="2">
        <v>34850</v>
      </c>
      <c r="E1372" s="2">
        <v>37534</v>
      </c>
      <c r="F1372" s="2">
        <v>51038</v>
      </c>
      <c r="G1372" s="2">
        <v>28426</v>
      </c>
    </row>
    <row r="1373" spans="1:7" x14ac:dyDescent="0.2">
      <c r="A1373" t="s" s="0">
        <v>2624</v>
      </c>
      <c r="B1373" s="2">
        <v>1204519</v>
      </c>
      <c r="C1373" s="2">
        <v>32065</v>
      </c>
      <c r="D1373" s="2">
        <v>34803</v>
      </c>
      <c r="E1373" s="2">
        <v>37157</v>
      </c>
      <c r="F1373" s="2">
        <v>33288</v>
      </c>
      <c r="G1373" s="2">
        <v>30768</v>
      </c>
    </row>
    <row r="1374" spans="1:7" x14ac:dyDescent="0.2">
      <c r="A1374" t="s" s="0">
        <v>2623</v>
      </c>
      <c r="B1374" s="2">
        <v>1213563</v>
      </c>
      <c r="C1374" s="2">
        <v>40936</v>
      </c>
      <c r="D1374" s="2">
        <v>36739</v>
      </c>
      <c r="E1374" s="2">
        <v>37429</v>
      </c>
      <c r="F1374" s="2">
        <v>37840</v>
      </c>
      <c r="G1374" s="2">
        <v>32740</v>
      </c>
    </row>
    <row r="1375" spans="1:7" x14ac:dyDescent="0.2">
      <c r="A1375" t="s" s="0">
        <v>2622</v>
      </c>
      <c r="B1375" s="2">
        <v>1190497</v>
      </c>
      <c r="C1375" s="2">
        <v>38057</v>
      </c>
      <c r="D1375" s="2">
        <v>36717</v>
      </c>
      <c r="E1375" s="2">
        <v>37243</v>
      </c>
      <c r="F1375" s="2">
        <v>19139</v>
      </c>
      <c r="G1375" s="2">
        <v>33275</v>
      </c>
    </row>
    <row r="1376" spans="1:7" x14ac:dyDescent="0.2">
      <c r="A1376" t="s" s="0">
        <v>2621</v>
      </c>
      <c r="B1376" s="2">
        <v>1184932</v>
      </c>
      <c r="C1376" s="2">
        <v>40814</v>
      </c>
      <c r="D1376" s="2">
        <v>38601</v>
      </c>
      <c r="E1376" s="2">
        <v>37680</v>
      </c>
      <c r="F1376" s="2">
        <v>26728</v>
      </c>
      <c r="G1376" s="2">
        <v>32744</v>
      </c>
    </row>
    <row r="1377" spans="1:7" x14ac:dyDescent="0.2">
      <c r="A1377" t="s" s="0">
        <v>2620</v>
      </c>
      <c r="B1377" s="3">
        <v>1184932</v>
      </c>
      <c r="C1377" s="3">
        <v>40814</v>
      </c>
      <c r="D1377" s="3">
        <v>38601</v>
      </c>
      <c r="E1377" s="3">
        <v>37680</v>
      </c>
      <c r="F1377" s="3">
        <v>26728</v>
      </c>
      <c r="G1377" s="3">
        <v>32744</v>
      </c>
    </row>
    <row r="1378" spans="1:7" x14ac:dyDescent="0.2">
      <c r="A1378" t="s" s="0">
        <v>2619</v>
      </c>
      <c r="B1378" s="3">
        <v>1184932</v>
      </c>
      <c r="C1378" s="3">
        <v>40814</v>
      </c>
      <c r="D1378" s="3">
        <v>38601</v>
      </c>
      <c r="E1378" s="3">
        <v>37680</v>
      </c>
      <c r="F1378" s="3">
        <v>26728</v>
      </c>
      <c r="G1378" s="3">
        <v>32744</v>
      </c>
    </row>
    <row r="1379" spans="1:7" x14ac:dyDescent="0.2">
      <c r="A1379" t="s" s="0">
        <v>2618</v>
      </c>
      <c r="B1379" s="2">
        <v>1208853</v>
      </c>
      <c r="C1379" s="2">
        <v>22404</v>
      </c>
      <c r="D1379" s="2">
        <v>38702</v>
      </c>
      <c r="E1379" s="2">
        <v>37451</v>
      </c>
      <c r="F1379" s="2">
        <v>43380</v>
      </c>
      <c r="G1379" s="2">
        <v>36422</v>
      </c>
    </row>
    <row r="1380" spans="1:7" x14ac:dyDescent="0.2">
      <c r="A1380" t="s" s="0">
        <v>2617</v>
      </c>
      <c r="B1380" s="2">
        <v>1327985</v>
      </c>
      <c r="C1380" s="2">
        <v>36861</v>
      </c>
      <c r="D1380" s="2">
        <v>39387</v>
      </c>
      <c r="E1380" s="2">
        <v>37515</v>
      </c>
      <c r="F1380" s="2">
        <v>56279</v>
      </c>
      <c r="G1380" s="2">
        <v>41636</v>
      </c>
    </row>
    <row r="1381" spans="1:7" x14ac:dyDescent="0.2">
      <c r="A1381" t="s" s="0">
        <v>2616</v>
      </c>
      <c r="B1381" s="2">
        <v>1280847</v>
      </c>
      <c r="C1381" s="2">
        <v>39096</v>
      </c>
      <c r="D1381" s="2">
        <v>42648</v>
      </c>
      <c r="E1381" s="2">
        <v>38427</v>
      </c>
      <c r="F1381" s="2">
        <v>51514</v>
      </c>
      <c r="G1381" s="2">
        <v>38939</v>
      </c>
    </row>
    <row r="1382" spans="1:7" x14ac:dyDescent="0.2">
      <c r="A1382" t="s" s="0">
        <v>2615</v>
      </c>
      <c r="B1382" s="2">
        <v>1240875</v>
      </c>
      <c r="C1382" s="2">
        <v>38148</v>
      </c>
      <c r="D1382" s="2">
        <v>46068</v>
      </c>
      <c r="E1382" s="2">
        <v>39140</v>
      </c>
      <c r="F1382" s="2">
        <v>52519</v>
      </c>
      <c r="G1382" s="2">
        <v>37936</v>
      </c>
    </row>
    <row r="1383" spans="1:7" x14ac:dyDescent="0.2">
      <c r="A1383" t="s" s="0">
        <v>2614</v>
      </c>
      <c r="B1383" s="2">
        <v>1309632</v>
      </c>
      <c r="C1383" s="2">
        <v>36478</v>
      </c>
      <c r="D1383" s="2">
        <v>44018</v>
      </c>
      <c r="E1383" s="2">
        <v>38814</v>
      </c>
      <c r="F1383" s="2">
        <v>61268</v>
      </c>
      <c r="G1383" s="2">
        <v>41554</v>
      </c>
    </row>
    <row r="1384" spans="1:7" x14ac:dyDescent="0.2">
      <c r="A1384" t="s" s="0">
        <v>2613</v>
      </c>
      <c r="B1384" s="3">
        <v>1309632</v>
      </c>
      <c r="C1384" s="3">
        <v>36478</v>
      </c>
      <c r="D1384" s="3">
        <v>44018</v>
      </c>
      <c r="E1384" s="3">
        <v>38814</v>
      </c>
      <c r="F1384" s="3">
        <v>61268</v>
      </c>
      <c r="G1384" s="3">
        <v>41554</v>
      </c>
    </row>
    <row r="1385" spans="1:7" x14ac:dyDescent="0.2">
      <c r="A1385" t="s" s="0">
        <v>2612</v>
      </c>
      <c r="B1385" s="3">
        <v>1309632</v>
      </c>
      <c r="C1385" s="3">
        <v>36478</v>
      </c>
      <c r="D1385" s="3">
        <v>44018</v>
      </c>
      <c r="E1385" s="3">
        <v>38814</v>
      </c>
      <c r="F1385" s="3">
        <v>61268</v>
      </c>
      <c r="G1385" s="3">
        <v>41554</v>
      </c>
    </row>
    <row r="1386" spans="1:7" x14ac:dyDescent="0.2">
      <c r="A1386" t="s" s="0">
        <v>2611</v>
      </c>
      <c r="B1386" s="2">
        <v>1271992</v>
      </c>
      <c r="C1386" s="2">
        <v>22001</v>
      </c>
      <c r="D1386" s="2">
        <v>42578</v>
      </c>
      <c r="E1386" s="2">
        <v>38624</v>
      </c>
      <c r="F1386" s="2">
        <v>50841</v>
      </c>
      <c r="G1386" s="2">
        <v>42276</v>
      </c>
    </row>
    <row r="1387" spans="1:7" x14ac:dyDescent="0.2">
      <c r="A1387" t="s" s="0">
        <v>2610</v>
      </c>
      <c r="B1387" s="2">
        <v>1237186</v>
      </c>
      <c r="C1387" s="2">
        <v>34806</v>
      </c>
      <c r="D1387" s="2">
        <v>42285</v>
      </c>
      <c r="E1387" s="2">
        <v>38266</v>
      </c>
      <c r="F1387" s="2">
        <v>28556</v>
      </c>
      <c r="G1387" s="2">
        <v>38276</v>
      </c>
    </row>
    <row r="1388" spans="1:7" x14ac:dyDescent="0.2">
      <c r="A1388" t="s" s="0">
        <v>2609</v>
      </c>
      <c r="B1388" s="2">
        <v>1263041</v>
      </c>
      <c r="C1388" s="2">
        <v>34137</v>
      </c>
      <c r="D1388" s="2">
        <v>36623</v>
      </c>
      <c r="E1388" s="2">
        <v>37387</v>
      </c>
      <c r="F1388" s="2">
        <v>33322</v>
      </c>
      <c r="G1388" s="2">
        <v>39518</v>
      </c>
    </row>
    <row r="1389" spans="1:7" x14ac:dyDescent="0.2">
      <c r="A1389" t="s" s="0">
        <v>2608</v>
      </c>
      <c r="B1389" s="2">
        <v>1247969</v>
      </c>
      <c r="C1389" s="2">
        <v>39560</v>
      </c>
      <c r="D1389" s="2">
        <v>37043</v>
      </c>
      <c r="E1389" s="2">
        <v>37970</v>
      </c>
      <c r="F1389" s="2">
        <v>37299</v>
      </c>
      <c r="G1389" s="2">
        <v>41487</v>
      </c>
    </row>
    <row r="1390" spans="1:7" x14ac:dyDescent="0.2">
      <c r="A1390" t="s" s="0">
        <v>2607</v>
      </c>
      <c r="B1390" s="2">
        <v>1322584</v>
      </c>
      <c r="C1390" s="2">
        <v>42518</v>
      </c>
      <c r="D1390" s="2">
        <v>37906</v>
      </c>
      <c r="E1390" s="2">
        <v>38265</v>
      </c>
      <c r="F1390" s="2">
        <v>38970</v>
      </c>
      <c r="G1390" s="2">
        <v>44630</v>
      </c>
    </row>
    <row r="1391" spans="1:7" x14ac:dyDescent="0.2">
      <c r="A1391" t="s" s="0">
        <v>2606</v>
      </c>
      <c r="B1391" s="3">
        <v>1322584</v>
      </c>
      <c r="C1391" s="3">
        <v>42518</v>
      </c>
      <c r="D1391" s="3">
        <v>37906</v>
      </c>
      <c r="E1391" s="3">
        <v>38265</v>
      </c>
      <c r="F1391" s="3">
        <v>38970</v>
      </c>
      <c r="G1391" s="3">
        <v>44630</v>
      </c>
    </row>
    <row r="1392" spans="1:7" x14ac:dyDescent="0.2">
      <c r="A1392" t="s" s="0">
        <v>2605</v>
      </c>
      <c r="B1392" s="3">
        <v>1322584</v>
      </c>
      <c r="C1392" s="3">
        <v>42518</v>
      </c>
      <c r="D1392" s="3">
        <v>37906</v>
      </c>
      <c r="E1392" s="3">
        <v>38265</v>
      </c>
      <c r="F1392" s="3">
        <v>38970</v>
      </c>
      <c r="G1392" s="3">
        <v>44630</v>
      </c>
    </row>
    <row r="1393" spans="1:7" x14ac:dyDescent="0.2">
      <c r="A1393" t="s" s="0">
        <v>2604</v>
      </c>
      <c r="B1393" s="2">
        <v>1331048</v>
      </c>
      <c r="C1393" s="2">
        <v>23879</v>
      </c>
      <c r="D1393" s="2">
        <v>38754</v>
      </c>
      <c r="E1393" s="2">
        <v>38721</v>
      </c>
      <c r="F1393" s="2">
        <v>46596</v>
      </c>
      <c r="G1393" s="2">
        <v>47964</v>
      </c>
    </row>
    <row r="1394" spans="1:7" x14ac:dyDescent="0.2">
      <c r="A1394" t="s" s="0">
        <v>2603</v>
      </c>
      <c r="B1394" s="2">
        <v>1366862</v>
      </c>
      <c r="C1394" s="2">
        <v>41043</v>
      </c>
      <c r="D1394" s="2">
        <v>39645</v>
      </c>
      <c r="E1394" s="2">
        <v>39030</v>
      </c>
      <c r="F1394" s="2">
        <v>57576</v>
      </c>
      <c r="G1394" s="2">
        <v>43925</v>
      </c>
    </row>
    <row r="1395" spans="1:7" x14ac:dyDescent="0.2">
      <c r="A1395" t="s" s="0">
        <v>2602</v>
      </c>
      <c r="B1395" s="2">
        <v>1476764</v>
      </c>
      <c r="C1395" s="2">
        <v>41662</v>
      </c>
      <c r="D1395" s="2">
        <v>42149</v>
      </c>
      <c r="E1395" s="2">
        <v>39540</v>
      </c>
      <c r="F1395" s="2">
        <v>72087</v>
      </c>
      <c r="G1395" s="2">
        <v>48691</v>
      </c>
    </row>
    <row r="1396" spans="1:7" x14ac:dyDescent="0.2">
      <c r="A1396" t="s" s="0">
        <v>2601</v>
      </c>
      <c r="B1396" s="2">
        <v>1423109</v>
      </c>
      <c r="C1396" s="2">
        <v>37197</v>
      </c>
      <c r="D1396" s="2">
        <v>43380</v>
      </c>
      <c r="E1396" s="2">
        <v>40802</v>
      </c>
      <c r="F1396" s="2">
        <v>67806</v>
      </c>
      <c r="G1396" s="2">
        <v>44191</v>
      </c>
    </row>
    <row r="1397" spans="1:7" x14ac:dyDescent="0.2">
      <c r="A1397" t="s" s="0">
        <v>2600</v>
      </c>
      <c r="B1397" s="2">
        <v>1293352</v>
      </c>
      <c r="C1397" s="2">
        <v>45074</v>
      </c>
      <c r="D1397" s="2">
        <v>52805</v>
      </c>
      <c r="E1397" s="2">
        <v>43332</v>
      </c>
      <c r="F1397" s="2">
        <v>48144</v>
      </c>
      <c r="G1397" s="2">
        <v>43778</v>
      </c>
    </row>
    <row r="1398" spans="1:7" x14ac:dyDescent="0.2">
      <c r="A1398" t="s" s="0">
        <v>2599</v>
      </c>
      <c r="B1398" s="3">
        <v>1293352</v>
      </c>
      <c r="C1398" s="3">
        <v>45074</v>
      </c>
      <c r="D1398" s="3">
        <v>52805</v>
      </c>
      <c r="E1398" s="3">
        <v>43332</v>
      </c>
      <c r="F1398" s="3">
        <v>48144</v>
      </c>
      <c r="G1398" s="3">
        <v>43778</v>
      </c>
    </row>
    <row r="1399" spans="1:7" x14ac:dyDescent="0.2">
      <c r="A1399" t="s" s="0">
        <v>2598</v>
      </c>
      <c r="B1399" s="3">
        <v>1293352</v>
      </c>
      <c r="C1399" s="3">
        <v>45074</v>
      </c>
      <c r="D1399" s="3">
        <v>52805</v>
      </c>
      <c r="E1399" s="3">
        <v>43332</v>
      </c>
      <c r="F1399" s="3">
        <v>48144</v>
      </c>
      <c r="G1399" s="3">
        <v>43778</v>
      </c>
    </row>
    <row r="1400" spans="1:7" x14ac:dyDescent="0.2">
      <c r="A1400" t="s" s="0">
        <v>2597</v>
      </c>
      <c r="B1400" s="2">
        <v>1252294</v>
      </c>
      <c r="C1400" s="2">
        <v>26107</v>
      </c>
      <c r="D1400" s="2">
        <v>56527</v>
      </c>
      <c r="E1400" s="2">
        <v>44140</v>
      </c>
      <c r="F1400" s="2">
        <v>44792</v>
      </c>
      <c r="G1400" s="2">
        <v>46402</v>
      </c>
    </row>
    <row r="1401" spans="1:7" x14ac:dyDescent="0.2">
      <c r="A1401" t="s" s="0">
        <v>2596</v>
      </c>
      <c r="B1401" s="2">
        <v>1236839</v>
      </c>
      <c r="C1401" s="2">
        <v>40602</v>
      </c>
      <c r="D1401" s="2">
        <v>56464</v>
      </c>
      <c r="E1401" s="2">
        <v>44445</v>
      </c>
      <c r="F1401" s="2">
        <v>37384</v>
      </c>
      <c r="G1401" s="2">
        <v>44949</v>
      </c>
    </row>
    <row r="1402" spans="1:7" x14ac:dyDescent="0.2">
      <c r="A1402" t="s" s="0">
        <v>2595</v>
      </c>
      <c r="B1402" s="2">
        <v>1215600</v>
      </c>
      <c r="C1402" s="2">
        <v>44732</v>
      </c>
      <c r="D1402" s="2">
        <v>56496</v>
      </c>
      <c r="E1402" s="2">
        <v>44479</v>
      </c>
      <c r="F1402" s="2">
        <v>18682</v>
      </c>
      <c r="G1402" s="2">
        <v>43901</v>
      </c>
    </row>
    <row r="1403" spans="1:7" x14ac:dyDescent="0.2">
      <c r="A1403" t="s" s="0">
        <v>2594</v>
      </c>
      <c r="B1403" s="2">
        <v>1233479</v>
      </c>
      <c r="C1403" s="2">
        <v>47158</v>
      </c>
      <c r="D1403" s="2">
        <v>52726</v>
      </c>
      <c r="E1403" s="2">
        <v>44804</v>
      </c>
      <c r="F1403" s="2">
        <v>25131</v>
      </c>
      <c r="G1403" s="2">
        <v>45689</v>
      </c>
    </row>
    <row r="1404" spans="1:7" x14ac:dyDescent="0.2">
      <c r="A1404" t="s" s="0">
        <v>2593</v>
      </c>
      <c r="B1404" s="2">
        <v>1204355</v>
      </c>
      <c r="C1404" s="2">
        <v>59419</v>
      </c>
      <c r="D1404" s="2">
        <v>45716</v>
      </c>
      <c r="E1404" s="2">
        <v>45111</v>
      </c>
      <c r="F1404" s="2">
        <v>32922</v>
      </c>
      <c r="G1404" s="2">
        <v>45326</v>
      </c>
    </row>
    <row r="1405" spans="1:7" x14ac:dyDescent="0.2">
      <c r="A1405" t="s" s="0">
        <v>2592</v>
      </c>
      <c r="B1405" s="3">
        <v>1204355</v>
      </c>
      <c r="C1405" s="3">
        <v>59419</v>
      </c>
      <c r="D1405" s="3">
        <v>45716</v>
      </c>
      <c r="E1405" s="3">
        <v>45111</v>
      </c>
      <c r="F1405" s="3">
        <v>32922</v>
      </c>
      <c r="G1405" s="3">
        <v>45326</v>
      </c>
    </row>
    <row r="1406" spans="1:7" x14ac:dyDescent="0.2">
      <c r="A1406" t="s" s="0">
        <v>2591</v>
      </c>
      <c r="B1406" s="3">
        <v>1204355</v>
      </c>
      <c r="C1406" s="3">
        <v>59419</v>
      </c>
      <c r="D1406" s="3">
        <v>45716</v>
      </c>
      <c r="E1406" s="3">
        <v>45111</v>
      </c>
      <c r="F1406" s="3">
        <v>32922</v>
      </c>
      <c r="G1406" s="3">
        <v>45326</v>
      </c>
    </row>
    <row r="1407" spans="1:7" x14ac:dyDescent="0.2">
      <c r="A1407" t="s" s="0">
        <v>2590</v>
      </c>
      <c r="B1407" s="2">
        <v>1080774</v>
      </c>
      <c r="C1407" s="2">
        <v>29295</v>
      </c>
      <c r="D1407" s="2">
        <v>46090</v>
      </c>
      <c r="E1407" s="2">
        <v>45987</v>
      </c>
      <c r="F1407" s="2">
        <v>21508</v>
      </c>
      <c r="G1407" s="2">
        <v>40934</v>
      </c>
    </row>
    <row r="1408" spans="1:7" x14ac:dyDescent="0.2">
      <c r="A1408" t="s" s="0">
        <v>2589</v>
      </c>
      <c r="B1408" s="2">
        <v>1130952</v>
      </c>
      <c r="C1408" s="2">
        <v>48854</v>
      </c>
      <c r="D1408" s="2">
        <v>47401</v>
      </c>
      <c r="E1408" s="2">
        <v>46449</v>
      </c>
      <c r="F1408" s="2">
        <v>32215</v>
      </c>
      <c r="G1408" s="2">
        <v>38933</v>
      </c>
    </row>
    <row r="1409" spans="1:7" x14ac:dyDescent="0.2">
      <c r="A1409" t="s" s="0">
        <v>2588</v>
      </c>
      <c r="B1409" s="2">
        <v>1095400</v>
      </c>
      <c r="C1409" s="2">
        <v>50596</v>
      </c>
      <c r="D1409" s="2">
        <v>49359</v>
      </c>
      <c r="E1409" s="2">
        <v>46157</v>
      </c>
      <c r="F1409" s="2">
        <v>32129</v>
      </c>
      <c r="G1409" s="2">
        <v>39055</v>
      </c>
    </row>
    <row r="1410" spans="1:7" x14ac:dyDescent="0.2">
      <c r="A1410" t="s" s="0">
        <v>2587</v>
      </c>
      <c r="B1410" s="2">
        <v>1041800</v>
      </c>
      <c r="C1410" s="2">
        <v>53577</v>
      </c>
      <c r="D1410" s="2">
        <v>50276</v>
      </c>
      <c r="E1410" s="2">
        <v>45856</v>
      </c>
      <c r="F1410" s="2">
        <v>22835</v>
      </c>
      <c r="G1410" s="2">
        <v>38268</v>
      </c>
    </row>
    <row r="1411" spans="1:7" x14ac:dyDescent="0.2">
      <c r="A1411" t="s" s="0">
        <v>2586</v>
      </c>
      <c r="B1411" s="2">
        <v>1033768</v>
      </c>
      <c r="C1411" s="2">
        <v>49169</v>
      </c>
      <c r="D1411" s="2">
        <v>48812</v>
      </c>
      <c r="E1411" s="2">
        <v>46310</v>
      </c>
      <c r="F1411" s="2">
        <v>24280</v>
      </c>
      <c r="G1411" s="2">
        <v>36079</v>
      </c>
    </row>
    <row r="1412" spans="1:7" x14ac:dyDescent="0.2">
      <c r="A1412" t="s" s="0">
        <v>2585</v>
      </c>
      <c r="B1412" s="3">
        <v>1033768</v>
      </c>
      <c r="C1412" s="3">
        <v>49169</v>
      </c>
      <c r="D1412" s="3">
        <v>48812</v>
      </c>
      <c r="E1412" s="3">
        <v>46310</v>
      </c>
      <c r="F1412" s="3">
        <v>24280</v>
      </c>
      <c r="G1412" s="3">
        <v>36079</v>
      </c>
    </row>
    <row r="1413" spans="1:7" x14ac:dyDescent="0.2">
      <c r="A1413" t="s" s="0">
        <v>2584</v>
      </c>
      <c r="B1413" s="3">
        <v>1033768</v>
      </c>
      <c r="C1413" s="3">
        <v>49169</v>
      </c>
      <c r="D1413" s="3">
        <v>48812</v>
      </c>
      <c r="E1413" s="3">
        <v>46310</v>
      </c>
      <c r="F1413" s="3">
        <v>24280</v>
      </c>
      <c r="G1413" s="3">
        <v>36079</v>
      </c>
    </row>
    <row r="1414" spans="1:7" x14ac:dyDescent="0.2">
      <c r="A1414" t="s" s="0">
        <v>2583</v>
      </c>
      <c r="B1414" s="2">
        <v>1011710</v>
      </c>
      <c r="C1414" s="2">
        <v>28235</v>
      </c>
      <c r="D1414" s="2">
        <v>49978</v>
      </c>
      <c r="E1414" s="2">
        <v>47837</v>
      </c>
      <c r="F1414" s="2">
        <v>39950</v>
      </c>
      <c r="G1414" s="2">
        <v>38212</v>
      </c>
    </row>
    <row r="1415" spans="1:7" x14ac:dyDescent="0.2">
      <c r="A1415" t="s" s="0">
        <v>2582</v>
      </c>
      <c r="B1415" s="2">
        <v>987011</v>
      </c>
      <c r="C1415" s="2">
        <v>44694</v>
      </c>
      <c r="D1415" s="2">
        <v>49253</v>
      </c>
      <c r="E1415" s="2">
        <v>48191</v>
      </c>
      <c r="F1415" s="2">
        <v>28527</v>
      </c>
      <c r="G1415" s="2">
        <v>38926</v>
      </c>
    </row>
    <row r="1416" spans="1:7" x14ac:dyDescent="0.2">
      <c r="A1416" t="s" s="0">
        <v>2581</v>
      </c>
      <c r="B1416" s="2">
        <v>957561</v>
      </c>
      <c r="C1416" s="2">
        <v>47402</v>
      </c>
      <c r="D1416" s="2">
        <v>48082</v>
      </c>
      <c r="E1416" s="2">
        <v>49022</v>
      </c>
      <c r="F1416" s="2">
        <v>28239</v>
      </c>
      <c r="G1416" s="2">
        <v>37784</v>
      </c>
    </row>
    <row r="1417" spans="1:7" x14ac:dyDescent="0.2">
      <c r="A1417" t="s" s="0">
        <v>2580</v>
      </c>
      <c r="B1417" s="2">
        <v>978518</v>
      </c>
      <c r="C1417" s="2">
        <v>48584</v>
      </c>
      <c r="D1417" s="2">
        <v>50234</v>
      </c>
      <c r="E1417" s="2">
        <v>49154</v>
      </c>
      <c r="F1417" s="2">
        <v>41043</v>
      </c>
      <c r="G1417" s="2">
        <v>39204</v>
      </c>
    </row>
    <row r="1418" spans="1:7" x14ac:dyDescent="0.2">
      <c r="A1418" t="s" s="0">
        <v>2579</v>
      </c>
      <c r="B1418" s="2">
        <v>978098</v>
      </c>
      <c r="C1418" s="2">
        <v>55242</v>
      </c>
      <c r="D1418" s="2">
        <v>54235</v>
      </c>
      <c r="E1418" s="2">
        <v>50392</v>
      </c>
      <c r="F1418" s="2">
        <v>46042</v>
      </c>
      <c r="G1418" s="2">
        <v>37847</v>
      </c>
    </row>
    <row r="1419" spans="1:7" x14ac:dyDescent="0.2">
      <c r="A1419" t="s" s="0">
        <v>2578</v>
      </c>
      <c r="B1419" s="3">
        <v>978098</v>
      </c>
      <c r="C1419" s="3">
        <v>55242</v>
      </c>
      <c r="D1419" s="3">
        <v>54235</v>
      </c>
      <c r="E1419" s="3">
        <v>50392</v>
      </c>
      <c r="F1419" s="3">
        <v>46042</v>
      </c>
      <c r="G1419" s="3">
        <v>37847</v>
      </c>
    </row>
    <row r="1420" spans="1:7" x14ac:dyDescent="0.2">
      <c r="A1420" t="s" s="0">
        <v>2577</v>
      </c>
      <c r="B1420" s="3">
        <v>978098</v>
      </c>
      <c r="C1420" s="3">
        <v>55242</v>
      </c>
      <c r="D1420" s="3">
        <v>54235</v>
      </c>
      <c r="E1420" s="3">
        <v>50392</v>
      </c>
      <c r="F1420" s="3">
        <v>46042</v>
      </c>
      <c r="G1420" s="3">
        <v>37847</v>
      </c>
    </row>
    <row r="1421" spans="1:7" x14ac:dyDescent="0.2">
      <c r="A1421" t="s" s="0">
        <v>2576</v>
      </c>
      <c r="B1421" s="2">
        <v>960211</v>
      </c>
      <c r="C1421" s="2">
        <v>27813</v>
      </c>
      <c r="D1421" s="2">
        <v>51954</v>
      </c>
      <c r="E1421" s="2">
        <v>51138</v>
      </c>
      <c r="F1421" s="2">
        <v>44358</v>
      </c>
      <c r="G1421" s="2">
        <v>37652</v>
      </c>
    </row>
    <row r="1422" spans="1:7" x14ac:dyDescent="0.2">
      <c r="A1422" t="s" s="0">
        <v>2575</v>
      </c>
      <c r="B1422" s="2">
        <v>912370</v>
      </c>
      <c r="C1422" s="2">
        <v>47846</v>
      </c>
      <c r="D1422" s="2">
        <v>52405</v>
      </c>
      <c r="E1422" s="2">
        <v>51381</v>
      </c>
      <c r="F1422" s="2">
        <v>41502</v>
      </c>
      <c r="G1422" s="2">
        <v>34907</v>
      </c>
    </row>
    <row r="1423" spans="1:7" x14ac:dyDescent="0.2">
      <c r="A1423" t="s" s="0">
        <v>2574</v>
      </c>
      <c r="B1423" s="2">
        <v>911699</v>
      </c>
      <c r="C1423" s="2">
        <v>50606</v>
      </c>
      <c r="D1423" s="2">
        <v>52156</v>
      </c>
      <c r="E1423" s="2">
        <v>51524</v>
      </c>
      <c r="F1423" s="2">
        <v>45354</v>
      </c>
      <c r="G1423" s="2">
        <v>31101</v>
      </c>
    </row>
    <row r="1424" spans="1:7" x14ac:dyDescent="0.2">
      <c r="A1424" t="s" s="0">
        <v>2573</v>
      </c>
      <c r="B1424" s="2">
        <v>967468</v>
      </c>
      <c r="C1424" s="2">
        <v>46007</v>
      </c>
      <c r="D1424" s="2">
        <v>48923</v>
      </c>
      <c r="E1424" s="2">
        <v>50540</v>
      </c>
      <c r="F1424" s="2">
        <v>47094</v>
      </c>
      <c r="G1424" s="2">
        <v>34026</v>
      </c>
    </row>
    <row r="1425" spans="1:7" x14ac:dyDescent="0.2">
      <c r="A1425" t="s" s="0">
        <v>2572</v>
      </c>
      <c r="B1425" s="2">
        <v>916149</v>
      </c>
      <c r="C1425" s="2">
        <v>52051</v>
      </c>
      <c r="D1425" s="2">
        <v>45334</v>
      </c>
      <c r="E1425" s="2">
        <v>48524</v>
      </c>
      <c r="F1425" s="2">
        <v>36348</v>
      </c>
      <c r="G1425" s="2">
        <v>34898</v>
      </c>
    </row>
    <row r="1426" spans="1:7" x14ac:dyDescent="0.2">
      <c r="A1426" t="s" s="0">
        <v>2571</v>
      </c>
      <c r="B1426" s="3">
        <v>916149</v>
      </c>
      <c r="C1426" s="3">
        <v>52051</v>
      </c>
      <c r="D1426" s="3">
        <v>45334</v>
      </c>
      <c r="E1426" s="3">
        <v>48524</v>
      </c>
      <c r="F1426" s="3">
        <v>36348</v>
      </c>
      <c r="G1426" s="3">
        <v>34898</v>
      </c>
    </row>
    <row r="1427" spans="1:7" x14ac:dyDescent="0.2">
      <c r="A1427" t="s" s="0">
        <v>2570</v>
      </c>
      <c r="B1427" s="3">
        <v>916149</v>
      </c>
      <c r="C1427" s="3">
        <v>52051</v>
      </c>
      <c r="D1427" s="3">
        <v>45334</v>
      </c>
      <c r="E1427" s="3">
        <v>48524</v>
      </c>
      <c r="F1427" s="3">
        <v>36348</v>
      </c>
      <c r="G1427" s="3">
        <v>34898</v>
      </c>
    </row>
    <row r="1428" spans="1:7" x14ac:dyDescent="0.2">
      <c r="A1428" t="s" s="0">
        <v>2569</v>
      </c>
      <c r="B1428" s="2">
        <v>961249</v>
      </c>
      <c r="C1428" s="2">
        <v>29719</v>
      </c>
      <c r="D1428" s="2">
        <v>48395</v>
      </c>
      <c r="E1428" s="2">
        <v>49105</v>
      </c>
      <c r="F1428" s="2">
        <v>48407</v>
      </c>
      <c r="G1428" s="2">
        <v>38556</v>
      </c>
    </row>
    <row r="1429" spans="1:7" x14ac:dyDescent="0.2">
      <c r="A1429" t="s" s="0">
        <v>2568</v>
      </c>
      <c r="B1429" s="2">
        <v>920741</v>
      </c>
      <c r="C1429" s="2">
        <v>40508</v>
      </c>
      <c r="D1429" s="2">
        <v>47346</v>
      </c>
      <c r="E1429" s="2">
        <v>49101</v>
      </c>
      <c r="F1429" s="2">
        <v>48406</v>
      </c>
      <c r="G1429" s="2">
        <v>37663</v>
      </c>
    </row>
    <row r="1430" spans="1:7" x14ac:dyDescent="0.2">
      <c r="A1430" t="s" s="0">
        <v>2567</v>
      </c>
      <c r="B1430" s="2">
        <v>1050713</v>
      </c>
      <c r="C1430" s="2">
        <v>56277</v>
      </c>
      <c r="D1430" s="2">
        <v>48141</v>
      </c>
      <c r="E1430" s="2">
        <v>49435</v>
      </c>
      <c r="F1430" s="2">
        <v>67864</v>
      </c>
      <c r="G1430" s="2">
        <v>43397</v>
      </c>
    </row>
    <row r="1431" spans="1:7" x14ac:dyDescent="0.2">
      <c r="A1431" t="s" s="0">
        <v>2566</v>
      </c>
      <c r="B1431" s="2">
        <v>987097</v>
      </c>
      <c r="C1431" s="2">
        <v>56498</v>
      </c>
      <c r="D1431" s="2">
        <v>52072</v>
      </c>
      <c r="E1431" s="2">
        <v>50376</v>
      </c>
      <c r="F1431" s="2">
        <v>54740</v>
      </c>
      <c r="G1431" s="2">
        <v>41428</v>
      </c>
    </row>
    <row r="1432" spans="1:7" x14ac:dyDescent="0.2">
      <c r="A1432" t="s" s="0">
        <v>2565</v>
      </c>
      <c r="B1432" s="2">
        <v>961607</v>
      </c>
      <c r="C1432" s="2">
        <v>47749</v>
      </c>
      <c r="D1432" s="2">
        <v>57155</v>
      </c>
      <c r="E1432" s="2">
        <v>51384</v>
      </c>
      <c r="F1432" s="2">
        <v>63237</v>
      </c>
      <c r="G1432" s="2">
        <v>42477</v>
      </c>
    </row>
    <row r="1433" spans="1:7" x14ac:dyDescent="0.2">
      <c r="A1433" t="s" s="0">
        <v>2564</v>
      </c>
      <c r="B1433" s="3">
        <v>961607</v>
      </c>
      <c r="C1433" s="3">
        <v>47749</v>
      </c>
      <c r="D1433" s="3">
        <v>57155</v>
      </c>
      <c r="E1433" s="3">
        <v>51384</v>
      </c>
      <c r="F1433" s="3">
        <v>63237</v>
      </c>
      <c r="G1433" s="3">
        <v>42477</v>
      </c>
    </row>
    <row r="1434" spans="1:7" x14ac:dyDescent="0.2">
      <c r="A1434" t="s" s="0">
        <v>2563</v>
      </c>
      <c r="B1434" s="3">
        <v>961607</v>
      </c>
      <c r="C1434" s="3">
        <v>47749</v>
      </c>
      <c r="D1434" s="3">
        <v>57155</v>
      </c>
      <c r="E1434" s="3">
        <v>51384</v>
      </c>
      <c r="F1434" s="3">
        <v>63237</v>
      </c>
      <c r="G1434" s="3">
        <v>42477</v>
      </c>
    </row>
    <row r="1435" spans="1:7" x14ac:dyDescent="0.2">
      <c r="A1435" t="s" s="0">
        <v>2562</v>
      </c>
      <c r="B1435" s="2">
        <v>985141</v>
      </c>
      <c r="C1435" s="2">
        <v>28983</v>
      </c>
      <c r="D1435" s="2">
        <v>52714</v>
      </c>
      <c r="E1435" s="2">
        <v>50760</v>
      </c>
      <c r="F1435" s="2">
        <v>55716</v>
      </c>
      <c r="G1435" s="2">
        <v>47108</v>
      </c>
    </row>
    <row r="1436" spans="1:7" x14ac:dyDescent="0.2">
      <c r="A1436" t="s" s="0">
        <v>2561</v>
      </c>
      <c r="B1436" s="2">
        <v>1049595</v>
      </c>
      <c r="C1436" s="2">
        <v>44954</v>
      </c>
      <c r="D1436" s="2">
        <v>55431</v>
      </c>
      <c r="E1436" s="2">
        <v>51109</v>
      </c>
      <c r="F1436" s="2">
        <v>73427</v>
      </c>
      <c r="G1436" s="2">
        <v>47966</v>
      </c>
    </row>
    <row r="1437" spans="1:7" x14ac:dyDescent="0.2">
      <c r="A1437" t="s" s="0">
        <v>2560</v>
      </c>
      <c r="B1437" s="2">
        <v>1013382</v>
      </c>
      <c r="C1437" s="2">
        <v>47039</v>
      </c>
      <c r="D1437" s="2">
        <v>55118</v>
      </c>
      <c r="E1437" s="2">
        <v>50874</v>
      </c>
      <c r="F1437" s="2">
        <v>49373</v>
      </c>
      <c r="G1437" s="2">
        <v>47708</v>
      </c>
    </row>
    <row r="1438" spans="1:7" x14ac:dyDescent="0.2">
      <c r="A1438" t="s" s="0">
        <v>2559</v>
      </c>
      <c r="B1438" s="2">
        <v>1019602</v>
      </c>
      <c r="C1438" s="2">
        <v>48342</v>
      </c>
      <c r="D1438" s="2">
        <v>51520</v>
      </c>
      <c r="E1438" s="2">
        <v>50687</v>
      </c>
      <c r="F1438" s="2">
        <v>55752</v>
      </c>
      <c r="G1438" s="2">
        <v>49657</v>
      </c>
    </row>
    <row r="1439" spans="1:7" x14ac:dyDescent="0.2">
      <c r="A1439" t="s" s="0">
        <v>2558</v>
      </c>
      <c r="B1439" s="2">
        <v>1025409</v>
      </c>
      <c r="C1439" s="2">
        <v>52926</v>
      </c>
      <c r="D1439" s="2">
        <v>47277</v>
      </c>
      <c r="E1439" s="2">
        <v>51000</v>
      </c>
      <c r="F1439" s="2">
        <v>56391</v>
      </c>
      <c r="G1439" s="2">
        <v>50505</v>
      </c>
    </row>
    <row r="1440" spans="1:7" x14ac:dyDescent="0.2">
      <c r="A1440" t="s" s="0">
        <v>2557</v>
      </c>
      <c r="B1440" s="3">
        <v>1025409</v>
      </c>
      <c r="C1440" s="3">
        <v>52926</v>
      </c>
      <c r="D1440" s="3">
        <v>47277</v>
      </c>
      <c r="E1440" s="3">
        <v>51000</v>
      </c>
      <c r="F1440" s="3">
        <v>56391</v>
      </c>
      <c r="G1440" s="3">
        <v>50505</v>
      </c>
    </row>
    <row r="1441" spans="1:7" x14ac:dyDescent="0.2">
      <c r="A1441" t="s" s="0">
        <v>2556</v>
      </c>
      <c r="B1441" s="3">
        <v>1025409</v>
      </c>
      <c r="C1441" s="3">
        <v>52926</v>
      </c>
      <c r="D1441" s="3">
        <v>47277</v>
      </c>
      <c r="E1441" s="3">
        <v>51000</v>
      </c>
      <c r="F1441" s="3">
        <v>56391</v>
      </c>
      <c r="G1441" s="3">
        <v>50505</v>
      </c>
    </row>
    <row r="1442" spans="1:7" x14ac:dyDescent="0.2">
      <c r="A1442" t="s" s="0">
        <v>2555</v>
      </c>
      <c r="B1442" s="2">
        <v>1174533</v>
      </c>
      <c r="C1442" s="2">
        <v>27143</v>
      </c>
      <c r="D1442" s="2">
        <v>54686</v>
      </c>
      <c r="E1442" s="2">
        <v>51937</v>
      </c>
      <c r="F1442" s="2">
        <v>81633</v>
      </c>
      <c r="G1442" s="2">
        <v>57528</v>
      </c>
    </row>
    <row r="1443" spans="1:7" x14ac:dyDescent="0.2">
      <c r="A1443" t="s" s="0">
        <v>2554</v>
      </c>
      <c r="B1443" s="2">
        <v>1184337</v>
      </c>
      <c r="C1443" s="2">
        <v>42934</v>
      </c>
      <c r="D1443" s="2">
        <v>54316</v>
      </c>
      <c r="E1443" s="2">
        <v>52375</v>
      </c>
      <c r="F1443" s="2">
        <v>73456</v>
      </c>
      <c r="G1443" s="2">
        <v>59198</v>
      </c>
    </row>
    <row r="1444" spans="1:7" x14ac:dyDescent="0.2">
      <c r="A1444" t="s" s="0">
        <v>2553</v>
      </c>
      <c r="B1444" s="2">
        <v>1125435</v>
      </c>
      <c r="C1444" s="2">
        <v>43532</v>
      </c>
      <c r="D1444" s="2">
        <v>53032</v>
      </c>
      <c r="E1444" s="2">
        <v>52112</v>
      </c>
      <c r="F1444" s="2">
        <v>68931</v>
      </c>
      <c r="G1444" s="2">
        <v>57881</v>
      </c>
    </row>
    <row r="1445" spans="1:7" x14ac:dyDescent="0.2">
      <c r="A1445" t="s" s="0">
        <v>2552</v>
      </c>
      <c r="B1445" s="2">
        <v>1225823</v>
      </c>
      <c r="C1445" s="2">
        <v>52193</v>
      </c>
      <c r="D1445" s="2">
        <v>53583</v>
      </c>
      <c r="E1445" s="2">
        <v>51524</v>
      </c>
      <c r="F1445" s="2">
        <v>82951</v>
      </c>
      <c r="G1445" s="2">
        <v>60134</v>
      </c>
    </row>
    <row r="1446" spans="1:7" x14ac:dyDescent="0.2">
      <c r="A1446" t="s" s="0">
        <v>2551</v>
      </c>
      <c r="B1446" s="2">
        <v>1158145</v>
      </c>
      <c r="C1446" s="2">
        <v>45187</v>
      </c>
      <c r="D1446" s="2">
        <v>57477</v>
      </c>
      <c r="E1446" s="2">
        <v>51811</v>
      </c>
      <c r="F1446" s="2">
        <v>76348</v>
      </c>
      <c r="G1446" s="2">
        <v>58081</v>
      </c>
    </row>
    <row r="1447" spans="1:7" x14ac:dyDescent="0.2">
      <c r="A1447" t="s" s="0">
        <v>2550</v>
      </c>
      <c r="B1447" s="3">
        <v>1158145</v>
      </c>
      <c r="C1447" s="3">
        <v>45187</v>
      </c>
      <c r="D1447" s="3">
        <v>57477</v>
      </c>
      <c r="E1447" s="3">
        <v>51811</v>
      </c>
      <c r="F1447" s="3">
        <v>76348</v>
      </c>
      <c r="G1447" s="3">
        <v>58081</v>
      </c>
    </row>
    <row r="1448" spans="1:7" x14ac:dyDescent="0.2">
      <c r="A1448" t="s" s="0">
        <v>2549</v>
      </c>
      <c r="B1448" s="3">
        <v>1158145</v>
      </c>
      <c r="C1448" s="3">
        <v>45187</v>
      </c>
      <c r="D1448" s="3">
        <v>57477</v>
      </c>
      <c r="E1448" s="3">
        <v>51811</v>
      </c>
      <c r="F1448" s="3">
        <v>76348</v>
      </c>
      <c r="G1448" s="3">
        <v>58081</v>
      </c>
    </row>
    <row r="1449" spans="1:7" x14ac:dyDescent="0.2">
      <c r="A1449" t="s" s="0">
        <v>2548</v>
      </c>
      <c r="B1449" s="2">
        <v>1108813</v>
      </c>
      <c r="C1449" s="2">
        <v>27197</v>
      </c>
      <c r="D1449" s="2">
        <v>56977</v>
      </c>
      <c r="E1449" s="2">
        <v>53193</v>
      </c>
      <c r="F1449" s="2">
        <v>47470</v>
      </c>
      <c r="G1449" s="2">
        <v>58306</v>
      </c>
    </row>
    <row r="1450" spans="1:7" x14ac:dyDescent="0.2">
      <c r="A1450" t="s" s="0">
        <v>2547</v>
      </c>
      <c r="B1450" s="2">
        <v>1160595</v>
      </c>
      <c r="C1450" s="2">
        <v>47841</v>
      </c>
      <c r="D1450" s="2">
        <v>57108</v>
      </c>
      <c r="E1450" s="2">
        <v>53550</v>
      </c>
      <c r="F1450" s="2">
        <v>53598</v>
      </c>
      <c r="G1450" s="2">
        <v>62222</v>
      </c>
    </row>
    <row r="1451" spans="1:7" x14ac:dyDescent="0.2">
      <c r="A1451" t="s" s="0">
        <v>2546</v>
      </c>
      <c r="B1451" s="2">
        <v>1144055</v>
      </c>
      <c r="C1451" s="2">
        <v>42520</v>
      </c>
      <c r="D1451" s="2">
        <v>56031</v>
      </c>
      <c r="E1451" s="2">
        <v>53081</v>
      </c>
      <c r="F1451" s="2">
        <v>58573</v>
      </c>
      <c r="G1451" s="2">
        <v>61185</v>
      </c>
    </row>
    <row r="1452" spans="1:7" x14ac:dyDescent="0.2">
      <c r="A1452" t="s" s="0">
        <v>2545</v>
      </c>
      <c r="B1452" s="2">
        <v>1149755</v>
      </c>
      <c r="C1452" s="2">
        <v>49322</v>
      </c>
      <c r="D1452" s="2">
        <v>55621</v>
      </c>
      <c r="E1452" s="2">
        <v>53199</v>
      </c>
      <c r="F1452" s="2">
        <v>44619</v>
      </c>
      <c r="G1452" s="2">
        <v>59516</v>
      </c>
    </row>
    <row r="1453" spans="1:7" x14ac:dyDescent="0.2">
      <c r="A1453" t="s" s="0">
        <v>2544</v>
      </c>
      <c r="B1453" s="2">
        <v>1218876</v>
      </c>
      <c r="C1453" s="2">
        <v>47437</v>
      </c>
      <c r="D1453" s="2">
        <v>51170</v>
      </c>
      <c r="E1453" s="2">
        <v>53270</v>
      </c>
      <c r="F1453" s="2">
        <v>59711</v>
      </c>
      <c r="G1453" s="2">
        <v>63922</v>
      </c>
    </row>
    <row r="1454" spans="1:7" x14ac:dyDescent="0.2">
      <c r="A1454" t="s" s="0">
        <v>2543</v>
      </c>
      <c r="B1454" s="3">
        <v>1218876</v>
      </c>
      <c r="C1454" s="3">
        <v>47437</v>
      </c>
      <c r="D1454" s="3">
        <v>51170</v>
      </c>
      <c r="E1454" s="3">
        <v>53270</v>
      </c>
      <c r="F1454" s="3">
        <v>59711</v>
      </c>
      <c r="G1454" s="3">
        <v>63922</v>
      </c>
    </row>
    <row r="1455" spans="1:7" x14ac:dyDescent="0.2">
      <c r="A1455" t="s" s="0">
        <v>2542</v>
      </c>
      <c r="B1455" s="3">
        <v>1218876</v>
      </c>
      <c r="C1455" s="3">
        <v>47437</v>
      </c>
      <c r="D1455" s="3">
        <v>51170</v>
      </c>
      <c r="E1455" s="3">
        <v>53270</v>
      </c>
      <c r="F1455" s="3">
        <v>59711</v>
      </c>
      <c r="G1455" s="3">
        <v>63922</v>
      </c>
    </row>
    <row r="1456" spans="1:7" x14ac:dyDescent="0.2">
      <c r="A1456" t="s" s="0">
        <v>2541</v>
      </c>
      <c r="B1456" s="2">
        <v>1241235</v>
      </c>
      <c r="C1456" s="2">
        <v>27224</v>
      </c>
      <c r="D1456" s="2">
        <v>46512</v>
      </c>
      <c r="E1456" s="2">
        <v>52722</v>
      </c>
      <c r="F1456" s="2">
        <v>65500</v>
      </c>
      <c r="G1456" s="2">
        <v>62580</v>
      </c>
    </row>
    <row r="1457" spans="1:7" x14ac:dyDescent="0.2">
      <c r="A1457" t="s" s="0">
        <v>2540</v>
      </c>
      <c r="B1457" s="2">
        <v>1190039</v>
      </c>
      <c r="C1457" s="2">
        <v>41192</v>
      </c>
      <c r="D1457" s="2">
        <v>45562</v>
      </c>
      <c r="E1457" s="2">
        <v>53104</v>
      </c>
      <c r="F1457" s="2">
        <v>49838</v>
      </c>
      <c r="G1457" s="2">
        <v>62580</v>
      </c>
    </row>
    <row r="1458" spans="1:7" x14ac:dyDescent="0.2">
      <c r="A1458" t="s" s="0">
        <v>2539</v>
      </c>
      <c r="B1458" s="2">
        <v>1227838</v>
      </c>
      <c r="C1458" s="2">
        <v>49471</v>
      </c>
      <c r="D1458" s="2">
        <v>47985</v>
      </c>
      <c r="E1458" s="2">
        <v>53042</v>
      </c>
      <c r="F1458" s="2">
        <v>60024</v>
      </c>
      <c r="G1458" s="2">
        <v>59225</v>
      </c>
    </row>
    <row r="1459" spans="1:7" x14ac:dyDescent="0.2">
      <c r="A1459" t="s" s="0">
        <v>2538</v>
      </c>
      <c r="B1459" s="2">
        <v>1179474</v>
      </c>
      <c r="C1459" s="2">
        <v>49825</v>
      </c>
      <c r="D1459" s="2">
        <v>48057</v>
      </c>
      <c r="E1459" s="2">
        <v>52195</v>
      </c>
      <c r="F1459" s="2">
        <v>52373</v>
      </c>
      <c r="G1459" s="2">
        <v>58924</v>
      </c>
    </row>
    <row r="1460" spans="1:7" x14ac:dyDescent="0.2">
      <c r="A1460" t="s" s="0">
        <v>2537</v>
      </c>
      <c r="B1460" s="2">
        <v>1171857</v>
      </c>
      <c r="C1460" s="2">
        <v>48875</v>
      </c>
      <c r="D1460" s="2">
        <v>52036</v>
      </c>
      <c r="E1460" s="2">
        <v>51990</v>
      </c>
      <c r="F1460" s="2">
        <v>45364</v>
      </c>
      <c r="G1460" s="2">
        <v>59453</v>
      </c>
    </row>
    <row r="1461" spans="1:7" x14ac:dyDescent="0.2">
      <c r="A1461" t="s" s="0">
        <v>2536</v>
      </c>
      <c r="B1461" s="3">
        <v>1171857</v>
      </c>
      <c r="C1461" s="3">
        <v>48875</v>
      </c>
      <c r="D1461" s="3">
        <v>52036</v>
      </c>
      <c r="E1461" s="3">
        <v>51990</v>
      </c>
      <c r="F1461" s="3">
        <v>45364</v>
      </c>
      <c r="G1461" s="3">
        <v>59453</v>
      </c>
    </row>
    <row r="1462" spans="1:7" x14ac:dyDescent="0.2">
      <c r="A1462" t="s" s="0">
        <v>2535</v>
      </c>
      <c r="B1462" s="3">
        <v>1171857</v>
      </c>
      <c r="C1462" s="3">
        <v>48875</v>
      </c>
      <c r="D1462" s="3">
        <v>52036</v>
      </c>
      <c r="E1462" s="3">
        <v>51990</v>
      </c>
      <c r="F1462" s="3">
        <v>45364</v>
      </c>
      <c r="G1462" s="3">
        <v>59453</v>
      </c>
    </row>
    <row r="1463" spans="1:7" x14ac:dyDescent="0.2">
      <c r="A1463" t="s" s="0">
        <v>2534</v>
      </c>
      <c r="B1463" s="2">
        <v>1159720</v>
      </c>
      <c r="C1463" s="2">
        <v>28841</v>
      </c>
      <c r="D1463" s="2">
        <v>51267</v>
      </c>
      <c r="E1463" s="2">
        <v>52360</v>
      </c>
      <c r="F1463" s="2">
        <v>39523</v>
      </c>
      <c r="G1463" s="2">
        <v>58532</v>
      </c>
    </row>
    <row r="1464" spans="1:7" x14ac:dyDescent="0.2">
      <c r="A1464" t="s" s="0">
        <v>2533</v>
      </c>
      <c r="B1464" s="2">
        <v>1166087</v>
      </c>
      <c r="C1464" s="2">
        <v>44610</v>
      </c>
      <c r="D1464" s="2">
        <v>50326</v>
      </c>
      <c r="E1464" s="2">
        <v>51828</v>
      </c>
      <c r="F1464" s="2">
        <v>46805</v>
      </c>
      <c r="G1464" s="2">
        <v>55924</v>
      </c>
    </row>
    <row r="1465" spans="1:7" x14ac:dyDescent="0.2">
      <c r="A1465" t="s" s="0">
        <v>2532</v>
      </c>
      <c r="B1465" s="2">
        <v>1063407</v>
      </c>
      <c r="C1465" s="2">
        <v>62793</v>
      </c>
      <c r="D1465" s="2">
        <v>56497</v>
      </c>
      <c r="E1465" s="2">
        <v>53386</v>
      </c>
      <c r="F1465" s="2">
        <v>32908</v>
      </c>
      <c r="G1465" s="2">
        <v>55109</v>
      </c>
    </row>
    <row r="1466" spans="1:7" x14ac:dyDescent="0.2">
      <c r="A1466" t="s" s="0">
        <v>2531</v>
      </c>
      <c r="B1466" s="2">
        <v>1024676</v>
      </c>
      <c r="C1466" s="2">
        <v>38731</v>
      </c>
      <c r="D1466" s="2">
        <v>54912</v>
      </c>
      <c r="E1466" s="2">
        <v>53043</v>
      </c>
      <c r="F1466" s="2">
        <v>32699</v>
      </c>
      <c r="G1466" s="2">
        <v>53160</v>
      </c>
    </row>
    <row r="1467" spans="1:7" x14ac:dyDescent="0.2">
      <c r="A1467" t="s" s="0">
        <v>2530</v>
      </c>
      <c r="B1467" s="2">
        <v>1070427</v>
      </c>
      <c r="C1467" s="2">
        <v>55640</v>
      </c>
      <c r="D1467" s="2">
        <v>51592</v>
      </c>
      <c r="E1467" s="2">
        <v>53069</v>
      </c>
      <c r="F1467" s="2">
        <v>36953</v>
      </c>
      <c r="G1467" s="2">
        <v>54594</v>
      </c>
    </row>
    <row r="1468" spans="1:7" x14ac:dyDescent="0.2">
      <c r="A1468" t="s" s="0">
        <v>2529</v>
      </c>
      <c r="B1468" s="3">
        <v>1070427</v>
      </c>
      <c r="C1468" s="3">
        <v>55640</v>
      </c>
      <c r="D1468" s="3">
        <v>51592</v>
      </c>
      <c r="E1468" s="3">
        <v>53069</v>
      </c>
      <c r="F1468" s="3">
        <v>36953</v>
      </c>
      <c r="G1468" s="3">
        <v>54594</v>
      </c>
    </row>
    <row r="1469" spans="1:7" x14ac:dyDescent="0.2">
      <c r="A1469" t="s" s="0">
        <v>2528</v>
      </c>
      <c r="B1469" s="3">
        <v>1070427</v>
      </c>
      <c r="C1469" s="3">
        <v>55640</v>
      </c>
      <c r="D1469" s="3">
        <v>51592</v>
      </c>
      <c r="E1469" s="3">
        <v>53069</v>
      </c>
      <c r="F1469" s="3">
        <v>36953</v>
      </c>
      <c r="G1469" s="3">
        <v>54594</v>
      </c>
    </row>
    <row r="1470" spans="1:7" x14ac:dyDescent="0.2">
      <c r="A1470" t="s" s="0">
        <v>2527</v>
      </c>
      <c r="B1470" s="2">
        <v>1032170</v>
      </c>
      <c r="C1470" s="2">
        <v>28639</v>
      </c>
      <c r="D1470" s="2">
        <v>55418</v>
      </c>
      <c r="E1470" s="2">
        <v>52543</v>
      </c>
      <c r="F1470" s="2">
        <v>37121</v>
      </c>
      <c r="G1470" s="2">
        <v>47404</v>
      </c>
    </row>
    <row r="1471" spans="1:7" x14ac:dyDescent="0.2">
      <c r="A1471" t="s" s="0">
        <v>2526</v>
      </c>
      <c r="B1471" s="2">
        <v>1025575</v>
      </c>
      <c r="C1471" s="2">
        <v>52697</v>
      </c>
      <c r="D1471" s="2">
        <v>56573</v>
      </c>
      <c r="E1471" s="2">
        <v>52392</v>
      </c>
      <c r="F1471" s="2">
        <v>36425</v>
      </c>
      <c r="G1471" s="2">
        <v>46667</v>
      </c>
    </row>
    <row r="1472" spans="1:7" x14ac:dyDescent="0.2">
      <c r="A1472" t="s" s="0">
        <v>2525</v>
      </c>
      <c r="B1472" s="2">
        <v>1014724</v>
      </c>
      <c r="C1472" s="2">
        <v>50851</v>
      </c>
      <c r="D1472" s="2">
        <v>50597</v>
      </c>
      <c r="E1472" s="2">
        <v>52778</v>
      </c>
      <c r="F1472" s="2">
        <v>43567</v>
      </c>
      <c r="G1472" s="2">
        <v>48768</v>
      </c>
    </row>
    <row r="1473" spans="1:7" x14ac:dyDescent="0.2">
      <c r="A1473" t="s" s="0">
        <v>2524</v>
      </c>
      <c r="B1473" s="2">
        <v>962785</v>
      </c>
      <c r="C1473" s="2">
        <v>46058</v>
      </c>
      <c r="D1473" s="2">
        <v>51644</v>
      </c>
      <c r="E1473" s="2">
        <v>52558</v>
      </c>
      <c r="F1473" s="2">
        <v>42727</v>
      </c>
      <c r="G1473" s="2">
        <v>43104</v>
      </c>
    </row>
    <row r="1474" spans="1:7" x14ac:dyDescent="0.2">
      <c r="A1474" t="s" s="0">
        <v>2523</v>
      </c>
      <c r="B1474" s="2">
        <v>1026595</v>
      </c>
      <c r="C1474" s="2">
        <v>51103</v>
      </c>
      <c r="D1474" s="2">
        <v>51273</v>
      </c>
      <c r="E1474" s="2">
        <v>51518</v>
      </c>
      <c r="F1474" s="2">
        <v>45024</v>
      </c>
      <c r="G1474" s="2">
        <v>46763</v>
      </c>
    </row>
    <row r="1475" spans="1:7" x14ac:dyDescent="0.2">
      <c r="A1475" t="s" s="0">
        <v>2522</v>
      </c>
      <c r="B1475" s="3">
        <v>1026595</v>
      </c>
      <c r="C1475" s="3">
        <v>51103</v>
      </c>
      <c r="D1475" s="3">
        <v>51273</v>
      </c>
      <c r="E1475" s="3">
        <v>51518</v>
      </c>
      <c r="F1475" s="3">
        <v>45024</v>
      </c>
      <c r="G1475" s="3">
        <v>46763</v>
      </c>
    </row>
    <row r="1476" spans="1:7" x14ac:dyDescent="0.2">
      <c r="A1476" t="s" s="0">
        <v>2521</v>
      </c>
      <c r="B1476" s="3">
        <v>1026595</v>
      </c>
      <c r="C1476" s="3">
        <v>51103</v>
      </c>
      <c r="D1476" s="3">
        <v>51273</v>
      </c>
      <c r="E1476" s="3">
        <v>51518</v>
      </c>
      <c r="F1476" s="3">
        <v>45024</v>
      </c>
      <c r="G1476" s="3">
        <v>46763</v>
      </c>
    </row>
    <row r="1477" spans="1:7" x14ac:dyDescent="0.2">
      <c r="A1477" t="s" s="0">
        <v>2520</v>
      </c>
      <c r="B1477" s="2">
        <v>986158</v>
      </c>
      <c r="C1477" s="2">
        <v>28667</v>
      </c>
      <c r="D1477" s="2">
        <v>47946</v>
      </c>
      <c r="E1477" s="2">
        <v>50286</v>
      </c>
      <c r="F1477" s="2">
        <v>41385</v>
      </c>
      <c r="G1477" s="2">
        <v>45882</v>
      </c>
    </row>
    <row r="1478" spans="1:7" x14ac:dyDescent="0.2">
      <c r="A1478" t="s" s="0">
        <v>2519</v>
      </c>
      <c r="B1478" s="2">
        <v>1072326</v>
      </c>
      <c r="C1478" s="2">
        <v>42517</v>
      </c>
      <c r="D1478" s="2">
        <v>47491</v>
      </c>
      <c r="E1478" s="2">
        <v>49988</v>
      </c>
      <c r="F1478" s="2">
        <v>54182</v>
      </c>
      <c r="G1478" s="2">
        <v>46813</v>
      </c>
    </row>
    <row r="1479" spans="1:7" x14ac:dyDescent="0.2">
      <c r="A1479" t="s" s="0">
        <v>2518</v>
      </c>
      <c r="B1479" s="2">
        <v>938733</v>
      </c>
      <c r="C1479" s="2">
        <v>53886</v>
      </c>
      <c r="D1479" s="2">
        <v>57883</v>
      </c>
      <c r="E1479" s="2">
        <v>53240</v>
      </c>
      <c r="F1479" s="2">
        <v>47040</v>
      </c>
      <c r="G1479" s="2">
        <v>45885</v>
      </c>
    </row>
    <row r="1480" spans="1:7" x14ac:dyDescent="0.2">
      <c r="A1480" t="s" s="0">
        <v>2517</v>
      </c>
      <c r="B1480" s="2">
        <v>917545</v>
      </c>
      <c r="C1480" s="2">
        <v>45915</v>
      </c>
      <c r="D1480" s="2">
        <v>59213</v>
      </c>
      <c r="E1480" s="2">
        <v>53456</v>
      </c>
      <c r="F1480" s="2">
        <v>52762</v>
      </c>
      <c r="G1480" s="2">
        <v>45140</v>
      </c>
    </row>
    <row r="1481" spans="1:7" x14ac:dyDescent="0.2">
      <c r="A1481" t="s" s="0">
        <v>2516</v>
      </c>
      <c r="B1481" s="2">
        <v>1156259</v>
      </c>
      <c r="C1481" s="2">
        <v>45001</v>
      </c>
      <c r="D1481" s="2">
        <v>58427</v>
      </c>
      <c r="E1481" s="2">
        <v>53332</v>
      </c>
      <c r="F1481" s="2">
        <v>76938</v>
      </c>
      <c r="G1481" s="2">
        <v>51070</v>
      </c>
    </row>
    <row r="1482" spans="1:7" x14ac:dyDescent="0.2">
      <c r="A1482" t="s" s="0">
        <v>2515</v>
      </c>
      <c r="B1482" s="3">
        <v>1156259</v>
      </c>
      <c r="C1482" s="3">
        <v>45001</v>
      </c>
      <c r="D1482" s="3">
        <v>58427</v>
      </c>
      <c r="E1482" s="3">
        <v>53332</v>
      </c>
      <c r="F1482" s="3">
        <v>76938</v>
      </c>
      <c r="G1482" s="3">
        <v>51070</v>
      </c>
    </row>
    <row r="1483" spans="1:7" x14ac:dyDescent="0.2">
      <c r="A1483" t="s" s="0">
        <v>2514</v>
      </c>
      <c r="B1483" s="3">
        <v>1156259</v>
      </c>
      <c r="C1483" s="3">
        <v>45001</v>
      </c>
      <c r="D1483" s="3">
        <v>58427</v>
      </c>
      <c r="E1483" s="3">
        <v>53332</v>
      </c>
      <c r="F1483" s="3">
        <v>76938</v>
      </c>
      <c r="G1483" s="3">
        <v>51070</v>
      </c>
    </row>
    <row r="1484" spans="1:7" x14ac:dyDescent="0.2">
      <c r="A1484" t="s" s="0">
        <v>2513</v>
      </c>
      <c r="B1484" s="2">
        <v>1125550</v>
      </c>
      <c r="C1484" s="2">
        <v>27202</v>
      </c>
      <c r="D1484" s="2">
        <v>56760</v>
      </c>
      <c r="E1484" s="2">
        <v>52848</v>
      </c>
      <c r="F1484" s="2">
        <v>76660</v>
      </c>
      <c r="G1484" s="2">
        <v>48672</v>
      </c>
    </row>
    <row r="1485" spans="1:7" x14ac:dyDescent="0.2">
      <c r="A1485" t="s" s="0">
        <v>2512</v>
      </c>
      <c r="B1485" s="2">
        <v>1152176</v>
      </c>
      <c r="C1485" s="2">
        <v>40760</v>
      </c>
      <c r="D1485" s="2">
        <v>63363</v>
      </c>
      <c r="E1485" s="2">
        <v>54438</v>
      </c>
      <c r="F1485" s="2">
        <v>74758</v>
      </c>
      <c r="G1485" s="2">
        <v>53042</v>
      </c>
    </row>
    <row r="1486" spans="1:7" x14ac:dyDescent="0.2">
      <c r="A1486" t="s" s="0">
        <v>2511</v>
      </c>
      <c r="B1486" s="2">
        <v>1165943</v>
      </c>
      <c r="C1486" s="2">
        <v>46233</v>
      </c>
      <c r="D1486" s="2">
        <v>50883</v>
      </c>
      <c r="E1486" s="2">
        <v>53965</v>
      </c>
      <c r="F1486" s="2">
        <v>83329</v>
      </c>
      <c r="G1486" s="2">
        <v>51711</v>
      </c>
    </row>
    <row r="1487" spans="1:7" x14ac:dyDescent="0.2">
      <c r="A1487" t="s" s="0">
        <v>2510</v>
      </c>
      <c r="B1487" s="2">
        <v>1117095</v>
      </c>
      <c r="C1487" s="2">
        <v>48821</v>
      </c>
      <c r="D1487" s="2">
        <v>49948</v>
      </c>
      <c r="E1487" s="2">
        <v>53929</v>
      </c>
      <c r="F1487" s="2">
        <v>78443</v>
      </c>
      <c r="G1487" s="2">
        <v>51658</v>
      </c>
    </row>
    <row r="1488" spans="1:7" x14ac:dyDescent="0.2">
      <c r="A1488" t="s" s="0">
        <v>2509</v>
      </c>
      <c r="B1488" s="2">
        <v>1095725</v>
      </c>
      <c r="C1488" s="2">
        <v>51945</v>
      </c>
      <c r="D1488" s="2">
        <v>50148</v>
      </c>
      <c r="E1488" s="2">
        <v>52860</v>
      </c>
      <c r="F1488" s="2">
        <v>41397</v>
      </c>
      <c r="G1488" s="2">
        <v>50078</v>
      </c>
    </row>
    <row r="1489" spans="1:7" x14ac:dyDescent="0.2">
      <c r="A1489" t="s" s="0">
        <v>2508</v>
      </c>
      <c r="B1489" s="3">
        <v>1095725</v>
      </c>
      <c r="C1489" s="3">
        <v>51945</v>
      </c>
      <c r="D1489" s="3">
        <v>50148</v>
      </c>
      <c r="E1489" s="3">
        <v>52860</v>
      </c>
      <c r="F1489" s="3">
        <v>41397</v>
      </c>
      <c r="G1489" s="3">
        <v>50078</v>
      </c>
    </row>
    <row r="1490" spans="1:7" x14ac:dyDescent="0.2">
      <c r="A1490" t="s" s="0">
        <v>2507</v>
      </c>
      <c r="B1490" s="3">
        <v>1095725</v>
      </c>
      <c r="C1490" s="3">
        <v>51945</v>
      </c>
      <c r="D1490" s="3">
        <v>50148</v>
      </c>
      <c r="E1490" s="3">
        <v>52860</v>
      </c>
      <c r="F1490" s="3">
        <v>41397</v>
      </c>
      <c r="G1490" s="3">
        <v>50078</v>
      </c>
    </row>
    <row r="1491" spans="1:7" x14ac:dyDescent="0.2">
      <c r="A1491" t="s" s="0">
        <v>2506</v>
      </c>
      <c r="B1491" s="2">
        <v>1105834</v>
      </c>
      <c r="C1491" s="2">
        <v>26575</v>
      </c>
      <c r="D1491" s="2">
        <v>57494</v>
      </c>
      <c r="E1491" s="2">
        <v>54404</v>
      </c>
      <c r="F1491" s="2">
        <v>54575</v>
      </c>
      <c r="G1491" s="2">
        <v>52435</v>
      </c>
    </row>
    <row r="1492" spans="1:7" x14ac:dyDescent="0.2">
      <c r="A1492" t="s" s="0">
        <v>2505</v>
      </c>
      <c r="B1492" s="2">
        <v>1153008</v>
      </c>
      <c r="C1492" s="2">
        <v>46659</v>
      </c>
      <c r="D1492" s="2">
        <v>52626</v>
      </c>
      <c r="E1492" s="2">
        <v>55013</v>
      </c>
      <c r="F1492" s="2">
        <v>51916</v>
      </c>
      <c r="G1492" s="2">
        <v>54320</v>
      </c>
    </row>
    <row r="1493" spans="1:7" x14ac:dyDescent="0.2">
      <c r="A1493" t="s" s="0">
        <v>2504</v>
      </c>
      <c r="B1493" s="2">
        <v>1083639</v>
      </c>
      <c r="C1493" s="2">
        <v>46294</v>
      </c>
      <c r="D1493" s="2">
        <v>55923</v>
      </c>
      <c r="E1493" s="2">
        <v>53822</v>
      </c>
      <c r="F1493" s="2">
        <v>43375</v>
      </c>
      <c r="G1493" s="2">
        <v>54328</v>
      </c>
    </row>
    <row r="1494" spans="1:7" x14ac:dyDescent="0.2">
      <c r="A1494" t="s" s="0">
        <v>2503</v>
      </c>
      <c r="B1494" s="2">
        <v>1061844</v>
      </c>
      <c r="C1494" s="2">
        <v>44028</v>
      </c>
      <c r="D1494" s="2">
        <v>55952</v>
      </c>
      <c r="E1494" s="2">
        <v>54189</v>
      </c>
      <c r="F1494" s="2">
        <v>47269</v>
      </c>
      <c r="G1494" s="2">
        <v>55300</v>
      </c>
    </row>
    <row r="1495" spans="1:7" x14ac:dyDescent="0.2">
      <c r="A1495" t="s" s="0">
        <v>2502</v>
      </c>
      <c r="B1495" s="2">
        <v>1058645</v>
      </c>
      <c r="C1495" s="2">
        <v>53006</v>
      </c>
      <c r="D1495" s="2">
        <v>56104</v>
      </c>
      <c r="E1495" s="2">
        <v>53988</v>
      </c>
      <c r="F1495" s="2">
        <v>50078</v>
      </c>
      <c r="G1495" s="2">
        <v>53359</v>
      </c>
    </row>
    <row r="1496" spans="1:7" x14ac:dyDescent="0.2">
      <c r="A1496" t="s" s="0">
        <v>2501</v>
      </c>
      <c r="B1496" s="3">
        <v>1058645</v>
      </c>
      <c r="C1496" s="3">
        <v>53006</v>
      </c>
      <c r="D1496" s="3">
        <v>56104</v>
      </c>
      <c r="E1496" s="3">
        <v>53988</v>
      </c>
      <c r="F1496" s="3">
        <v>50078</v>
      </c>
      <c r="G1496" s="3">
        <v>53359</v>
      </c>
    </row>
    <row r="1497" spans="1:7" x14ac:dyDescent="0.2">
      <c r="A1497" t="s" s="0">
        <v>2500</v>
      </c>
      <c r="B1497" s="3">
        <v>1058645</v>
      </c>
      <c r="C1497" s="3">
        <v>53006</v>
      </c>
      <c r="D1497" s="3">
        <v>56104</v>
      </c>
      <c r="E1497" s="3">
        <v>53988</v>
      </c>
      <c r="F1497" s="3">
        <v>50078</v>
      </c>
      <c r="G1497" s="3">
        <v>53359</v>
      </c>
    </row>
    <row r="1498" spans="1:7" x14ac:dyDescent="0.2">
      <c r="A1498" t="s" s="0">
        <v>2499</v>
      </c>
      <c r="B1498" s="2">
        <v>1061339</v>
      </c>
      <c r="C1498" s="2">
        <v>28635</v>
      </c>
      <c r="D1498" s="2">
        <v>49155</v>
      </c>
      <c r="E1498" s="2">
        <v>52839</v>
      </c>
      <c r="F1498" s="2">
        <v>42070</v>
      </c>
      <c r="G1498" s="2">
        <v>53673</v>
      </c>
    </row>
    <row r="1499" spans="1:7" x14ac:dyDescent="0.2">
      <c r="A1499" t="s" s="0">
        <v>2498</v>
      </c>
      <c r="B1499" s="2">
        <v>1051584</v>
      </c>
      <c r="C1499" s="2">
        <v>43439</v>
      </c>
      <c r="D1499" s="2">
        <v>48695</v>
      </c>
      <c r="E1499" s="2">
        <v>53044</v>
      </c>
      <c r="F1499" s="2">
        <v>34203</v>
      </c>
      <c r="G1499" s="2">
        <v>53765</v>
      </c>
    </row>
    <row r="1500" spans="1:7" x14ac:dyDescent="0.2">
      <c r="A1500" t="s" s="0">
        <v>2497</v>
      </c>
      <c r="B1500" s="2">
        <v>1040998</v>
      </c>
      <c r="C1500" s="2">
        <v>53035</v>
      </c>
      <c r="D1500" s="2">
        <v>47090</v>
      </c>
      <c r="E1500" s="2">
        <v>52945</v>
      </c>
      <c r="F1500" s="2">
        <v>40957</v>
      </c>
      <c r="G1500" s="2">
        <v>53675</v>
      </c>
    </row>
    <row r="1501" spans="1:7" x14ac:dyDescent="0.2">
      <c r="A1501" t="s" s="0">
        <v>2496</v>
      </c>
      <c r="B1501" s="2">
        <v>993856</v>
      </c>
      <c r="C1501" s="2">
        <v>42326</v>
      </c>
      <c r="D1501" s="2">
        <v>46821</v>
      </c>
      <c r="E1501" s="2">
        <v>52984</v>
      </c>
      <c r="F1501" s="2">
        <v>37067</v>
      </c>
      <c r="G1501" s="2">
        <v>53885</v>
      </c>
    </row>
    <row r="1502" spans="1:7" x14ac:dyDescent="0.2">
      <c r="A1502" t="s" s="0">
        <v>2495</v>
      </c>
      <c r="B1502" s="2">
        <v>1002138</v>
      </c>
      <c r="C1502" s="2">
        <v>50953</v>
      </c>
      <c r="D1502" s="2">
        <v>47242</v>
      </c>
      <c r="E1502" s="2">
        <v>52980</v>
      </c>
      <c r="F1502" s="2">
        <v>39135</v>
      </c>
      <c r="G1502" s="2">
        <v>51887</v>
      </c>
    </row>
    <row r="1503" spans="1:7" x14ac:dyDescent="0.2">
      <c r="A1503" t="s" s="0">
        <v>2494</v>
      </c>
      <c r="B1503" s="3">
        <v>1002138</v>
      </c>
      <c r="C1503" s="3">
        <v>50953</v>
      </c>
      <c r="D1503" s="3">
        <v>47242</v>
      </c>
      <c r="E1503" s="3">
        <v>52980</v>
      </c>
      <c r="F1503" s="3">
        <v>39135</v>
      </c>
      <c r="G1503" s="3">
        <v>51887</v>
      </c>
    </row>
    <row r="1504" spans="1:7" x14ac:dyDescent="0.2">
      <c r="A1504" t="s" s="0">
        <v>2493</v>
      </c>
      <c r="B1504" s="3">
        <v>1002138</v>
      </c>
      <c r="C1504" s="3">
        <v>50953</v>
      </c>
      <c r="D1504" s="3">
        <v>47242</v>
      </c>
      <c r="E1504" s="3">
        <v>52980</v>
      </c>
      <c r="F1504" s="3">
        <v>39135</v>
      </c>
      <c r="G1504" s="3">
        <v>51887</v>
      </c>
    </row>
    <row r="1505" spans="1:7" x14ac:dyDescent="0.2">
      <c r="A1505" t="s" s="0">
        <v>2492</v>
      </c>
      <c r="B1505" s="2">
        <v>956212</v>
      </c>
      <c r="C1505" s="2">
        <v>26877</v>
      </c>
      <c r="D1505" s="2">
        <v>48422</v>
      </c>
      <c r="E1505" s="2">
        <v>52958</v>
      </c>
      <c r="F1505" s="2">
        <v>33370</v>
      </c>
      <c r="G1505" s="2">
        <v>51669</v>
      </c>
    </row>
    <row r="1506" spans="1:7" x14ac:dyDescent="0.2">
      <c r="A1506" t="s" s="0">
        <v>2491</v>
      </c>
      <c r="B1506" s="2">
        <v>922548</v>
      </c>
      <c r="C1506" s="2">
        <v>43831</v>
      </c>
      <c r="D1506" s="2">
        <v>47774</v>
      </c>
      <c r="E1506" s="2">
        <v>53115</v>
      </c>
      <c r="F1506" s="2">
        <v>29306</v>
      </c>
      <c r="G1506" s="2">
        <v>47546</v>
      </c>
    </row>
    <row r="1507" spans="1:7" x14ac:dyDescent="0.2">
      <c r="A1507" t="s" s="0">
        <v>2490</v>
      </c>
      <c r="B1507" s="2">
        <v>843498</v>
      </c>
      <c r="C1507" s="2">
        <v>53920</v>
      </c>
      <c r="D1507" s="2">
        <v>50770</v>
      </c>
      <c r="E1507" s="2">
        <v>51167</v>
      </c>
      <c r="F1507" s="2">
        <v>22521</v>
      </c>
      <c r="G1507" s="2">
        <v>47546</v>
      </c>
    </row>
    <row r="1508" spans="1:7" x14ac:dyDescent="0.2">
      <c r="A1508" t="s" s="0">
        <v>2489</v>
      </c>
      <c r="B1508" s="2">
        <v>857130</v>
      </c>
      <c r="C1508" s="2">
        <v>40897</v>
      </c>
      <c r="D1508" s="2">
        <v>49878</v>
      </c>
      <c r="E1508" s="2">
        <v>50650</v>
      </c>
      <c r="F1508" s="2">
        <v>30311</v>
      </c>
      <c r="G1508" s="2">
        <v>48272</v>
      </c>
    </row>
    <row r="1509" spans="1:7" x14ac:dyDescent="0.2">
      <c r="A1509" t="s" s="0">
        <v>2488</v>
      </c>
      <c r="B1509" s="2">
        <v>933950</v>
      </c>
      <c r="C1509" s="2">
        <v>46997</v>
      </c>
      <c r="D1509" s="2">
        <v>48599</v>
      </c>
      <c r="E1509" s="2">
        <v>50523</v>
      </c>
      <c r="F1509" s="2">
        <v>38859</v>
      </c>
      <c r="G1509" s="2">
        <v>42367</v>
      </c>
    </row>
    <row r="1510" spans="1:7" x14ac:dyDescent="0.2">
      <c r="A1510" t="s" s="0">
        <v>2487</v>
      </c>
      <c r="B1510" s="3">
        <v>933950</v>
      </c>
      <c r="C1510" s="3">
        <v>46997</v>
      </c>
      <c r="D1510" s="3">
        <v>48599</v>
      </c>
      <c r="E1510" s="3">
        <v>50523</v>
      </c>
      <c r="F1510" s="3">
        <v>38859</v>
      </c>
      <c r="G1510" s="3">
        <v>42367</v>
      </c>
    </row>
    <row r="1511" spans="1:7" x14ac:dyDescent="0.2">
      <c r="A1511" t="s" s="0">
        <v>2486</v>
      </c>
      <c r="B1511" s="3">
        <v>933950</v>
      </c>
      <c r="C1511" s="3">
        <v>46997</v>
      </c>
      <c r="D1511" s="3">
        <v>48599</v>
      </c>
      <c r="E1511" s="3">
        <v>50523</v>
      </c>
      <c r="F1511" s="3">
        <v>38859</v>
      </c>
      <c r="G1511" s="3">
        <v>42367</v>
      </c>
    </row>
    <row r="1512" spans="1:7" x14ac:dyDescent="0.2">
      <c r="A1512" t="s" s="0">
        <v>2485</v>
      </c>
      <c r="B1512" s="2">
        <v>942922</v>
      </c>
      <c r="C1512" s="2">
        <v>25579</v>
      </c>
      <c r="D1512" s="2">
        <v>46750</v>
      </c>
      <c r="E1512" s="2">
        <v>50455</v>
      </c>
      <c r="F1512" s="2">
        <v>44853</v>
      </c>
      <c r="G1512" s="2">
        <v>43717</v>
      </c>
    </row>
    <row r="1513" spans="1:7" x14ac:dyDescent="0.2">
      <c r="A1513" t="s" s="0">
        <v>2484</v>
      </c>
      <c r="B1513" s="2">
        <v>915814</v>
      </c>
      <c r="C1513" s="2">
        <v>45874</v>
      </c>
      <c r="D1513" s="2">
        <v>45603</v>
      </c>
      <c r="E1513" s="2">
        <v>48675</v>
      </c>
      <c r="F1513" s="2">
        <v>44643</v>
      </c>
      <c r="G1513" s="2">
        <v>40017</v>
      </c>
    </row>
    <row r="1514" spans="1:7" x14ac:dyDescent="0.2">
      <c r="A1514" t="s" s="0">
        <v>2483</v>
      </c>
      <c r="B1514" s="2">
        <v>931867</v>
      </c>
      <c r="C1514" s="2">
        <v>42715</v>
      </c>
      <c r="D1514" s="2">
        <v>41140</v>
      </c>
      <c r="E1514" s="2">
        <v>48731</v>
      </c>
      <c r="F1514" s="2">
        <v>53765</v>
      </c>
      <c r="G1514" s="2">
        <v>40155</v>
      </c>
    </row>
    <row r="1515" spans="1:7" x14ac:dyDescent="0.2">
      <c r="A1515" t="s" s="0">
        <v>2482</v>
      </c>
      <c r="B1515" s="2">
        <v>927475</v>
      </c>
      <c r="C1515" s="2">
        <v>49382</v>
      </c>
      <c r="D1515" s="2">
        <v>42352</v>
      </c>
      <c r="E1515" s="2">
        <v>48751</v>
      </c>
      <c r="F1515" s="2">
        <v>52402</v>
      </c>
      <c r="G1515" s="2">
        <v>41762</v>
      </c>
    </row>
    <row r="1516" spans="1:7" x14ac:dyDescent="0.2">
      <c r="A1516" t="s" s="0">
        <v>2481</v>
      </c>
      <c r="B1516" s="2">
        <v>933994</v>
      </c>
      <c r="C1516" s="2">
        <v>40998</v>
      </c>
      <c r="D1516" s="2">
        <v>41495</v>
      </c>
      <c r="E1516" s="2">
        <v>48360</v>
      </c>
      <c r="F1516" s="2">
        <v>41230</v>
      </c>
      <c r="G1516" s="2">
        <v>42326</v>
      </c>
    </row>
    <row r="1517" spans="1:7" x14ac:dyDescent="0.2">
      <c r="A1517" t="s" s="0">
        <v>2480</v>
      </c>
      <c r="B1517" s="3">
        <v>933994</v>
      </c>
      <c r="C1517" s="3">
        <v>40998</v>
      </c>
      <c r="D1517" s="3">
        <v>41495</v>
      </c>
      <c r="E1517" s="3">
        <v>48360</v>
      </c>
      <c r="F1517" s="3">
        <v>41230</v>
      </c>
      <c r="G1517" s="3">
        <v>42326</v>
      </c>
    </row>
    <row r="1518" spans="1:7" x14ac:dyDescent="0.2">
      <c r="A1518" t="s" s="0">
        <v>2479</v>
      </c>
      <c r="B1518" s="3">
        <v>933994</v>
      </c>
      <c r="C1518" s="3">
        <v>40998</v>
      </c>
      <c r="D1518" s="3">
        <v>41495</v>
      </c>
      <c r="E1518" s="3">
        <v>48360</v>
      </c>
      <c r="F1518" s="3">
        <v>41230</v>
      </c>
      <c r="G1518" s="3">
        <v>42326</v>
      </c>
    </row>
    <row r="1519" spans="1:7" x14ac:dyDescent="0.2">
      <c r="A1519" t="s" s="0">
        <v>2478</v>
      </c>
      <c r="B1519" s="2">
        <v>1035136</v>
      </c>
      <c r="C1519" s="2">
        <v>23459</v>
      </c>
      <c r="D1519" s="2">
        <v>45837</v>
      </c>
      <c r="E1519" s="2">
        <v>47541</v>
      </c>
      <c r="F1519" s="2">
        <v>58739</v>
      </c>
      <c r="G1519" s="2">
        <v>44758</v>
      </c>
    </row>
    <row r="1520" spans="1:7" x14ac:dyDescent="0.2">
      <c r="A1520" t="s" s="0">
        <v>2477</v>
      </c>
      <c r="B1520" s="2">
        <v>1163930</v>
      </c>
      <c r="C1520" s="2">
        <v>41543</v>
      </c>
      <c r="D1520" s="2">
        <v>49508</v>
      </c>
      <c r="E1520" s="2">
        <v>47895</v>
      </c>
      <c r="F1520" s="2">
        <v>84682</v>
      </c>
      <c r="G1520" s="2">
        <v>48208</v>
      </c>
    </row>
    <row r="1521" spans="1:7" x14ac:dyDescent="0.2">
      <c r="A1521" t="s" s="0">
        <v>2476</v>
      </c>
      <c r="B1521" s="2">
        <v>1164433</v>
      </c>
      <c r="C1521" s="2">
        <v>43603</v>
      </c>
      <c r="D1521" s="2">
        <v>48907</v>
      </c>
      <c r="E1521" s="2">
        <v>46977</v>
      </c>
      <c r="F1521" s="2">
        <v>81860</v>
      </c>
      <c r="G1521" s="2">
        <v>49776</v>
      </c>
    </row>
    <row r="1522" spans="1:7" x14ac:dyDescent="0.2">
      <c r="A1522" t="s" s="0">
        <v>2475</v>
      </c>
      <c r="B1522" s="2">
        <v>1128569</v>
      </c>
      <c r="C1522" s="2">
        <v>45857</v>
      </c>
      <c r="D1522" s="2">
        <v>49814</v>
      </c>
      <c r="E1522" s="2">
        <v>47216</v>
      </c>
      <c r="F1522" s="2">
        <v>78271</v>
      </c>
      <c r="G1522" s="2">
        <v>49513</v>
      </c>
    </row>
    <row r="1523" spans="1:7" x14ac:dyDescent="0.2">
      <c r="A1523" t="s" s="0">
        <v>2474</v>
      </c>
      <c r="B1523" s="2">
        <v>1077296</v>
      </c>
      <c r="C1523" s="2">
        <v>43187</v>
      </c>
      <c r="D1523" s="2">
        <v>50127</v>
      </c>
      <c r="E1523" s="2">
        <v>46866</v>
      </c>
      <c r="F1523" s="2">
        <v>70537</v>
      </c>
      <c r="G1523" s="2">
        <v>47440</v>
      </c>
    </row>
    <row r="1524" spans="1:7" x14ac:dyDescent="0.2">
      <c r="A1524" t="s" s="0">
        <v>2473</v>
      </c>
      <c r="B1524" s="3">
        <v>1077296</v>
      </c>
      <c r="C1524" s="3">
        <v>43187</v>
      </c>
      <c r="D1524" s="3">
        <v>50127</v>
      </c>
      <c r="E1524" s="3">
        <v>46866</v>
      </c>
      <c r="F1524" s="3">
        <v>70537</v>
      </c>
      <c r="G1524" s="3">
        <v>47440</v>
      </c>
    </row>
    <row r="1525" spans="1:7" x14ac:dyDescent="0.2">
      <c r="A1525" t="s" s="0">
        <v>2472</v>
      </c>
      <c r="B1525" s="3">
        <v>1077296</v>
      </c>
      <c r="C1525" s="3">
        <v>43187</v>
      </c>
      <c r="D1525" s="3">
        <v>50127</v>
      </c>
      <c r="E1525" s="3">
        <v>46866</v>
      </c>
      <c r="F1525" s="3">
        <v>70537</v>
      </c>
      <c r="G1525" s="3">
        <v>47440</v>
      </c>
    </row>
    <row r="1526" spans="1:7" x14ac:dyDescent="0.2">
      <c r="A1526" t="s" s="0">
        <v>2471</v>
      </c>
      <c r="B1526" s="2">
        <v>1129910</v>
      </c>
      <c r="C1526" s="2">
        <v>29354</v>
      </c>
      <c r="D1526" s="2">
        <v>46910</v>
      </c>
      <c r="E1526" s="2">
        <v>46980</v>
      </c>
      <c r="F1526" s="2">
        <v>60411</v>
      </c>
      <c r="G1526" s="2">
        <v>49343</v>
      </c>
    </row>
    <row r="1527" spans="1:7" x14ac:dyDescent="0.2">
      <c r="A1527" t="s" s="0">
        <v>2470</v>
      </c>
      <c r="B1527" s="2">
        <v>1153808</v>
      </c>
      <c r="C1527" s="2">
        <v>38085</v>
      </c>
      <c r="D1527" s="2">
        <v>42126</v>
      </c>
      <c r="E1527" s="2">
        <v>46253</v>
      </c>
      <c r="F1527" s="2">
        <v>40642</v>
      </c>
      <c r="G1527" s="2">
        <v>49818</v>
      </c>
    </row>
    <row r="1528" spans="1:7" x14ac:dyDescent="0.2">
      <c r="A1528" t="s" s="0">
        <v>2469</v>
      </c>
      <c r="B1528" s="2">
        <v>1102745</v>
      </c>
      <c r="C1528" s="2">
        <v>46975</v>
      </c>
      <c r="D1528" s="2">
        <v>42608</v>
      </c>
      <c r="E1528" s="2">
        <v>45856</v>
      </c>
      <c r="F1528" s="2">
        <v>33757</v>
      </c>
      <c r="G1528" s="2">
        <v>47976</v>
      </c>
    </row>
    <row r="1529" spans="1:7" x14ac:dyDescent="0.2">
      <c r="A1529" t="s" s="0">
        <v>2468</v>
      </c>
      <c r="B1529" s="2">
        <v>1071042</v>
      </c>
      <c r="C1529" s="2">
        <v>42461</v>
      </c>
      <c r="D1529" s="2">
        <v>43436</v>
      </c>
      <c r="E1529" s="2">
        <v>46370</v>
      </c>
      <c r="F1529" s="2">
        <v>35180</v>
      </c>
      <c r="G1529" s="2">
        <v>49041</v>
      </c>
    </row>
    <row r="1530" spans="1:7" x14ac:dyDescent="0.2">
      <c r="A1530" t="s" s="0">
        <v>2467</v>
      </c>
      <c r="B1530" s="2">
        <v>1074821</v>
      </c>
      <c r="C1530" s="2">
        <v>42533</v>
      </c>
      <c r="D1530" s="2">
        <v>43343</v>
      </c>
      <c r="E1530" s="2">
        <v>45891</v>
      </c>
      <c r="F1530" s="2">
        <v>43013</v>
      </c>
      <c r="G1530" s="2">
        <v>48410</v>
      </c>
    </row>
    <row r="1531" spans="1:7" x14ac:dyDescent="0.2">
      <c r="A1531" t="s" s="0">
        <v>2466</v>
      </c>
      <c r="B1531" s="3">
        <v>1074821</v>
      </c>
      <c r="C1531" s="3">
        <v>42533</v>
      </c>
      <c r="D1531" s="3">
        <v>43343</v>
      </c>
      <c r="E1531" s="3">
        <v>45891</v>
      </c>
      <c r="F1531" s="3">
        <v>43013</v>
      </c>
      <c r="G1531" s="3">
        <v>48410</v>
      </c>
    </row>
    <row r="1532" spans="1:7" x14ac:dyDescent="0.2">
      <c r="A1532" t="s" s="0">
        <v>2465</v>
      </c>
      <c r="B1532" s="3">
        <v>1074821</v>
      </c>
      <c r="C1532" s="3">
        <v>42533</v>
      </c>
      <c r="D1532" s="3">
        <v>43343</v>
      </c>
      <c r="E1532" s="3">
        <v>45891</v>
      </c>
      <c r="F1532" s="3">
        <v>43013</v>
      </c>
      <c r="G1532" s="3">
        <v>48410</v>
      </c>
    </row>
    <row r="1533" spans="1:7" x14ac:dyDescent="0.2">
      <c r="A1533" t="s" s="0">
        <v>2464</v>
      </c>
      <c r="B1533" s="2">
        <v>1213482</v>
      </c>
      <c r="C1533" s="2">
        <v>23798</v>
      </c>
      <c r="D1533" s="2">
        <v>44276</v>
      </c>
      <c r="E1533" s="2">
        <v>45943</v>
      </c>
      <c r="F1533" s="2">
        <v>56184</v>
      </c>
      <c r="G1533" s="2">
        <v>55047</v>
      </c>
    </row>
    <row r="1534" spans="1:7" x14ac:dyDescent="0.2">
      <c r="A1534" t="s" s="0">
        <v>2463</v>
      </c>
      <c r="B1534" s="2">
        <v>1183607</v>
      </c>
      <c r="C1534" s="2">
        <v>37113</v>
      </c>
      <c r="D1534" s="2">
        <v>49137</v>
      </c>
      <c r="E1534" s="2">
        <v>46594</v>
      </c>
      <c r="F1534" s="2">
        <v>53364</v>
      </c>
      <c r="G1534" s="2">
        <v>55833</v>
      </c>
    </row>
    <row r="1535" spans="1:7" x14ac:dyDescent="0.2">
      <c r="A1535" t="s" s="0">
        <v>2462</v>
      </c>
      <c r="B1535" s="2">
        <v>1114713</v>
      </c>
      <c r="C1535" s="2">
        <v>43882</v>
      </c>
      <c r="D1535" s="2">
        <v>52267</v>
      </c>
      <c r="E1535" s="2">
        <v>46230</v>
      </c>
      <c r="F1535" s="2">
        <v>53948</v>
      </c>
      <c r="G1535" s="2">
        <v>55833</v>
      </c>
    </row>
    <row r="1536" spans="1:7" x14ac:dyDescent="0.2">
      <c r="A1536" t="s" s="0">
        <v>2461</v>
      </c>
      <c r="B1536" s="2">
        <v>1067600</v>
      </c>
      <c r="C1536" s="2">
        <v>40500</v>
      </c>
      <c r="D1536" s="2">
        <v>49263</v>
      </c>
      <c r="E1536" s="2">
        <v>46216</v>
      </c>
      <c r="F1536" s="2">
        <v>48742</v>
      </c>
      <c r="G1536" s="2">
        <v>53649</v>
      </c>
    </row>
    <row r="1537" spans="1:7" x14ac:dyDescent="0.2">
      <c r="A1537" t="s" s="0">
        <v>2460</v>
      </c>
      <c r="B1537" s="2">
        <v>1057319</v>
      </c>
      <c r="C1537" s="2">
        <v>35574</v>
      </c>
      <c r="D1537" s="2">
        <v>48269</v>
      </c>
      <c r="E1537" s="2">
        <v>45808</v>
      </c>
      <c r="F1537" s="2">
        <v>45675</v>
      </c>
      <c r="G1537" s="2">
        <v>50114</v>
      </c>
    </row>
    <row r="1538" spans="1:7" x14ac:dyDescent="0.2">
      <c r="A1538" t="s" s="0">
        <v>2459</v>
      </c>
      <c r="B1538" s="3">
        <v>1057319</v>
      </c>
      <c r="C1538" s="3">
        <v>35574</v>
      </c>
      <c r="D1538" s="3">
        <v>48269</v>
      </c>
      <c r="E1538" s="3">
        <v>45808</v>
      </c>
      <c r="F1538" s="3">
        <v>45675</v>
      </c>
      <c r="G1538" s="3">
        <v>50114</v>
      </c>
    </row>
    <row r="1539" spans="1:7" x14ac:dyDescent="0.2">
      <c r="A1539" t="s" s="0">
        <v>2458</v>
      </c>
      <c r="B1539" s="3">
        <v>1057319</v>
      </c>
      <c r="C1539" s="3">
        <v>35574</v>
      </c>
      <c r="D1539" s="3">
        <v>48269</v>
      </c>
      <c r="E1539" s="3">
        <v>45808</v>
      </c>
      <c r="F1539" s="3">
        <v>45675</v>
      </c>
      <c r="G1539" s="3">
        <v>50114</v>
      </c>
    </row>
    <row r="1540" spans="1:7" x14ac:dyDescent="0.2">
      <c r="A1540" t="s" s="0">
        <v>2457</v>
      </c>
      <c r="B1540" s="2">
        <v>1057822</v>
      </c>
      <c r="C1540" s="2">
        <v>27044</v>
      </c>
      <c r="D1540" s="2">
        <v>45388</v>
      </c>
      <c r="E1540" s="2">
        <v>45603</v>
      </c>
      <c r="F1540" s="2">
        <v>23089</v>
      </c>
      <c r="G1540" s="2">
        <v>49606</v>
      </c>
    </row>
    <row r="1541" spans="1:7" x14ac:dyDescent="0.2">
      <c r="A1541" t="s" s="0">
        <v>2456</v>
      </c>
      <c r="B1541" s="2">
        <v>1214434</v>
      </c>
      <c r="C1541" s="2">
        <v>43826</v>
      </c>
      <c r="D1541" s="2">
        <v>44635</v>
      </c>
      <c r="E1541" s="2">
        <v>46352</v>
      </c>
      <c r="F1541" s="2">
        <v>48977</v>
      </c>
      <c r="G1541" s="2">
        <v>56916</v>
      </c>
    </row>
    <row r="1542" spans="1:7" x14ac:dyDescent="0.2">
      <c r="A1542" t="s" s="0">
        <v>2455</v>
      </c>
      <c r="B1542" s="2">
        <v>1416007</v>
      </c>
      <c r="C1542" s="2">
        <v>47764</v>
      </c>
      <c r="D1542" s="2">
        <v>41618</v>
      </c>
      <c r="E1542" s="2">
        <v>46350</v>
      </c>
      <c r="F1542" s="2">
        <v>84596</v>
      </c>
      <c r="G1542" s="2">
        <v>63540</v>
      </c>
    </row>
    <row r="1543" spans="1:7" x14ac:dyDescent="0.2">
      <c r="A1543" t="s" s="0">
        <v>2454</v>
      </c>
      <c r="B1543" s="2">
        <v>1362026</v>
      </c>
      <c r="C1543" s="2">
        <v>40674</v>
      </c>
      <c r="D1543" s="2">
        <v>43216</v>
      </c>
      <c r="E1543" s="2">
        <v>46432</v>
      </c>
      <c r="F1543" s="2">
        <v>85213</v>
      </c>
      <c r="G1543" s="2">
        <v>61851</v>
      </c>
    </row>
    <row r="1544" spans="1:7" x14ac:dyDescent="0.2">
      <c r="A1544" t="s" s="0">
        <v>2453</v>
      </c>
      <c r="B1544" s="2">
        <v>1379119</v>
      </c>
      <c r="C1544" s="2">
        <v>42577</v>
      </c>
      <c r="D1544" s="2">
        <v>44217</v>
      </c>
      <c r="E1544" s="2">
        <v>46489</v>
      </c>
      <c r="F1544" s="2">
        <v>88813</v>
      </c>
      <c r="G1544" s="2">
        <v>62009</v>
      </c>
    </row>
    <row r="1545" spans="1:7" x14ac:dyDescent="0.2">
      <c r="A1545" t="s" s="0">
        <v>2452</v>
      </c>
      <c r="B1545" s="3">
        <v>1379119</v>
      </c>
      <c r="C1545" s="3">
        <v>42577</v>
      </c>
      <c r="D1545" s="3">
        <v>44217</v>
      </c>
      <c r="E1545" s="3">
        <v>46489</v>
      </c>
      <c r="F1545" s="3">
        <v>88813</v>
      </c>
      <c r="G1545" s="3">
        <v>62009</v>
      </c>
    </row>
    <row r="1546" spans="1:7" x14ac:dyDescent="0.2">
      <c r="A1546" t="s" s="0">
        <v>2451</v>
      </c>
      <c r="B1546" s="3">
        <v>1379119</v>
      </c>
      <c r="C1546" s="3">
        <v>42577</v>
      </c>
      <c r="D1546" s="3">
        <v>44217</v>
      </c>
      <c r="E1546" s="3">
        <v>46489</v>
      </c>
      <c r="F1546" s="3">
        <v>88813</v>
      </c>
      <c r="G1546" s="3">
        <v>62009</v>
      </c>
    </row>
    <row r="1547" spans="1:7" x14ac:dyDescent="0.2">
      <c r="A1547" t="s" s="0">
        <v>2450</v>
      </c>
      <c r="B1547" s="2">
        <v>1272118</v>
      </c>
      <c r="C1547" s="2">
        <v>27156</v>
      </c>
      <c r="D1547" s="2">
        <v>51605</v>
      </c>
      <c r="E1547" s="2">
        <v>47045</v>
      </c>
      <c r="F1547" s="2">
        <v>80843</v>
      </c>
      <c r="G1547" s="2">
        <v>55132</v>
      </c>
    </row>
    <row r="1548" spans="1:7" x14ac:dyDescent="0.2">
      <c r="A1548" t="s" s="0">
        <v>2449</v>
      </c>
      <c r="B1548" s="2">
        <v>1230559</v>
      </c>
      <c r="C1548" s="2">
        <v>41559</v>
      </c>
      <c r="D1548" s="2">
        <v>47993</v>
      </c>
      <c r="E1548" s="2">
        <v>45973</v>
      </c>
      <c r="F1548" s="2">
        <v>48921</v>
      </c>
      <c r="G1548" s="2">
        <v>47976</v>
      </c>
    </row>
    <row r="1549" spans="1:7" x14ac:dyDescent="0.2">
      <c r="A1549" t="s" s="0">
        <v>2448</v>
      </c>
      <c r="B1549" s="2">
        <v>1199009</v>
      </c>
      <c r="C1549" s="2">
        <v>41802</v>
      </c>
      <c r="D1549" s="2">
        <v>47141</v>
      </c>
      <c r="E1549" s="2">
        <v>45909</v>
      </c>
      <c r="F1549" s="2">
        <v>14766</v>
      </c>
      <c r="G1549" s="2">
        <v>46767</v>
      </c>
    </row>
    <row r="1550" spans="1:7" x14ac:dyDescent="0.2">
      <c r="A1550" t="s" s="0">
        <v>2447</v>
      </c>
      <c r="B1550" s="2">
        <v>1158141</v>
      </c>
      <c r="C1550" s="2">
        <v>42466</v>
      </c>
      <c r="D1550" s="2">
        <v>47222</v>
      </c>
      <c r="E1550" s="2">
        <v>45784</v>
      </c>
      <c r="F1550" s="2">
        <v>15660</v>
      </c>
      <c r="G1550" s="2">
        <v>46199</v>
      </c>
    </row>
    <row r="1551" spans="1:7" x14ac:dyDescent="0.2">
      <c r="A1551" t="s" s="0">
        <v>2446</v>
      </c>
      <c r="B1551" s="2">
        <v>1110322</v>
      </c>
      <c r="C1551" s="2">
        <v>47960</v>
      </c>
      <c r="D1551" s="2">
        <v>47991</v>
      </c>
      <c r="E1551" s="2">
        <v>45955</v>
      </c>
      <c r="F1551" s="2">
        <v>8531</v>
      </c>
      <c r="G1551" s="2">
        <v>46508</v>
      </c>
    </row>
    <row r="1552" spans="1:7" x14ac:dyDescent="0.2">
      <c r="A1552" t="s" s="0">
        <v>2445</v>
      </c>
      <c r="B1552" s="3">
        <v>1110322</v>
      </c>
      <c r="C1552" s="3">
        <v>47960</v>
      </c>
      <c r="D1552" s="3">
        <v>47991</v>
      </c>
      <c r="E1552" s="3">
        <v>45955</v>
      </c>
      <c r="F1552" s="3">
        <v>8531</v>
      </c>
      <c r="G1552" s="3">
        <v>46508</v>
      </c>
    </row>
    <row r="1553" spans="1:7" x14ac:dyDescent="0.2">
      <c r="A1553" t="s" s="0">
        <v>2444</v>
      </c>
      <c r="B1553" s="3">
        <v>1110322</v>
      </c>
      <c r="C1553" s="3">
        <v>47960</v>
      </c>
      <c r="D1553" s="3">
        <v>47991</v>
      </c>
      <c r="E1553" s="3">
        <v>45955</v>
      </c>
      <c r="F1553" s="3">
        <v>8531</v>
      </c>
      <c r="G1553" s="3">
        <v>46508</v>
      </c>
    </row>
    <row r="1554" spans="1:7" x14ac:dyDescent="0.2">
      <c r="A1554" t="s" s="0">
        <v>2443</v>
      </c>
      <c r="B1554" s="2">
        <v>1187839</v>
      </c>
      <c r="C1554" s="2">
        <v>27153</v>
      </c>
      <c r="D1554" s="2">
        <v>42115</v>
      </c>
      <c r="E1554" s="2">
        <v>45846</v>
      </c>
      <c r="F1554" s="2">
        <v>28988</v>
      </c>
      <c r="G1554" s="2">
        <v>47276</v>
      </c>
    </row>
    <row r="1555" spans="1:7" x14ac:dyDescent="0.2">
      <c r="A1555" t="s" s="0">
        <v>2442</v>
      </c>
      <c r="B1555" s="2">
        <v>1188016</v>
      </c>
      <c r="C1555" s="2">
        <v>39300</v>
      </c>
      <c r="D1555" s="2">
        <v>43219</v>
      </c>
      <c r="E1555" s="2">
        <v>46246</v>
      </c>
      <c r="F1555" s="2">
        <v>36054</v>
      </c>
      <c r="G1555" s="2">
        <v>46829</v>
      </c>
    </row>
    <row r="1556" spans="1:7" x14ac:dyDescent="0.2">
      <c r="A1556" t="s" s="0">
        <v>2441</v>
      </c>
      <c r="B1556" s="2">
        <v>1156357</v>
      </c>
      <c r="C1556" s="2">
        <v>38960</v>
      </c>
      <c r="D1556" s="2">
        <v>45241</v>
      </c>
      <c r="E1556" s="2">
        <v>46567</v>
      </c>
      <c r="F1556" s="2">
        <v>37447</v>
      </c>
      <c r="G1556" s="2">
        <v>47689</v>
      </c>
    </row>
    <row r="1557" spans="1:7" x14ac:dyDescent="0.2">
      <c r="A1557" t="s" s="0">
        <v>2440</v>
      </c>
      <c r="B1557" s="2">
        <v>1105995</v>
      </c>
      <c r="C1557" s="2">
        <v>41270</v>
      </c>
      <c r="D1557" s="2">
        <v>53091</v>
      </c>
      <c r="E1557" s="2">
        <v>48198</v>
      </c>
      <c r="F1557" s="2">
        <v>45000</v>
      </c>
      <c r="G1557" s="2">
        <v>48654</v>
      </c>
    </row>
    <row r="1558" spans="1:7" x14ac:dyDescent="0.2">
      <c r="A1558" t="s" s="0">
        <v>2439</v>
      </c>
      <c r="B1558" s="2">
        <v>1094819</v>
      </c>
      <c r="C1558" s="2">
        <v>41191</v>
      </c>
      <c r="D1558" s="2">
        <v>52124</v>
      </c>
      <c r="E1558" s="2">
        <v>48150</v>
      </c>
      <c r="F1558" s="2">
        <v>49267</v>
      </c>
      <c r="G1558" s="2">
        <v>48072</v>
      </c>
    </row>
    <row r="1559" spans="1:7" x14ac:dyDescent="0.2">
      <c r="A1559" t="s" s="0">
        <v>2438</v>
      </c>
      <c r="B1559" s="3">
        <v>1094819</v>
      </c>
      <c r="C1559" s="3">
        <v>41191</v>
      </c>
      <c r="D1559" s="3">
        <v>52124</v>
      </c>
      <c r="E1559" s="3">
        <v>48150</v>
      </c>
      <c r="F1559" s="3">
        <v>49267</v>
      </c>
      <c r="G1559" s="3">
        <v>48072</v>
      </c>
    </row>
    <row r="1560" spans="1:7" x14ac:dyDescent="0.2">
      <c r="A1560" t="s" s="0">
        <v>2437</v>
      </c>
      <c r="B1560" s="3">
        <v>1094819</v>
      </c>
      <c r="C1560" s="3">
        <v>41191</v>
      </c>
      <c r="D1560" s="3">
        <v>52124</v>
      </c>
      <c r="E1560" s="3">
        <v>48150</v>
      </c>
      <c r="F1560" s="3">
        <v>49267</v>
      </c>
      <c r="G1560" s="3">
        <v>48072</v>
      </c>
    </row>
    <row r="1561" spans="1:7" x14ac:dyDescent="0.2">
      <c r="A1561" t="s" s="0">
        <v>2436</v>
      </c>
      <c r="B1561" s="2">
        <v>1115187</v>
      </c>
      <c r="C1561" s="2">
        <v>23477</v>
      </c>
      <c r="D1561" s="2">
        <v>50502</v>
      </c>
      <c r="E1561" s="2">
        <v>47403</v>
      </c>
      <c r="F1561" s="2">
        <v>39509</v>
      </c>
      <c r="G1561" s="2">
        <v>43107</v>
      </c>
    </row>
    <row r="1562" spans="1:7" x14ac:dyDescent="0.2">
      <c r="A1562" t="s" s="0">
        <v>2435</v>
      </c>
      <c r="B1562" s="2">
        <v>1077425</v>
      </c>
      <c r="C1562" s="2">
        <v>37818</v>
      </c>
      <c r="D1562" s="2">
        <v>48864</v>
      </c>
      <c r="E1562" s="2">
        <v>46178</v>
      </c>
      <c r="F1562" s="2">
        <v>32451</v>
      </c>
      <c r="G1562" s="2">
        <v>41601</v>
      </c>
    </row>
    <row r="1563" spans="1:7" x14ac:dyDescent="0.2">
      <c r="A1563" t="s" s="0">
        <v>2434</v>
      </c>
      <c r="B1563" s="2">
        <v>1051979</v>
      </c>
      <c r="C1563" s="2">
        <v>40545</v>
      </c>
      <c r="D1563" s="2">
        <v>48786</v>
      </c>
      <c r="E1563" s="2">
        <v>45697</v>
      </c>
      <c r="F1563" s="2">
        <v>31736</v>
      </c>
      <c r="G1563" s="2">
        <v>42136</v>
      </c>
    </row>
    <row r="1564" spans="1:7" x14ac:dyDescent="0.2">
      <c r="A1564" t="s" s="0">
        <v>2433</v>
      </c>
      <c r="B1564" s="2">
        <v>1041050</v>
      </c>
      <c r="C1564" s="2">
        <v>41003</v>
      </c>
      <c r="D1564" s="2">
        <v>39331</v>
      </c>
      <c r="E1564" s="2">
        <v>45715</v>
      </c>
      <c r="F1564" s="2">
        <v>27914</v>
      </c>
      <c r="G1564" s="2">
        <v>43447</v>
      </c>
    </row>
    <row r="1565" spans="1:7" x14ac:dyDescent="0.2">
      <c r="A1565" t="s" s="0">
        <v>2432</v>
      </c>
      <c r="B1565" s="2">
        <v>1003414</v>
      </c>
      <c r="C1565" s="2">
        <v>36974</v>
      </c>
      <c r="D1565" s="2">
        <v>38728</v>
      </c>
      <c r="E1565" s="2">
        <v>45765</v>
      </c>
      <c r="F1565" s="2">
        <v>23623</v>
      </c>
      <c r="G1565" s="2">
        <v>42558</v>
      </c>
    </row>
    <row r="1566" spans="1:7" x14ac:dyDescent="0.2">
      <c r="A1566" t="s" s="0">
        <v>2431</v>
      </c>
      <c r="B1566" s="3">
        <v>1003414</v>
      </c>
      <c r="C1566" s="3">
        <v>36974</v>
      </c>
      <c r="D1566" s="3">
        <v>38728</v>
      </c>
      <c r="E1566" s="3">
        <v>45765</v>
      </c>
      <c r="F1566" s="3">
        <v>23623</v>
      </c>
      <c r="G1566" s="3">
        <v>42558</v>
      </c>
    </row>
    <row r="1567" spans="1:7" x14ac:dyDescent="0.2">
      <c r="A1567" t="s" s="0">
        <v>2430</v>
      </c>
      <c r="B1567" s="3">
        <v>1003414</v>
      </c>
      <c r="C1567" s="3">
        <v>36974</v>
      </c>
      <c r="D1567" s="3">
        <v>38728</v>
      </c>
      <c r="E1567" s="3">
        <v>45765</v>
      </c>
      <c r="F1567" s="3">
        <v>23623</v>
      </c>
      <c r="G1567" s="3">
        <v>42558</v>
      </c>
    </row>
    <row r="1568" spans="1:7" x14ac:dyDescent="0.2">
      <c r="A1568" t="s" s="0">
        <v>2429</v>
      </c>
      <c r="B1568" s="2">
        <v>926012</v>
      </c>
      <c r="C1568" s="2">
        <v>24173</v>
      </c>
      <c r="D1568" s="2">
        <v>41230</v>
      </c>
      <c r="E1568" s="2">
        <v>46363</v>
      </c>
      <c r="F1568" s="2">
        <v>12158</v>
      </c>
      <c r="G1568" s="2">
        <v>40374</v>
      </c>
    </row>
    <row r="1569" spans="1:7" x14ac:dyDescent="0.2">
      <c r="A1569" t="s" s="0">
        <v>2428</v>
      </c>
      <c r="B1569" s="2">
        <v>908322</v>
      </c>
      <c r="C1569" s="2">
        <v>35687</v>
      </c>
      <c r="D1569" s="2">
        <v>40926</v>
      </c>
      <c r="E1569" s="2">
        <v>45250</v>
      </c>
      <c r="F1569" s="2">
        <v>14721</v>
      </c>
      <c r="G1569" s="2">
        <v>33037</v>
      </c>
    </row>
    <row r="1570" spans="1:7" x14ac:dyDescent="0.2">
      <c r="A1570" t="s" s="0">
        <v>2427</v>
      </c>
      <c r="B1570" s="2">
        <v>877541</v>
      </c>
      <c r="C1570" s="2">
        <v>39457</v>
      </c>
      <c r="D1570" s="2">
        <v>39648</v>
      </c>
      <c r="E1570" s="2">
        <v>45204</v>
      </c>
      <c r="F1570" s="2">
        <v>12578</v>
      </c>
      <c r="G1570" s="2">
        <v>24132</v>
      </c>
    </row>
    <row r="1571" spans="1:7" x14ac:dyDescent="0.2">
      <c r="A1571" t="s" s="0">
        <v>2426</v>
      </c>
      <c r="B1571" s="2">
        <v>935588</v>
      </c>
      <c r="C1571" s="2">
        <v>36605</v>
      </c>
      <c r="D1571" s="2">
        <v>39020</v>
      </c>
      <c r="E1571" s="2">
        <v>44666</v>
      </c>
      <c r="F1571" s="2">
        <v>21803</v>
      </c>
      <c r="G1571" s="2">
        <v>27594</v>
      </c>
    </row>
    <row r="1572" spans="1:7" x14ac:dyDescent="0.2">
      <c r="A1572" t="s" s="0">
        <v>2425</v>
      </c>
      <c r="B1572" s="2">
        <v>904289</v>
      </c>
      <c r="C1572" s="2">
        <v>41787</v>
      </c>
      <c r="D1572" s="2">
        <v>42493</v>
      </c>
      <c r="E1572" s="2">
        <v>45334</v>
      </c>
      <c r="F1572" s="2">
        <v>26091</v>
      </c>
      <c r="G1572" s="2">
        <v>26878</v>
      </c>
    </row>
    <row r="1573" spans="1:7" x14ac:dyDescent="0.2">
      <c r="A1573" t="s" s="0">
        <v>2424</v>
      </c>
      <c r="B1573" s="3">
        <v>904289</v>
      </c>
      <c r="C1573" s="3">
        <v>41787</v>
      </c>
      <c r="D1573" s="3">
        <v>42493</v>
      </c>
      <c r="E1573" s="3">
        <v>45334</v>
      </c>
      <c r="F1573" s="3">
        <v>26091</v>
      </c>
      <c r="G1573" s="3">
        <v>26878</v>
      </c>
    </row>
    <row r="1574" spans="1:7" x14ac:dyDescent="0.2">
      <c r="A1574" t="s" s="0">
        <v>2423</v>
      </c>
      <c r="B1574" s="3">
        <v>904289</v>
      </c>
      <c r="C1574" s="3">
        <v>41787</v>
      </c>
      <c r="D1574" s="3">
        <v>42493</v>
      </c>
      <c r="E1574" s="3">
        <v>45334</v>
      </c>
      <c r="F1574" s="3">
        <v>26091</v>
      </c>
      <c r="G1574" s="3">
        <v>26878</v>
      </c>
    </row>
    <row r="1575" spans="1:7" x14ac:dyDescent="0.2">
      <c r="A1575" t="s" s="0">
        <v>2422</v>
      </c>
      <c r="B1575" s="2">
        <v>853029</v>
      </c>
      <c r="C1575" s="2">
        <v>24211</v>
      </c>
      <c r="D1575" s="2">
        <v>41437</v>
      </c>
      <c r="E1575" s="2">
        <v>43821</v>
      </c>
      <c r="F1575" s="2">
        <v>28769</v>
      </c>
      <c r="G1575" s="2">
        <v>27356</v>
      </c>
    </row>
    <row r="1576" spans="1:7" x14ac:dyDescent="0.2">
      <c r="A1576" t="s" s="0">
        <v>2421</v>
      </c>
      <c r="B1576" s="2">
        <v>933296</v>
      </c>
      <c r="C1576" s="2">
        <v>33950</v>
      </c>
      <c r="D1576" s="2">
        <v>41189</v>
      </c>
      <c r="E1576" s="2">
        <v>43549</v>
      </c>
      <c r="F1576" s="2">
        <v>42515</v>
      </c>
      <c r="G1576" s="2">
        <v>31435</v>
      </c>
    </row>
    <row r="1577" spans="1:7" x14ac:dyDescent="0.2">
      <c r="A1577" t="s" s="0">
        <v>2420</v>
      </c>
      <c r="B1577" s="2">
        <v>904636</v>
      </c>
      <c r="C1577" s="2">
        <v>37115</v>
      </c>
      <c r="D1577" s="2">
        <v>39920</v>
      </c>
      <c r="E1577" s="2">
        <v>43399</v>
      </c>
      <c r="F1577" s="2">
        <v>43225</v>
      </c>
      <c r="G1577" s="2">
        <v>31246</v>
      </c>
    </row>
    <row r="1578" spans="1:7" x14ac:dyDescent="0.2">
      <c r="A1578" t="s" s="0">
        <v>2419</v>
      </c>
      <c r="B1578" s="2">
        <v>872140</v>
      </c>
      <c r="C1578" s="2">
        <v>37965</v>
      </c>
      <c r="D1578" s="2">
        <v>42190</v>
      </c>
      <c r="E1578" s="2">
        <v>43408</v>
      </c>
      <c r="F1578" s="2">
        <v>32560</v>
      </c>
      <c r="G1578" s="2">
        <v>31819</v>
      </c>
    </row>
    <row r="1579" spans="1:7" x14ac:dyDescent="0.2">
      <c r="A1579" t="s" s="0">
        <v>2418</v>
      </c>
      <c r="B1579" s="2">
        <v>832399</v>
      </c>
      <c r="C1579" s="2">
        <v>39933</v>
      </c>
      <c r="D1579" s="2">
        <v>40567</v>
      </c>
      <c r="E1579" s="2">
        <v>43478</v>
      </c>
      <c r="F1579" s="2">
        <v>29731</v>
      </c>
      <c r="G1579" s="2">
        <v>32178</v>
      </c>
    </row>
    <row r="1580" spans="1:7" x14ac:dyDescent="0.2">
      <c r="A1580" t="s" s="0">
        <v>2417</v>
      </c>
      <c r="B1580" s="3">
        <v>832399</v>
      </c>
      <c r="C1580" s="3">
        <v>39933</v>
      </c>
      <c r="D1580" s="3">
        <v>40567</v>
      </c>
      <c r="E1580" s="3">
        <v>43478</v>
      </c>
      <c r="F1580" s="3">
        <v>29731</v>
      </c>
      <c r="G1580" s="3">
        <v>32178</v>
      </c>
    </row>
    <row r="1581" spans="1:7" x14ac:dyDescent="0.2">
      <c r="A1581" t="s" s="0">
        <v>2416</v>
      </c>
      <c r="B1581" s="3">
        <v>832399</v>
      </c>
      <c r="C1581" s="3">
        <v>39933</v>
      </c>
      <c r="D1581" s="3">
        <v>40567</v>
      </c>
      <c r="E1581" s="3">
        <v>43478</v>
      </c>
      <c r="F1581" s="3">
        <v>29731</v>
      </c>
      <c r="G1581" s="3">
        <v>32178</v>
      </c>
    </row>
    <row r="1582" spans="1:7" x14ac:dyDescent="0.2">
      <c r="A1582" t="s" s="0">
        <v>2415</v>
      </c>
      <c r="B1582" s="2">
        <v>783754</v>
      </c>
      <c r="C1582" s="2">
        <v>21411</v>
      </c>
      <c r="D1582" s="2">
        <v>37527</v>
      </c>
      <c r="E1582" s="2">
        <v>42674</v>
      </c>
      <c r="F1582" s="2">
        <v>27065</v>
      </c>
      <c r="G1582" s="2">
        <v>26875</v>
      </c>
    </row>
    <row r="1583" spans="1:7" x14ac:dyDescent="0.2">
      <c r="A1583" t="s" s="0">
        <v>2414</v>
      </c>
      <c r="B1583" s="2">
        <v>792486</v>
      </c>
      <c r="C1583" s="2">
        <v>36018</v>
      </c>
      <c r="D1583" s="2">
        <v>38565</v>
      </c>
      <c r="E1583" s="2">
        <v>42386</v>
      </c>
      <c r="F1583" s="2">
        <v>17883</v>
      </c>
      <c r="G1583" s="2">
        <v>26892</v>
      </c>
    </row>
    <row r="1584" spans="1:7" x14ac:dyDescent="0.2">
      <c r="A1584" t="s" s="0">
        <v>2413</v>
      </c>
      <c r="B1584" s="2">
        <v>880426</v>
      </c>
      <c r="C1584" s="2">
        <v>37095</v>
      </c>
      <c r="D1584" s="2">
        <v>38473</v>
      </c>
      <c r="E1584" s="2">
        <v>41707</v>
      </c>
      <c r="F1584" s="2">
        <v>34249</v>
      </c>
      <c r="G1584" s="2">
        <v>30447</v>
      </c>
    </row>
    <row r="1585" spans="1:7" x14ac:dyDescent="0.2">
      <c r="A1585" t="s" s="0">
        <v>2412</v>
      </c>
      <c r="B1585" s="2">
        <v>903255</v>
      </c>
      <c r="C1585" s="2">
        <v>36868</v>
      </c>
      <c r="D1585" s="2">
        <v>36240</v>
      </c>
      <c r="E1585" s="2">
        <v>39195</v>
      </c>
      <c r="F1585" s="2">
        <v>39681</v>
      </c>
      <c r="G1585" s="2">
        <v>30490</v>
      </c>
    </row>
    <row r="1586" spans="1:7" x14ac:dyDescent="0.2">
      <c r="A1586" t="s" s="0">
        <v>2411</v>
      </c>
      <c r="B1586" s="2">
        <v>897590</v>
      </c>
      <c r="C1586" s="2">
        <v>36216</v>
      </c>
      <c r="D1586" s="2">
        <v>34282</v>
      </c>
      <c r="E1586" s="2">
        <v>39018</v>
      </c>
      <c r="F1586" s="2">
        <v>42590</v>
      </c>
      <c r="G1586" s="2">
        <v>30509</v>
      </c>
    </row>
    <row r="1587" spans="1:7" x14ac:dyDescent="0.2">
      <c r="A1587" t="s" s="0">
        <v>2410</v>
      </c>
      <c r="B1587" s="3">
        <v>897590</v>
      </c>
      <c r="C1587" s="3">
        <v>36216</v>
      </c>
      <c r="D1587" s="3">
        <v>34282</v>
      </c>
      <c r="E1587" s="3">
        <v>39018</v>
      </c>
      <c r="F1587" s="3">
        <v>42590</v>
      </c>
      <c r="G1587" s="3">
        <v>30509</v>
      </c>
    </row>
    <row r="1588" spans="1:7" x14ac:dyDescent="0.2">
      <c r="A1588" t="s" s="0">
        <v>2409</v>
      </c>
      <c r="B1588" s="3">
        <v>897590</v>
      </c>
      <c r="C1588" s="3">
        <v>36216</v>
      </c>
      <c r="D1588" s="3">
        <v>34282</v>
      </c>
      <c r="E1588" s="3">
        <v>39018</v>
      </c>
      <c r="F1588" s="3">
        <v>42590</v>
      </c>
      <c r="G1588" s="3">
        <v>30509</v>
      </c>
    </row>
    <row r="1589" spans="1:7" x14ac:dyDescent="0.2">
      <c r="A1589" t="s" s="0">
        <v>2408</v>
      </c>
      <c r="B1589" s="2">
        <v>886424</v>
      </c>
      <c r="C1589" s="2">
        <v>26370</v>
      </c>
      <c r="D1589" s="2">
        <v>38225</v>
      </c>
      <c r="E1589" s="2">
        <v>39605</v>
      </c>
      <c r="F1589" s="2">
        <v>51887</v>
      </c>
      <c r="G1589" s="2">
        <v>29970</v>
      </c>
    </row>
    <row r="1590" spans="1:7" x14ac:dyDescent="0.2">
      <c r="A1590" t="s" s="0">
        <v>2407</v>
      </c>
      <c r="B1590" s="2">
        <v>849993</v>
      </c>
      <c r="C1590" s="2">
        <v>35678</v>
      </c>
      <c r="D1590" s="2">
        <v>37434</v>
      </c>
      <c r="E1590" s="2">
        <v>39528</v>
      </c>
      <c r="F1590" s="2">
        <v>44645</v>
      </c>
      <c r="G1590" s="2">
        <v>29941</v>
      </c>
    </row>
    <row r="1591" spans="1:7" x14ac:dyDescent="0.2">
      <c r="A1591" t="s" s="0">
        <v>2406</v>
      </c>
      <c r="B1591" s="2">
        <v>773375</v>
      </c>
      <c r="C1591" s="2">
        <v>36406</v>
      </c>
      <c r="D1591" s="2">
        <v>43809</v>
      </c>
      <c r="E1591" s="2">
        <v>40463</v>
      </c>
      <c r="F1591" s="2">
        <v>27569</v>
      </c>
      <c r="G1591" s="2">
        <v>29405</v>
      </c>
    </row>
    <row r="1592" spans="1:7" x14ac:dyDescent="0.2">
      <c r="A1592" t="s" s="0">
        <v>2405</v>
      </c>
      <c r="B1592" s="2">
        <v>918336</v>
      </c>
      <c r="C1592" s="2">
        <v>34846</v>
      </c>
      <c r="D1592" s="2">
        <v>44236</v>
      </c>
      <c r="E1592" s="2">
        <v>40422</v>
      </c>
      <c r="F1592" s="2">
        <v>45683</v>
      </c>
      <c r="G1592" s="2">
        <v>34932</v>
      </c>
    </row>
    <row r="1593" spans="1:7" x14ac:dyDescent="0.2">
      <c r="A1593" t="s" s="0">
        <v>2404</v>
      </c>
      <c r="B1593" s="2">
        <v>1156267</v>
      </c>
      <c r="C1593" s="2">
        <v>39915</v>
      </c>
      <c r="D1593" s="2">
        <v>44776</v>
      </c>
      <c r="E1593" s="2">
        <v>40529</v>
      </c>
      <c r="F1593" s="2">
        <v>81022</v>
      </c>
      <c r="G1593" s="2">
        <v>44858</v>
      </c>
    </row>
    <row r="1594" spans="1:7" x14ac:dyDescent="0.2">
      <c r="A1594" t="s" s="0">
        <v>2403</v>
      </c>
      <c r="B1594" s="3">
        <v>1156267</v>
      </c>
      <c r="C1594" s="3">
        <v>39915</v>
      </c>
      <c r="D1594" s="3">
        <v>44776</v>
      </c>
      <c r="E1594" s="3">
        <v>40529</v>
      </c>
      <c r="F1594" s="3">
        <v>81022</v>
      </c>
      <c r="G1594" s="3">
        <v>44858</v>
      </c>
    </row>
    <row r="1595" spans="1:7" x14ac:dyDescent="0.2">
      <c r="A1595" t="s" s="0">
        <v>2402</v>
      </c>
      <c r="B1595" s="3">
        <v>1156267</v>
      </c>
      <c r="C1595" s="3">
        <v>39915</v>
      </c>
      <c r="D1595" s="3">
        <v>44776</v>
      </c>
      <c r="E1595" s="3">
        <v>40529</v>
      </c>
      <c r="F1595" s="3">
        <v>81022</v>
      </c>
      <c r="G1595" s="3">
        <v>44858</v>
      </c>
    </row>
    <row r="1596" spans="1:7" x14ac:dyDescent="0.2">
      <c r="A1596" t="s" s="0">
        <v>2401</v>
      </c>
      <c r="B1596" s="2">
        <v>1089429</v>
      </c>
      <c r="C1596" s="2">
        <v>25679</v>
      </c>
      <c r="D1596" s="2">
        <v>44145</v>
      </c>
      <c r="E1596" s="2">
        <v>40334</v>
      </c>
      <c r="F1596" s="2">
        <v>72439</v>
      </c>
      <c r="G1596" s="2">
        <v>45040</v>
      </c>
    </row>
    <row r="1597" spans="1:7" x14ac:dyDescent="0.2">
      <c r="A1597" t="s" s="0">
        <v>2400</v>
      </c>
      <c r="B1597" s="2">
        <v>1059175</v>
      </c>
      <c r="C1597" s="2">
        <v>37797</v>
      </c>
      <c r="D1597" s="2">
        <v>44448</v>
      </c>
      <c r="E1597" s="2">
        <v>40409</v>
      </c>
      <c r="F1597" s="2">
        <v>72546</v>
      </c>
      <c r="G1597" s="2">
        <v>44397</v>
      </c>
    </row>
    <row r="1598" spans="1:7" x14ac:dyDescent="0.2">
      <c r="A1598" t="s" s="0">
        <v>2399</v>
      </c>
      <c r="B1598" s="2">
        <v>1053956</v>
      </c>
      <c r="C1598" s="2">
        <v>36888</v>
      </c>
      <c r="D1598" s="2">
        <v>38065</v>
      </c>
      <c r="E1598" s="2">
        <v>40067</v>
      </c>
      <c r="F1598" s="2">
        <v>75832</v>
      </c>
      <c r="G1598" s="2">
        <v>45219</v>
      </c>
    </row>
    <row r="1599" spans="1:7" x14ac:dyDescent="0.2">
      <c r="A1599" t="s" s="0">
        <v>2398</v>
      </c>
      <c r="B1599" s="2">
        <v>1072154</v>
      </c>
      <c r="C1599" s="2">
        <v>36799</v>
      </c>
      <c r="D1599" s="2">
        <v>41198</v>
      </c>
      <c r="E1599" s="2">
        <v>40966</v>
      </c>
      <c r="F1599" s="2">
        <v>60856</v>
      </c>
      <c r="G1599" s="2">
        <v>44695</v>
      </c>
    </row>
    <row r="1600" spans="1:7" x14ac:dyDescent="0.2">
      <c r="A1600" t="s" s="0">
        <v>2397</v>
      </c>
      <c r="B1600" s="2">
        <v>1072400</v>
      </c>
      <c r="C1600" s="2">
        <v>39850</v>
      </c>
      <c r="D1600" s="2">
        <v>41178</v>
      </c>
      <c r="E1600" s="2">
        <v>40201</v>
      </c>
      <c r="F1600" s="2">
        <v>26881</v>
      </c>
      <c r="G1600" s="2">
        <v>45056</v>
      </c>
    </row>
    <row r="1601" spans="1:7" x14ac:dyDescent="0.2">
      <c r="A1601" t="s" s="0">
        <v>2396</v>
      </c>
      <c r="B1601" s="3">
        <v>1072400</v>
      </c>
      <c r="C1601" s="3">
        <v>39850</v>
      </c>
      <c r="D1601" s="3">
        <v>41178</v>
      </c>
      <c r="E1601" s="3">
        <v>40201</v>
      </c>
      <c r="F1601" s="3">
        <v>26881</v>
      </c>
      <c r="G1601" s="3">
        <v>45056</v>
      </c>
    </row>
    <row r="1602" spans="1:7" x14ac:dyDescent="0.2">
      <c r="A1602" t="s" s="0">
        <v>2395</v>
      </c>
      <c r="B1602" s="3">
        <v>1072400</v>
      </c>
      <c r="C1602" s="3">
        <v>39850</v>
      </c>
      <c r="D1602" s="3">
        <v>41178</v>
      </c>
      <c r="E1602" s="3">
        <v>40201</v>
      </c>
      <c r="F1602" s="3">
        <v>26881</v>
      </c>
      <c r="G1602" s="3">
        <v>45056</v>
      </c>
    </row>
    <row r="1603" spans="1:7" x14ac:dyDescent="0.2">
      <c r="A1603" t="s" s="0">
        <v>2394</v>
      </c>
      <c r="B1603" s="2">
        <v>1018960</v>
      </c>
      <c r="C1603" s="2">
        <v>30321</v>
      </c>
      <c r="D1603" s="2">
        <v>42649</v>
      </c>
      <c r="E1603" s="2">
        <v>40637</v>
      </c>
      <c r="F1603" s="2">
        <v>30266</v>
      </c>
      <c r="G1603" s="2">
        <v>45414</v>
      </c>
    </row>
    <row r="1604" spans="1:7" x14ac:dyDescent="0.2">
      <c r="A1604" t="s" s="0">
        <v>2393</v>
      </c>
      <c r="B1604" s="2">
        <v>972799</v>
      </c>
      <c r="C1604" s="2">
        <v>45641</v>
      </c>
      <c r="D1604" s="2">
        <v>47447</v>
      </c>
      <c r="E1604" s="2">
        <v>41973</v>
      </c>
      <c r="F1604" s="2">
        <v>33869</v>
      </c>
      <c r="G1604" s="2">
        <v>42236</v>
      </c>
    </row>
    <row r="1605" spans="1:7" x14ac:dyDescent="0.2">
      <c r="A1605" t="s" s="0">
        <v>2392</v>
      </c>
      <c r="B1605" s="2">
        <v>1023905</v>
      </c>
      <c r="C1605" s="2">
        <v>49439</v>
      </c>
      <c r="D1605" s="2">
        <v>49616</v>
      </c>
      <c r="E1605" s="2">
        <v>42491</v>
      </c>
      <c r="F1605" s="2">
        <v>44785</v>
      </c>
      <c r="G1605" s="2">
        <v>45609</v>
      </c>
    </row>
    <row r="1606" spans="1:7" x14ac:dyDescent="0.2">
      <c r="A1606" t="s" s="0">
        <v>2391</v>
      </c>
      <c r="B1606" s="2">
        <v>1044042</v>
      </c>
      <c r="C1606" s="2">
        <v>49045</v>
      </c>
      <c r="D1606" s="2">
        <v>47794</v>
      </c>
      <c r="E1606" s="2">
        <v>42367</v>
      </c>
      <c r="F1606" s="2">
        <v>43240</v>
      </c>
      <c r="G1606" s="2">
        <v>47365</v>
      </c>
    </row>
    <row r="1607" spans="1:7" x14ac:dyDescent="0.2">
      <c r="A1607" t="s" s="0">
        <v>2390</v>
      </c>
      <c r="B1607" s="2">
        <v>1104461</v>
      </c>
      <c r="C1607" s="2">
        <v>26423</v>
      </c>
      <c r="D1607" s="2">
        <v>45876</v>
      </c>
      <c r="E1607" s="2">
        <v>41528</v>
      </c>
      <c r="F1607" s="2">
        <v>49918</v>
      </c>
      <c r="G1607" s="2">
        <v>50103</v>
      </c>
    </row>
    <row r="1608" spans="1:7" x14ac:dyDescent="0.2">
      <c r="A1608" t="s" s="0">
        <v>2389</v>
      </c>
      <c r="B1608" s="3">
        <v>1104461</v>
      </c>
      <c r="C1608" s="3">
        <v>26423</v>
      </c>
      <c r="D1608" s="3">
        <v>45876</v>
      </c>
      <c r="E1608" s="3">
        <v>41528</v>
      </c>
      <c r="F1608" s="3">
        <v>49918</v>
      </c>
      <c r="G1608" s="3">
        <v>50103</v>
      </c>
    </row>
    <row r="1609" spans="1:7" x14ac:dyDescent="0.2">
      <c r="A1609" t="s" s="0">
        <v>2388</v>
      </c>
      <c r="B1609" s="3">
        <v>1104461</v>
      </c>
      <c r="C1609" s="3">
        <v>26423</v>
      </c>
      <c r="D1609" s="3">
        <v>45876</v>
      </c>
      <c r="E1609" s="3">
        <v>41528</v>
      </c>
      <c r="F1609" s="3">
        <v>49918</v>
      </c>
      <c r="G1609" s="3">
        <v>50103</v>
      </c>
    </row>
    <row r="1610" spans="1:7" x14ac:dyDescent="0.2">
      <c r="A1610" t="s" s="0">
        <v>2387</v>
      </c>
      <c r="B1610" s="2">
        <v>1154256</v>
      </c>
      <c r="C1610" s="2">
        <v>22448</v>
      </c>
      <c r="D1610" s="2">
        <v>42545</v>
      </c>
      <c r="E1610" s="2">
        <v>41891</v>
      </c>
      <c r="F1610" s="2">
        <v>61335</v>
      </c>
      <c r="G1610" s="2">
        <v>53982</v>
      </c>
    </row>
    <row r="1611" spans="1:7" x14ac:dyDescent="0.2">
      <c r="A1611" t="s" s="0">
        <v>2386</v>
      </c>
      <c r="B1611" s="2">
        <v>1186498</v>
      </c>
      <c r="C1611" s="2">
        <v>40288</v>
      </c>
      <c r="D1611" s="2">
        <v>38104</v>
      </c>
      <c r="E1611" s="2">
        <v>41858</v>
      </c>
      <c r="F1611" s="2">
        <v>68094</v>
      </c>
      <c r="G1611" s="2">
        <v>54788</v>
      </c>
    </row>
    <row r="1612" spans="1:7" x14ac:dyDescent="0.2">
      <c r="A1612" t="s" s="0">
        <v>2385</v>
      </c>
      <c r="B1612" s="2">
        <v>1153735</v>
      </c>
      <c r="C1612" s="2">
        <v>45542</v>
      </c>
      <c r="D1612" s="2">
        <v>40029</v>
      </c>
      <c r="E1612" s="2">
        <v>42880</v>
      </c>
      <c r="F1612" s="2">
        <v>58191</v>
      </c>
      <c r="G1612" s="2">
        <v>51594</v>
      </c>
    </row>
    <row r="1613" spans="1:7" x14ac:dyDescent="0.2">
      <c r="A1613" t="s" s="0">
        <v>2384</v>
      </c>
      <c r="B1613" s="2">
        <v>1210087</v>
      </c>
      <c r="C1613" s="2">
        <v>42655</v>
      </c>
      <c r="D1613" s="2">
        <v>39117</v>
      </c>
      <c r="E1613" s="2">
        <v>43086</v>
      </c>
      <c r="F1613" s="2">
        <v>62452</v>
      </c>
      <c r="G1613" s="2">
        <v>53058</v>
      </c>
    </row>
    <row r="1614" spans="1:7" x14ac:dyDescent="0.2">
      <c r="A1614" t="s" s="0">
        <v>2383</v>
      </c>
      <c r="B1614" s="2">
        <v>1195959</v>
      </c>
      <c r="C1614" s="2">
        <v>44094</v>
      </c>
      <c r="D1614" s="2">
        <v>44498</v>
      </c>
      <c r="E1614" s="2">
        <v>44082</v>
      </c>
      <c r="F1614" s="2">
        <v>57184</v>
      </c>
      <c r="G1614" s="2">
        <v>53751</v>
      </c>
    </row>
    <row r="1615" spans="1:7" x14ac:dyDescent="0.2">
      <c r="A1615" t="s" s="0">
        <v>2382</v>
      </c>
      <c r="B1615" s="3">
        <v>1195959</v>
      </c>
      <c r="C1615" s="3">
        <v>44094</v>
      </c>
      <c r="D1615" s="3">
        <v>44498</v>
      </c>
      <c r="E1615" s="3">
        <v>44082</v>
      </c>
      <c r="F1615" s="3">
        <v>57184</v>
      </c>
      <c r="G1615" s="3">
        <v>53751</v>
      </c>
    </row>
    <row r="1616" spans="1:7" x14ac:dyDescent="0.2">
      <c r="A1616" t="s" s="0">
        <v>2381</v>
      </c>
      <c r="B1616" s="3">
        <v>1195959</v>
      </c>
      <c r="C1616" s="3">
        <v>44094</v>
      </c>
      <c r="D1616" s="3">
        <v>44498</v>
      </c>
      <c r="E1616" s="3">
        <v>44082</v>
      </c>
      <c r="F1616" s="3">
        <v>57184</v>
      </c>
      <c r="G1616" s="3">
        <v>53751</v>
      </c>
    </row>
    <row r="1617" spans="1:7" x14ac:dyDescent="0.2">
      <c r="A1617" t="s" s="0">
        <v>2380</v>
      </c>
      <c r="B1617" s="2">
        <v>1171942</v>
      </c>
      <c r="C1617" s="2">
        <v>24097</v>
      </c>
      <c r="D1617" s="2">
        <v>47988</v>
      </c>
      <c r="E1617" s="2">
        <v>44332</v>
      </c>
      <c r="F1617" s="2">
        <v>50082</v>
      </c>
      <c r="G1617" s="2">
        <v>53531</v>
      </c>
    </row>
    <row r="1618" spans="1:7" x14ac:dyDescent="0.2">
      <c r="A1618" t="s" s="0">
        <v>2379</v>
      </c>
      <c r="B1618" s="2">
        <v>1180911</v>
      </c>
      <c r="C1618" s="2">
        <v>41983</v>
      </c>
      <c r="D1618" s="2">
        <v>49659</v>
      </c>
      <c r="E1618" s="2">
        <v>44914</v>
      </c>
      <c r="F1618" s="2">
        <v>48428</v>
      </c>
      <c r="G1618" s="2">
        <v>55734</v>
      </c>
    </row>
    <row r="1619" spans="1:7" x14ac:dyDescent="0.2">
      <c r="A1619" t="s" s="0">
        <v>2378</v>
      </c>
      <c r="B1619" s="2">
        <v>1144168</v>
      </c>
      <c r="C1619" s="2">
        <v>41508</v>
      </c>
      <c r="D1619" s="2">
        <v>46224</v>
      </c>
      <c r="E1619" s="2">
        <v>43484</v>
      </c>
      <c r="F1619" s="2">
        <v>44117</v>
      </c>
      <c r="G1619" s="2">
        <v>55731</v>
      </c>
    </row>
    <row r="1620" spans="1:7" x14ac:dyDescent="0.2">
      <c r="A1620" t="s" s="0">
        <v>2377</v>
      </c>
      <c r="B1620" s="2">
        <v>1118833</v>
      </c>
      <c r="C1620" s="2">
        <v>42553</v>
      </c>
      <c r="D1620" s="2">
        <v>49464</v>
      </c>
      <c r="E1620" s="2">
        <v>44393</v>
      </c>
      <c r="F1620" s="2">
        <v>35687</v>
      </c>
      <c r="G1620" s="2">
        <v>50559</v>
      </c>
    </row>
    <row r="1621" spans="1:7" x14ac:dyDescent="0.2">
      <c r="A1621" t="s" s="0">
        <v>2376</v>
      </c>
      <c r="B1621" s="2">
        <v>1124756</v>
      </c>
      <c r="C1621" s="2">
        <v>41561</v>
      </c>
      <c r="D1621" s="2">
        <v>50205</v>
      </c>
      <c r="E1621" s="2">
        <v>45439</v>
      </c>
      <c r="F1621" s="2">
        <v>39292</v>
      </c>
      <c r="G1621" s="2">
        <v>43319</v>
      </c>
    </row>
    <row r="1622" spans="1:7" x14ac:dyDescent="0.2">
      <c r="A1622" t="s" s="0">
        <v>2375</v>
      </c>
      <c r="B1622" s="3">
        <v>1124756</v>
      </c>
      <c r="C1622" s="3">
        <v>41561</v>
      </c>
      <c r="D1622" s="3">
        <v>50205</v>
      </c>
      <c r="E1622" s="3">
        <v>45439</v>
      </c>
      <c r="F1622" s="3">
        <v>39292</v>
      </c>
      <c r="G1622" s="3">
        <v>43319</v>
      </c>
    </row>
    <row r="1623" spans="1:7" x14ac:dyDescent="0.2">
      <c r="A1623" t="s" s="0">
        <v>2374</v>
      </c>
      <c r="B1623" s="3">
        <v>1124756</v>
      </c>
      <c r="C1623" s="3">
        <v>41561</v>
      </c>
      <c r="D1623" s="3">
        <v>50205</v>
      </c>
      <c r="E1623" s="3">
        <v>45439</v>
      </c>
      <c r="F1623" s="3">
        <v>39292</v>
      </c>
      <c r="G1623" s="3">
        <v>43319</v>
      </c>
    </row>
    <row r="1624" spans="1:7" x14ac:dyDescent="0.2">
      <c r="A1624" t="s" s="0">
        <v>2373</v>
      </c>
      <c r="B1624" s="2">
        <v>1159909</v>
      </c>
      <c r="C1624" s="2">
        <v>25267</v>
      </c>
      <c r="D1624" s="2">
        <v>47867</v>
      </c>
      <c r="E1624" s="2">
        <v>45262</v>
      </c>
      <c r="F1624" s="2">
        <v>45454</v>
      </c>
      <c r="G1624" s="2">
        <v>46785</v>
      </c>
    </row>
    <row r="1625" spans="1:7" x14ac:dyDescent="0.2">
      <c r="A1625" t="s" s="0">
        <v>2372</v>
      </c>
      <c r="B1625" s="2">
        <v>1209100</v>
      </c>
      <c r="C1625" s="2">
        <v>33309</v>
      </c>
      <c r="D1625" s="2">
        <v>45199</v>
      </c>
      <c r="E1625" s="2">
        <v>45102</v>
      </c>
      <c r="F1625" s="2">
        <v>48532</v>
      </c>
      <c r="G1625" s="2">
        <v>49731</v>
      </c>
    </row>
    <row r="1626" spans="1:7" x14ac:dyDescent="0.2">
      <c r="A1626" t="s" s="0">
        <v>2371</v>
      </c>
      <c r="B1626" s="2">
        <v>1231707</v>
      </c>
      <c r="C1626" s="2">
        <v>42996</v>
      </c>
      <c r="D1626" s="2">
        <v>45412</v>
      </c>
      <c r="E1626" s="2">
        <v>45320</v>
      </c>
      <c r="F1626" s="2">
        <v>56843</v>
      </c>
      <c r="G1626" s="2">
        <v>50984</v>
      </c>
    </row>
    <row r="1627" spans="1:7" x14ac:dyDescent="0.2">
      <c r="A1627" t="s" s="0">
        <v>2370</v>
      </c>
      <c r="B1627" s="2">
        <v>1173544</v>
      </c>
      <c r="C1627" s="2">
        <v>42435</v>
      </c>
      <c r="D1627" s="2">
        <v>44387</v>
      </c>
      <c r="E1627" s="2">
        <v>45191</v>
      </c>
      <c r="F1627" s="2">
        <v>51128</v>
      </c>
      <c r="G1627" s="2">
        <v>48127</v>
      </c>
    </row>
    <row r="1628" spans="1:7" x14ac:dyDescent="0.2">
      <c r="A1628" t="s" s="0">
        <v>2369</v>
      </c>
      <c r="B1628" s="2">
        <v>1241561</v>
      </c>
      <c r="C1628" s="2">
        <v>41777</v>
      </c>
      <c r="D1628" s="2">
        <v>40459</v>
      </c>
      <c r="E1628" s="2">
        <v>45259</v>
      </c>
      <c r="F1628" s="2">
        <v>56070</v>
      </c>
      <c r="G1628" s="2">
        <v>50616</v>
      </c>
    </row>
    <row r="1629" spans="1:7" x14ac:dyDescent="0.2">
      <c r="A1629" t="s" s="0">
        <v>2368</v>
      </c>
      <c r="B1629" s="3">
        <v>1241561</v>
      </c>
      <c r="C1629" s="3">
        <v>41777</v>
      </c>
      <c r="D1629" s="3">
        <v>40459</v>
      </c>
      <c r="E1629" s="3">
        <v>45259</v>
      </c>
      <c r="F1629" s="3">
        <v>56070</v>
      </c>
      <c r="G1629" s="3">
        <v>50616</v>
      </c>
    </row>
    <row r="1630" spans="1:7" x14ac:dyDescent="0.2">
      <c r="A1630" t="s" s="0">
        <v>2367</v>
      </c>
      <c r="B1630" s="3">
        <v>1241561</v>
      </c>
      <c r="C1630" s="3">
        <v>41777</v>
      </c>
      <c r="D1630" s="3">
        <v>40459</v>
      </c>
      <c r="E1630" s="3">
        <v>45259</v>
      </c>
      <c r="F1630" s="3">
        <v>56070</v>
      </c>
      <c r="G1630" s="3">
        <v>50616</v>
      </c>
    </row>
    <row r="1631" spans="1:7" x14ac:dyDescent="0.2">
      <c r="A1631" t="s" s="0">
        <v>2366</v>
      </c>
      <c r="B1631" s="2">
        <v>1178859</v>
      </c>
      <c r="C1631" s="2">
        <v>25358</v>
      </c>
      <c r="D1631" s="2">
        <v>45507</v>
      </c>
      <c r="E1631" s="2">
        <v>45977</v>
      </c>
      <c r="F1631" s="2">
        <v>47139</v>
      </c>
      <c r="G1631" s="2">
        <v>51003</v>
      </c>
    </row>
    <row r="1632" spans="1:7" x14ac:dyDescent="0.2">
      <c r="A1632" t="s" s="0">
        <v>2365</v>
      </c>
      <c r="B1632" s="2">
        <v>1140619</v>
      </c>
      <c r="C1632" s="2">
        <v>38240</v>
      </c>
      <c r="D1632" s="2">
        <v>46211</v>
      </c>
      <c r="E1632" s="2">
        <v>44793</v>
      </c>
      <c r="F1632" s="2">
        <v>35354</v>
      </c>
      <c r="G1632" s="2">
        <v>50102</v>
      </c>
    </row>
    <row r="1633" spans="1:7" x14ac:dyDescent="0.2">
      <c r="A1633" t="s" s="0">
        <v>2364</v>
      </c>
      <c r="B1633" s="2">
        <v>1192370</v>
      </c>
      <c r="C1633" s="2">
        <v>40747</v>
      </c>
      <c r="D1633" s="2">
        <v>45890</v>
      </c>
      <c r="E1633" s="2">
        <v>44389</v>
      </c>
      <c r="F1633" s="2">
        <v>40017</v>
      </c>
      <c r="G1633" s="2">
        <v>49792</v>
      </c>
    </row>
    <row r="1634" spans="1:7" x14ac:dyDescent="0.2">
      <c r="A1634" t="s" s="0">
        <v>2363</v>
      </c>
      <c r="B1634" s="2">
        <v>1146174</v>
      </c>
      <c r="C1634" s="2">
        <v>41367</v>
      </c>
      <c r="D1634" s="2">
        <v>44181</v>
      </c>
      <c r="E1634" s="2">
        <v>44287</v>
      </c>
      <c r="F1634" s="2">
        <v>40017</v>
      </c>
      <c r="G1634" s="2">
        <v>47321</v>
      </c>
    </row>
    <row r="1635" spans="1:7" x14ac:dyDescent="0.2">
      <c r="A1635" t="s" s="0">
        <v>2362</v>
      </c>
      <c r="B1635" s="2">
        <v>1218322</v>
      </c>
      <c r="C1635" s="2">
        <v>37532</v>
      </c>
      <c r="D1635" s="2">
        <v>45704</v>
      </c>
      <c r="E1635" s="2">
        <v>45216</v>
      </c>
      <c r="F1635" s="2">
        <v>42131</v>
      </c>
      <c r="G1635" s="2">
        <v>48669</v>
      </c>
    </row>
    <row r="1636" spans="1:7" x14ac:dyDescent="0.2">
      <c r="A1636" t="s" s="0">
        <v>2361</v>
      </c>
      <c r="B1636" s="3">
        <v>1218322</v>
      </c>
      <c r="C1636" s="3">
        <v>37532</v>
      </c>
      <c r="D1636" s="3">
        <v>45704</v>
      </c>
      <c r="E1636" s="3">
        <v>45216</v>
      </c>
      <c r="F1636" s="3">
        <v>42131</v>
      </c>
      <c r="G1636" s="3">
        <v>48669</v>
      </c>
    </row>
    <row r="1637" spans="1:7" x14ac:dyDescent="0.2">
      <c r="A1637" t="s" s="0">
        <v>2360</v>
      </c>
      <c r="B1637" s="3">
        <v>1218322</v>
      </c>
      <c r="C1637" s="3">
        <v>37532</v>
      </c>
      <c r="D1637" s="3">
        <v>45704</v>
      </c>
      <c r="E1637" s="3">
        <v>45216</v>
      </c>
      <c r="F1637" s="3">
        <v>42131</v>
      </c>
      <c r="G1637" s="3">
        <v>48669</v>
      </c>
    </row>
    <row r="1638" spans="1:7" x14ac:dyDescent="0.2">
      <c r="A1638" t="s" s="0">
        <v>2359</v>
      </c>
      <c r="B1638" s="2">
        <v>1178345</v>
      </c>
      <c r="C1638" s="2">
        <v>27696</v>
      </c>
      <c r="D1638" s="2">
        <v>46801</v>
      </c>
      <c r="E1638" s="2">
        <v>47041</v>
      </c>
      <c r="F1638" s="2">
        <v>46473</v>
      </c>
      <c r="G1638" s="2">
        <v>47287</v>
      </c>
    </row>
    <row r="1639" spans="1:7" x14ac:dyDescent="0.2">
      <c r="A1639" t="s" s="0">
        <v>2358</v>
      </c>
      <c r="B1639" s="2">
        <v>1231191</v>
      </c>
      <c r="C1639" s="2">
        <v>37103</v>
      </c>
      <c r="D1639" s="2">
        <v>46638</v>
      </c>
      <c r="E1639" s="2">
        <v>46927</v>
      </c>
      <c r="F1639" s="2">
        <v>59323</v>
      </c>
      <c r="G1639" s="2">
        <v>47909</v>
      </c>
    </row>
    <row r="1640" spans="1:7" x14ac:dyDescent="0.2">
      <c r="A1640" t="s" s="0">
        <v>2357</v>
      </c>
      <c r="B1640" s="2">
        <v>1215678</v>
      </c>
      <c r="C1640" s="2">
        <v>15554</v>
      </c>
      <c r="D1640" s="2">
        <v>43039</v>
      </c>
      <c r="E1640" s="2">
        <v>45141</v>
      </c>
      <c r="F1640" s="2">
        <v>46369</v>
      </c>
      <c r="G1640" s="2">
        <v>46836</v>
      </c>
    </row>
    <row r="1641" spans="1:7" x14ac:dyDescent="0.2">
      <c r="A1641" t="s" s="0">
        <v>2356</v>
      </c>
      <c r="B1641" s="2">
        <v>1227261</v>
      </c>
      <c r="C1641" s="2">
        <v>41239</v>
      </c>
      <c r="D1641" s="2">
        <v>43334</v>
      </c>
      <c r="E1641" s="2">
        <v>45341</v>
      </c>
      <c r="F1641" s="2">
        <v>54917</v>
      </c>
      <c r="G1641" s="2">
        <v>45437</v>
      </c>
    </row>
    <row r="1642" spans="1:7" x14ac:dyDescent="0.2">
      <c r="A1642" t="s" s="0">
        <v>2355</v>
      </c>
      <c r="B1642" s="2">
        <v>1266662</v>
      </c>
      <c r="C1642" s="2">
        <v>35598</v>
      </c>
      <c r="D1642" s="2">
        <v>42356</v>
      </c>
      <c r="E1642" s="2">
        <v>44681</v>
      </c>
      <c r="F1642" s="2">
        <v>49261</v>
      </c>
      <c r="G1642" s="2">
        <v>46689</v>
      </c>
    </row>
    <row r="1643" spans="1:7" x14ac:dyDescent="0.2">
      <c r="A1643" t="s" s="0">
        <v>2354</v>
      </c>
      <c r="B1643" s="3">
        <v>1266662</v>
      </c>
      <c r="C1643" s="3">
        <v>35598</v>
      </c>
      <c r="D1643" s="3">
        <v>42356</v>
      </c>
      <c r="E1643" s="3">
        <v>44681</v>
      </c>
      <c r="F1643" s="3">
        <v>49261</v>
      </c>
      <c r="G1643" s="3">
        <v>46689</v>
      </c>
    </row>
    <row r="1644" spans="1:7" x14ac:dyDescent="0.2">
      <c r="A1644" t="s" s="0">
        <v>2353</v>
      </c>
      <c r="B1644" s="3">
        <v>1266662</v>
      </c>
      <c r="C1644" s="3">
        <v>35598</v>
      </c>
      <c r="D1644" s="3">
        <v>42356</v>
      </c>
      <c r="E1644" s="3">
        <v>44681</v>
      </c>
      <c r="F1644" s="3">
        <v>49261</v>
      </c>
      <c r="G1644" s="3">
        <v>46689</v>
      </c>
    </row>
    <row r="1645" spans="1:7" x14ac:dyDescent="0.2">
      <c r="A1645" t="s" s="0">
        <v>2352</v>
      </c>
      <c r="B1645" s="2">
        <v>1255585</v>
      </c>
      <c r="C1645" s="2">
        <v>22763</v>
      </c>
      <c r="D1645" s="2">
        <v>36345</v>
      </c>
      <c r="E1645" s="2">
        <v>44130</v>
      </c>
      <c r="F1645" s="2">
        <v>46828</v>
      </c>
      <c r="G1645" s="2">
        <v>46474</v>
      </c>
    </row>
    <row r="1646" spans="1:7" x14ac:dyDescent="0.2">
      <c r="A1646" t="s" s="0">
        <v>2351</v>
      </c>
      <c r="B1646" s="2">
        <v>1217836</v>
      </c>
      <c r="C1646" s="2">
        <v>37523</v>
      </c>
      <c r="D1646" s="2">
        <v>36405</v>
      </c>
      <c r="E1646" s="2">
        <v>43614</v>
      </c>
      <c r="F1646" s="2">
        <v>33987</v>
      </c>
      <c r="G1646" s="2">
        <v>44299</v>
      </c>
    </row>
    <row r="1647" spans="1:7" x14ac:dyDescent="0.2">
      <c r="A1647" t="s" s="0">
        <v>2350</v>
      </c>
      <c r="B1647" s="2">
        <v>1192773</v>
      </c>
      <c r="C1647" s="2">
        <v>25063</v>
      </c>
      <c r="D1647" s="2">
        <v>37764</v>
      </c>
      <c r="E1647" s="2">
        <v>43026</v>
      </c>
      <c r="F1647" s="2">
        <v>33981</v>
      </c>
      <c r="G1647" s="2">
        <v>44302</v>
      </c>
    </row>
    <row r="1648" spans="1:7" x14ac:dyDescent="0.2">
      <c r="A1648" t="s" s="0">
        <v>2349</v>
      </c>
      <c r="B1648" s="2">
        <v>1130080</v>
      </c>
      <c r="C1648" s="2">
        <v>40484</v>
      </c>
      <c r="D1648" s="2">
        <v>40181</v>
      </c>
      <c r="E1648" s="2">
        <v>43021</v>
      </c>
      <c r="F1648" s="2">
        <v>25544</v>
      </c>
      <c r="G1648" s="2">
        <v>42902</v>
      </c>
    </row>
    <row r="1649" spans="1:7" x14ac:dyDescent="0.2">
      <c r="A1649" t="s" s="0">
        <v>2348</v>
      </c>
      <c r="B1649" s="2">
        <v>1223660</v>
      </c>
      <c r="C1649" s="2">
        <v>36171</v>
      </c>
      <c r="D1649" s="2">
        <v>39620</v>
      </c>
      <c r="E1649" s="2">
        <v>42035</v>
      </c>
      <c r="F1649" s="2">
        <v>32722</v>
      </c>
      <c r="G1649" s="2">
        <v>45046</v>
      </c>
    </row>
    <row r="1650" spans="1:7" x14ac:dyDescent="0.2">
      <c r="A1650" t="s" s="0">
        <v>2347</v>
      </c>
      <c r="B1650" s="3">
        <v>1223660</v>
      </c>
      <c r="C1650" s="3">
        <v>36171</v>
      </c>
      <c r="D1650" s="3">
        <v>39620</v>
      </c>
      <c r="E1650" s="3">
        <v>42035</v>
      </c>
      <c r="F1650" s="3">
        <v>32722</v>
      </c>
      <c r="G1650" s="3">
        <v>45046</v>
      </c>
    </row>
    <row r="1651" spans="1:7" x14ac:dyDescent="0.2">
      <c r="A1651" t="s" s="0">
        <v>2346</v>
      </c>
      <c r="B1651" s="3">
        <v>1223660</v>
      </c>
      <c r="C1651" s="3">
        <v>36171</v>
      </c>
      <c r="D1651" s="3">
        <v>39620</v>
      </c>
      <c r="E1651" s="3">
        <v>42035</v>
      </c>
      <c r="F1651" s="3">
        <v>32722</v>
      </c>
      <c r="G1651" s="3">
        <v>45046</v>
      </c>
    </row>
    <row r="1652" spans="1:7" x14ac:dyDescent="0.2">
      <c r="A1652" t="s" s="0">
        <v>2345</v>
      </c>
      <c r="B1652" s="2">
        <v>1290917</v>
      </c>
      <c r="C1652" s="2">
        <v>20837</v>
      </c>
      <c r="D1652" s="2">
        <v>36455</v>
      </c>
      <c r="E1652" s="2">
        <v>41277</v>
      </c>
      <c r="F1652" s="2">
        <v>41300</v>
      </c>
      <c r="G1652" s="2">
        <v>45435</v>
      </c>
    </row>
    <row r="1653" spans="1:7" x14ac:dyDescent="0.2">
      <c r="A1653" t="s" s="0">
        <v>2344</v>
      </c>
      <c r="B1653" s="2">
        <v>1308144</v>
      </c>
      <c r="C1653" s="2">
        <v>32470</v>
      </c>
      <c r="D1653" s="2">
        <v>37162</v>
      </c>
      <c r="E1653" s="2">
        <v>41604</v>
      </c>
      <c r="F1653" s="2">
        <v>49819</v>
      </c>
      <c r="G1653" s="2">
        <v>44621</v>
      </c>
    </row>
    <row r="1654" spans="1:7" x14ac:dyDescent="0.2">
      <c r="A1654" t="s" s="0">
        <v>2343</v>
      </c>
      <c r="B1654" s="2">
        <v>1300611</v>
      </c>
      <c r="C1654" s="2">
        <v>36838</v>
      </c>
      <c r="D1654" s="2">
        <v>43106</v>
      </c>
      <c r="E1654" s="2">
        <v>42450</v>
      </c>
      <c r="F1654" s="2">
        <v>58140</v>
      </c>
      <c r="G1654" s="2">
        <v>44627</v>
      </c>
    </row>
    <row r="1655" spans="1:7" x14ac:dyDescent="0.2">
      <c r="A1655" t="s" s="0">
        <v>2342</v>
      </c>
      <c r="B1655" s="2">
        <v>1307811</v>
      </c>
      <c r="C1655" s="2">
        <v>39795</v>
      </c>
      <c r="D1655" s="2">
        <v>39909</v>
      </c>
      <c r="E1655" s="2">
        <v>41901</v>
      </c>
      <c r="F1655" s="2">
        <v>65172</v>
      </c>
      <c r="G1655" s="2">
        <v>46413</v>
      </c>
    </row>
    <row r="1656" spans="1:7" x14ac:dyDescent="0.2">
      <c r="A1656" t="s" s="0">
        <v>2341</v>
      </c>
      <c r="B1656" s="2">
        <v>1369377</v>
      </c>
      <c r="C1656" s="2">
        <v>33088</v>
      </c>
      <c r="D1656" s="2">
        <v>39255</v>
      </c>
      <c r="E1656" s="2">
        <v>41734</v>
      </c>
      <c r="F1656" s="2">
        <v>59906</v>
      </c>
      <c r="G1656" s="2">
        <v>46005</v>
      </c>
    </row>
    <row r="1657" spans="1:7" x14ac:dyDescent="0.2">
      <c r="A1657" t="s" s="0">
        <v>2340</v>
      </c>
      <c r="B1657" s="3">
        <v>1369377</v>
      </c>
      <c r="C1657" s="3">
        <v>33088</v>
      </c>
      <c r="D1657" s="3">
        <v>39255</v>
      </c>
      <c r="E1657" s="3">
        <v>41734</v>
      </c>
      <c r="F1657" s="3">
        <v>59906</v>
      </c>
      <c r="G1657" s="3">
        <v>46005</v>
      </c>
    </row>
    <row r="1658" spans="1:7" x14ac:dyDescent="0.2">
      <c r="A1658" t="s" s="0">
        <v>2339</v>
      </c>
      <c r="B1658" s="3">
        <v>1369377</v>
      </c>
      <c r="C1658" s="3">
        <v>33088</v>
      </c>
      <c r="D1658" s="3">
        <v>39255</v>
      </c>
      <c r="E1658" s="3">
        <v>41734</v>
      </c>
      <c r="F1658" s="3">
        <v>59906</v>
      </c>
      <c r="G1658" s="3">
        <v>46005</v>
      </c>
    </row>
    <row r="1659" spans="1:7" x14ac:dyDescent="0.2">
      <c r="A1659" t="s" s="0">
        <v>2338</v>
      </c>
      <c r="B1659" s="2">
        <v>1383981</v>
      </c>
      <c r="C1659" s="2">
        <v>21209</v>
      </c>
      <c r="D1659" s="2">
        <v>40481</v>
      </c>
      <c r="E1659" s="2">
        <v>40020</v>
      </c>
      <c r="F1659" s="2">
        <v>53610</v>
      </c>
      <c r="G1659" s="2">
        <v>47053</v>
      </c>
    </row>
    <row r="1660" spans="1:7" x14ac:dyDescent="0.2">
      <c r="A1660" t="s" s="0">
        <v>2337</v>
      </c>
      <c r="B1660" s="2">
        <v>1361727</v>
      </c>
      <c r="C1660" s="2">
        <v>35227</v>
      </c>
      <c r="D1660" s="2">
        <v>39445</v>
      </c>
      <c r="E1660" s="2">
        <v>39913</v>
      </c>
      <c r="F1660" s="2">
        <v>46935</v>
      </c>
      <c r="G1660" s="2">
        <v>47516</v>
      </c>
    </row>
    <row r="1661" spans="1:7" x14ac:dyDescent="0.2">
      <c r="A1661" t="s" s="0">
        <v>2336</v>
      </c>
      <c r="B1661" s="2">
        <v>1330163</v>
      </c>
      <c r="C1661" s="2">
        <v>39357</v>
      </c>
      <c r="D1661" s="2">
        <v>35544</v>
      </c>
      <c r="E1661" s="2">
        <v>39863</v>
      </c>
      <c r="F1661" s="2">
        <v>38612</v>
      </c>
      <c r="G1661" s="2">
        <v>44276</v>
      </c>
    </row>
    <row r="1662" spans="1:7" x14ac:dyDescent="0.2">
      <c r="A1662" t="s" s="0">
        <v>2335</v>
      </c>
      <c r="B1662" s="2">
        <v>1413923</v>
      </c>
      <c r="C1662" s="2">
        <v>34289</v>
      </c>
      <c r="D1662" s="2">
        <v>34328</v>
      </c>
      <c r="E1662" s="2">
        <v>39438</v>
      </c>
      <c r="F1662" s="2">
        <v>48333</v>
      </c>
      <c r="G1662" s="2">
        <v>48492</v>
      </c>
    </row>
    <row r="1663" spans="1:7" x14ac:dyDescent="0.2">
      <c r="A1663" t="s" s="0">
        <v>2334</v>
      </c>
      <c r="B1663" s="2">
        <v>1414271</v>
      </c>
      <c r="C1663" s="2">
        <v>39984</v>
      </c>
      <c r="D1663" s="2">
        <v>36164</v>
      </c>
      <c r="E1663" s="2">
        <v>39349</v>
      </c>
      <c r="F1663" s="2">
        <v>41462</v>
      </c>
      <c r="G1663" s="2">
        <v>45838</v>
      </c>
    </row>
    <row r="1664" spans="1:7" x14ac:dyDescent="0.2">
      <c r="A1664" t="s" s="0">
        <v>2333</v>
      </c>
      <c r="B1664" s="3">
        <v>1414271</v>
      </c>
      <c r="C1664" s="3">
        <v>39984</v>
      </c>
      <c r="D1664" s="3">
        <v>36164</v>
      </c>
      <c r="E1664" s="3">
        <v>39349</v>
      </c>
      <c r="F1664" s="3">
        <v>41462</v>
      </c>
      <c r="G1664" s="3">
        <v>45838</v>
      </c>
    </row>
    <row r="1665" spans="1:7" x14ac:dyDescent="0.2">
      <c r="A1665" t="s" s="0">
        <v>2332</v>
      </c>
      <c r="B1665" s="3">
        <v>1414271</v>
      </c>
      <c r="C1665" s="3">
        <v>39984</v>
      </c>
      <c r="D1665" s="3">
        <v>36164</v>
      </c>
      <c r="E1665" s="3">
        <v>39349</v>
      </c>
      <c r="F1665" s="3">
        <v>41462</v>
      </c>
      <c r="G1665" s="3">
        <v>45838</v>
      </c>
    </row>
    <row r="1666" spans="1:7" x14ac:dyDescent="0.2">
      <c r="A1666" t="s" s="0">
        <v>2331</v>
      </c>
      <c r="B1666" s="2">
        <v>1497049</v>
      </c>
      <c r="C1666" s="2">
        <v>20412</v>
      </c>
      <c r="D1666" s="2">
        <v>35862</v>
      </c>
      <c r="E1666" s="2">
        <v>37286</v>
      </c>
      <c r="F1666" s="2">
        <v>50899</v>
      </c>
      <c r="G1666" s="2">
        <v>48159</v>
      </c>
    </row>
    <row r="1667" spans="1:7" x14ac:dyDescent="0.2">
      <c r="A1667" t="s" s="0">
        <v>2330</v>
      </c>
      <c r="B1667" s="2">
        <v>1536785</v>
      </c>
      <c r="C1667" s="2">
        <v>33186</v>
      </c>
      <c r="D1667" s="2">
        <v>35570</v>
      </c>
      <c r="E1667" s="2">
        <v>37146</v>
      </c>
      <c r="F1667" s="2">
        <v>59463</v>
      </c>
      <c r="G1667" s="2">
        <v>47551</v>
      </c>
    </row>
    <row r="1668" spans="1:7" x14ac:dyDescent="0.2">
      <c r="A1668" t="s" s="0">
        <v>2329</v>
      </c>
      <c r="B1668" s="2">
        <v>1507247</v>
      </c>
      <c r="C1668" s="2">
        <v>30963</v>
      </c>
      <c r="D1668" s="2">
        <v>34371</v>
      </c>
      <c r="E1668" s="2">
        <v>37696</v>
      </c>
      <c r="F1668" s="2">
        <v>59501</v>
      </c>
      <c r="G1668" s="2">
        <v>47559</v>
      </c>
    </row>
    <row r="1669" spans="1:7" x14ac:dyDescent="0.2">
      <c r="A1669" t="s" s="0">
        <v>2328</v>
      </c>
      <c r="B1669" s="2">
        <v>1500190</v>
      </c>
      <c r="C1669" s="2">
        <v>33084</v>
      </c>
      <c r="D1669" s="2">
        <v>34199</v>
      </c>
      <c r="E1669" s="2">
        <v>37154</v>
      </c>
      <c r="F1669" s="2">
        <v>46355</v>
      </c>
      <c r="G1669" s="2">
        <v>46351</v>
      </c>
    </row>
    <row r="1670" spans="1:7" x14ac:dyDescent="0.2">
      <c r="A1670" t="s" s="0">
        <v>2327</v>
      </c>
      <c r="B1670" s="2">
        <v>1400433</v>
      </c>
      <c r="C1670" s="2">
        <v>35861</v>
      </c>
      <c r="D1670" s="2">
        <v>35045</v>
      </c>
      <c r="E1670" s="2">
        <v>37521</v>
      </c>
      <c r="F1670" s="2">
        <v>32901</v>
      </c>
      <c r="G1670" s="2">
        <v>41748</v>
      </c>
    </row>
    <row r="1671" spans="1:7" x14ac:dyDescent="0.2">
      <c r="A1671" t="s" s="0">
        <v>2326</v>
      </c>
      <c r="B1671" s="3">
        <v>1400433</v>
      </c>
      <c r="C1671" s="3">
        <v>35861</v>
      </c>
      <c r="D1671" s="3">
        <v>35045</v>
      </c>
      <c r="E1671" s="3">
        <v>37521</v>
      </c>
      <c r="F1671" s="3">
        <v>32901</v>
      </c>
      <c r="G1671" s="3">
        <v>41748</v>
      </c>
    </row>
    <row r="1672" spans="1:7" x14ac:dyDescent="0.2">
      <c r="A1672" t="s" s="0">
        <v>2325</v>
      </c>
      <c r="B1672" s="3">
        <v>1400433</v>
      </c>
      <c r="C1672" s="3">
        <v>35861</v>
      </c>
      <c r="D1672" s="3">
        <v>35045</v>
      </c>
      <c r="E1672" s="3">
        <v>37521</v>
      </c>
      <c r="F1672" s="3">
        <v>32901</v>
      </c>
      <c r="G1672" s="3">
        <v>41748</v>
      </c>
    </row>
    <row r="1673" spans="1:7" x14ac:dyDescent="0.2">
      <c r="A1673" t="s" s="0">
        <v>2324</v>
      </c>
      <c r="B1673" s="2">
        <v>1394986</v>
      </c>
      <c r="C1673" s="2">
        <v>22608</v>
      </c>
      <c r="D1673" s="2">
        <v>36512</v>
      </c>
      <c r="E1673" s="2">
        <v>37327</v>
      </c>
      <c r="F1673" s="2">
        <v>21764</v>
      </c>
      <c r="G1673" s="2">
        <v>41893</v>
      </c>
    </row>
    <row r="1674" spans="1:7" x14ac:dyDescent="0.2">
      <c r="A1674" t="s" s="0">
        <v>2323</v>
      </c>
      <c r="B1674" s="2">
        <v>1397458</v>
      </c>
      <c r="C1674" s="2">
        <v>32511</v>
      </c>
      <c r="D1674" s="2">
        <v>36415</v>
      </c>
      <c r="E1674" s="2">
        <v>37148</v>
      </c>
      <c r="F1674" s="2">
        <v>16344</v>
      </c>
      <c r="G1674" s="2">
        <v>43140</v>
      </c>
    </row>
    <row r="1675" spans="1:7" x14ac:dyDescent="0.2">
      <c r="A1675" t="s" s="0">
        <v>2322</v>
      </c>
      <c r="B1675" s="2">
        <v>1379402</v>
      </c>
      <c r="C1675" s="2">
        <v>45333</v>
      </c>
      <c r="D1675" s="2">
        <v>39897</v>
      </c>
      <c r="E1675" s="2">
        <v>38229</v>
      </c>
      <c r="F1675" s="2">
        <v>21428</v>
      </c>
      <c r="G1675" s="2">
        <v>44420</v>
      </c>
    </row>
    <row r="1676" spans="1:7" x14ac:dyDescent="0.2">
      <c r="A1676" t="s" s="0">
        <v>2321</v>
      </c>
      <c r="B1676" s="2">
        <v>1397256</v>
      </c>
      <c r="C1676" s="2">
        <v>32142</v>
      </c>
      <c r="D1676" s="2">
        <v>39762</v>
      </c>
      <c r="E1676" s="2">
        <v>37050</v>
      </c>
      <c r="F1676" s="2">
        <v>24852</v>
      </c>
      <c r="G1676" s="2">
        <v>46178</v>
      </c>
    </row>
    <row r="1677" spans="1:7" x14ac:dyDescent="0.2">
      <c r="A1677" t="s" s="0">
        <v>2320</v>
      </c>
      <c r="B1677" s="2">
        <v>1494614</v>
      </c>
      <c r="C1677" s="2">
        <v>38891</v>
      </c>
      <c r="D1677" s="2">
        <v>37338</v>
      </c>
      <c r="E1677" s="2">
        <v>36950</v>
      </c>
      <c r="F1677" s="2">
        <v>50627</v>
      </c>
      <c r="G1677" s="2">
        <v>46224</v>
      </c>
    </row>
    <row r="1678" spans="1:7" x14ac:dyDescent="0.2">
      <c r="A1678" t="s" s="0">
        <v>2319</v>
      </c>
      <c r="B1678" s="3">
        <v>1494614</v>
      </c>
      <c r="C1678" s="3">
        <v>38891</v>
      </c>
      <c r="D1678" s="3">
        <v>37338</v>
      </c>
      <c r="E1678" s="3">
        <v>36950</v>
      </c>
      <c r="F1678" s="3">
        <v>50627</v>
      </c>
      <c r="G1678" s="3">
        <v>46224</v>
      </c>
    </row>
    <row r="1679" spans="1:7" x14ac:dyDescent="0.2">
      <c r="A1679" t="s" s="0">
        <v>2318</v>
      </c>
      <c r="B1679" s="3">
        <v>1494614</v>
      </c>
      <c r="C1679" s="3">
        <v>38891</v>
      </c>
      <c r="D1679" s="3">
        <v>37338</v>
      </c>
      <c r="E1679" s="3">
        <v>36950</v>
      </c>
      <c r="F1679" s="3">
        <v>50627</v>
      </c>
      <c r="G1679" s="3">
        <v>46224</v>
      </c>
    </row>
    <row r="1680" spans="1:7" x14ac:dyDescent="0.2">
      <c r="A1680" t="s" s="0">
        <v>2317</v>
      </c>
      <c r="B1680" s="2">
        <v>1468476</v>
      </c>
      <c r="C1680" s="2">
        <v>25042</v>
      </c>
      <c r="D1680" s="2">
        <v>37598</v>
      </c>
      <c r="E1680" s="2">
        <v>37613</v>
      </c>
      <c r="F1680" s="2">
        <v>47932</v>
      </c>
      <c r="G1680" s="2">
        <v>43551</v>
      </c>
    </row>
    <row r="1681" spans="1:7" x14ac:dyDescent="0.2">
      <c r="A1681" t="s" s="0">
        <v>2316</v>
      </c>
      <c r="B1681" s="2">
        <v>1421422</v>
      </c>
      <c r="C1681" s="2">
        <v>37051</v>
      </c>
      <c r="D1681" s="2">
        <v>39676</v>
      </c>
      <c r="E1681" s="2">
        <v>37777</v>
      </c>
      <c r="F1681" s="2">
        <v>42934</v>
      </c>
      <c r="G1681" s="2">
        <v>41419</v>
      </c>
    </row>
    <row r="1682" spans="1:7" x14ac:dyDescent="0.2">
      <c r="A1682" t="s" s="0">
        <v>2315</v>
      </c>
      <c r="B1682" s="2">
        <v>1465588</v>
      </c>
      <c r="C1682" s="2">
        <v>37910</v>
      </c>
      <c r="D1682" s="2">
        <v>38046</v>
      </c>
      <c r="E1682" s="2">
        <v>36965</v>
      </c>
      <c r="F1682" s="2">
        <v>49983</v>
      </c>
      <c r="G1682" s="2">
        <v>42381</v>
      </c>
    </row>
    <row r="1683" spans="1:7" x14ac:dyDescent="0.2">
      <c r="A1683" t="s" s="0">
        <v>2314</v>
      </c>
      <c r="B1683" s="2">
        <v>1514613</v>
      </c>
      <c r="C1683" s="2">
        <v>39753</v>
      </c>
      <c r="D1683" s="2">
        <v>39134</v>
      </c>
      <c r="E1683" s="2">
        <v>36856</v>
      </c>
      <c r="F1683" s="2">
        <v>55523</v>
      </c>
      <c r="G1683" s="2">
        <v>43766</v>
      </c>
    </row>
    <row r="1684" spans="1:7" x14ac:dyDescent="0.2">
      <c r="A1684" t="s" s="0">
        <v>2313</v>
      </c>
      <c r="B1684" s="2">
        <v>1484106</v>
      </c>
      <c r="C1684" s="2">
        <v>30546</v>
      </c>
      <c r="D1684" s="2">
        <v>37942</v>
      </c>
      <c r="E1684" s="2">
        <v>36622</v>
      </c>
      <c r="F1684" s="2">
        <v>36025</v>
      </c>
      <c r="G1684" s="2">
        <v>40254</v>
      </c>
    </row>
    <row r="1685" spans="1:7" x14ac:dyDescent="0.2">
      <c r="A1685" t="s" s="0">
        <v>2312</v>
      </c>
      <c r="B1685" s="3">
        <v>1484106</v>
      </c>
      <c r="C1685" s="3">
        <v>30546</v>
      </c>
      <c r="D1685" s="3">
        <v>37942</v>
      </c>
      <c r="E1685" s="3">
        <v>36622</v>
      </c>
      <c r="F1685" s="3">
        <v>36025</v>
      </c>
      <c r="G1685" s="3">
        <v>40254</v>
      </c>
    </row>
    <row r="1686" spans="1:7" x14ac:dyDescent="0.2">
      <c r="A1686" t="s" s="0">
        <v>2311</v>
      </c>
      <c r="B1686" s="3">
        <v>1484106</v>
      </c>
      <c r="C1686" s="3">
        <v>30546</v>
      </c>
      <c r="D1686" s="3">
        <v>37942</v>
      </c>
      <c r="E1686" s="3">
        <v>36622</v>
      </c>
      <c r="F1686" s="3">
        <v>36025</v>
      </c>
      <c r="G1686" s="3">
        <v>40254</v>
      </c>
    </row>
    <row r="1687" spans="1:7" x14ac:dyDescent="0.2">
      <c r="A1687" t="s" s="0">
        <v>2310</v>
      </c>
      <c r="B1687" s="2">
        <v>1411390</v>
      </c>
      <c r="C1687" s="2">
        <v>25831</v>
      </c>
      <c r="D1687" s="2">
        <v>36970</v>
      </c>
      <c r="E1687" s="2">
        <v>36735</v>
      </c>
      <c r="F1687" s="2">
        <v>28399</v>
      </c>
      <c r="G1687" s="2">
        <v>37249</v>
      </c>
    </row>
    <row r="1688" spans="1:7" x14ac:dyDescent="0.2">
      <c r="A1688" t="s" s="0">
        <v>2309</v>
      </c>
      <c r="B1688" s="2">
        <v>1406389</v>
      </c>
      <c r="C1688" s="2">
        <v>34254</v>
      </c>
      <c r="D1688" s="2">
        <v>36142</v>
      </c>
      <c r="E1688" s="2">
        <v>36951</v>
      </c>
      <c r="F1688" s="2">
        <v>33398</v>
      </c>
      <c r="G1688" s="2">
        <v>38035</v>
      </c>
    </row>
    <row r="1689" spans="1:7" x14ac:dyDescent="0.2">
      <c r="A1689" t="s" s="0">
        <v>2308</v>
      </c>
      <c r="B1689" s="2">
        <v>1434696</v>
      </c>
      <c r="C1689" s="2">
        <v>40171</v>
      </c>
      <c r="D1689" s="2">
        <v>38474</v>
      </c>
      <c r="E1689" s="2">
        <v>37697</v>
      </c>
      <c r="F1689" s="2">
        <v>33548</v>
      </c>
      <c r="G1689" s="2">
        <v>41115</v>
      </c>
    </row>
    <row r="1690" spans="1:7" x14ac:dyDescent="0.2">
      <c r="A1690" t="s" s="0">
        <v>2307</v>
      </c>
      <c r="B1690" s="2">
        <v>1447464</v>
      </c>
      <c r="C1690" s="2">
        <v>42215</v>
      </c>
      <c r="D1690" s="2">
        <v>38825</v>
      </c>
      <c r="E1690" s="2">
        <v>37980</v>
      </c>
      <c r="F1690" s="2">
        <v>28720</v>
      </c>
      <c r="G1690" s="2">
        <v>38863</v>
      </c>
    </row>
    <row r="1691" spans="1:7" x14ac:dyDescent="0.2">
      <c r="A1691" t="s" s="0">
        <v>2306</v>
      </c>
      <c r="B1691" s="2">
        <v>1474292</v>
      </c>
      <c r="C1691" s="2">
        <v>43677</v>
      </c>
      <c r="D1691" s="2">
        <v>42130</v>
      </c>
      <c r="E1691" s="2">
        <v>38113</v>
      </c>
      <c r="F1691" s="2">
        <v>40215</v>
      </c>
      <c r="G1691" s="2">
        <v>39942</v>
      </c>
    </row>
    <row r="1692" spans="1:7" x14ac:dyDescent="0.2">
      <c r="A1692" t="s" s="0">
        <v>2305</v>
      </c>
      <c r="B1692" s="3">
        <v>1474292</v>
      </c>
      <c r="C1692" s="3">
        <v>43677</v>
      </c>
      <c r="D1692" s="3">
        <v>42130</v>
      </c>
      <c r="E1692" s="3">
        <v>38113</v>
      </c>
      <c r="F1692" s="3">
        <v>40215</v>
      </c>
      <c r="G1692" s="3">
        <v>39942</v>
      </c>
    </row>
    <row r="1693" spans="1:7" x14ac:dyDescent="0.2">
      <c r="A1693" t="s" s="0">
        <v>2304</v>
      </c>
      <c r="B1693" s="3">
        <v>1474292</v>
      </c>
      <c r="C1693" s="3">
        <v>43677</v>
      </c>
      <c r="D1693" s="3">
        <v>42130</v>
      </c>
      <c r="E1693" s="3">
        <v>38113</v>
      </c>
      <c r="F1693" s="3">
        <v>40215</v>
      </c>
      <c r="G1693" s="3">
        <v>39942</v>
      </c>
    </row>
    <row r="1694" spans="1:7" x14ac:dyDescent="0.2">
      <c r="A1694" t="s" s="0">
        <v>2303</v>
      </c>
      <c r="B1694" s="2">
        <v>1419524</v>
      </c>
      <c r="C1694" s="2">
        <v>21462</v>
      </c>
      <c r="D1694" s="2">
        <v>41225</v>
      </c>
      <c r="E1694" s="2">
        <v>38076</v>
      </c>
      <c r="F1694" s="2">
        <v>41874</v>
      </c>
      <c r="G1694" s="2">
        <v>34992</v>
      </c>
    </row>
    <row r="1695" spans="1:7" x14ac:dyDescent="0.2">
      <c r="A1695" t="s" s="0">
        <v>2302</v>
      </c>
      <c r="B1695" s="2">
        <v>1408939</v>
      </c>
      <c r="C1695" s="2">
        <v>40551</v>
      </c>
      <c r="D1695" s="2">
        <v>41124</v>
      </c>
      <c r="E1695" s="2">
        <v>38339</v>
      </c>
      <c r="F1695" s="2">
        <v>41157</v>
      </c>
      <c r="G1695" s="2">
        <v>33458</v>
      </c>
    </row>
    <row r="1696" spans="1:7" x14ac:dyDescent="0.2">
      <c r="A1696" t="s" s="0">
        <v>2301</v>
      </c>
      <c r="B1696" s="2">
        <v>1372846</v>
      </c>
      <c r="C1696" s="2">
        <v>39113</v>
      </c>
      <c r="D1696" s="2">
        <v>38105</v>
      </c>
      <c r="E1696" s="2">
        <v>38630</v>
      </c>
      <c r="F1696" s="2">
        <v>28838</v>
      </c>
      <c r="G1696" s="2">
        <v>33449</v>
      </c>
    </row>
    <row r="1697" spans="1:7" x14ac:dyDescent="0.2">
      <c r="A1697" t="s" s="0">
        <v>2300</v>
      </c>
      <c r="B1697" s="2">
        <v>1379851</v>
      </c>
      <c r="C1697" s="2">
        <v>37995</v>
      </c>
      <c r="D1697" s="2">
        <v>37502</v>
      </c>
      <c r="E1697" s="2">
        <v>38806</v>
      </c>
      <c r="F1697" s="2">
        <v>27412</v>
      </c>
      <c r="G1697" s="2">
        <v>34127</v>
      </c>
    </row>
    <row r="1698" spans="1:7" x14ac:dyDescent="0.2">
      <c r="A1698" t="s" s="0">
        <v>2299</v>
      </c>
      <c r="B1698" s="2">
        <v>1336229</v>
      </c>
      <c r="C1698" s="2">
        <v>43941</v>
      </c>
      <c r="D1698" s="2">
        <v>36111</v>
      </c>
      <c r="E1698" s="2">
        <v>38380</v>
      </c>
      <c r="F1698" s="2">
        <v>15957</v>
      </c>
      <c r="G1698" s="2">
        <v>35706</v>
      </c>
    </row>
    <row r="1699" spans="1:7" x14ac:dyDescent="0.2">
      <c r="A1699" t="s" s="0">
        <v>2298</v>
      </c>
      <c r="B1699" s="3">
        <v>1336229</v>
      </c>
      <c r="C1699" s="3">
        <v>43941</v>
      </c>
      <c r="D1699" s="3">
        <v>36111</v>
      </c>
      <c r="E1699" s="3">
        <v>38380</v>
      </c>
      <c r="F1699" s="3">
        <v>15957</v>
      </c>
      <c r="G1699" s="3">
        <v>35706</v>
      </c>
    </row>
    <row r="1700" spans="1:7" x14ac:dyDescent="0.2">
      <c r="A1700" t="s" s="0">
        <v>2297</v>
      </c>
      <c r="B1700" s="3">
        <v>1336229</v>
      </c>
      <c r="C1700" s="3">
        <v>43941</v>
      </c>
      <c r="D1700" s="3">
        <v>36111</v>
      </c>
      <c r="E1700" s="3">
        <v>38380</v>
      </c>
      <c r="F1700" s="3">
        <v>15957</v>
      </c>
      <c r="G1700" s="3">
        <v>35706</v>
      </c>
    </row>
    <row r="1701" spans="1:7" x14ac:dyDescent="0.2">
      <c r="A1701" t="s" s="0">
        <v>2296</v>
      </c>
      <c r="B1701" s="2">
        <v>1287140</v>
      </c>
      <c r="C1701" s="2">
        <v>20969</v>
      </c>
      <c r="D1701" s="2">
        <v>37057</v>
      </c>
      <c r="E1701" s="2">
        <v>38213</v>
      </c>
      <c r="F1701" s="2">
        <v>21151</v>
      </c>
      <c r="G1701" s="2">
        <v>34839</v>
      </c>
    </row>
    <row r="1702" spans="1:7" x14ac:dyDescent="0.2">
      <c r="A1702" t="s" s="0">
        <v>2295</v>
      </c>
      <c r="B1702" s="2">
        <v>1292764</v>
      </c>
      <c r="C1702" s="2">
        <v>32657</v>
      </c>
      <c r="D1702" s="2">
        <v>38745</v>
      </c>
      <c r="E1702" s="2">
        <v>38922</v>
      </c>
      <c r="F1702" s="2">
        <v>25155</v>
      </c>
      <c r="G1702" s="2">
        <v>35661</v>
      </c>
    </row>
    <row r="1703" spans="1:7" x14ac:dyDescent="0.2">
      <c r="A1703" t="s" s="0">
        <v>2294</v>
      </c>
      <c r="B1703" s="2">
        <v>1260110</v>
      </c>
      <c r="C1703" s="2">
        <v>43119</v>
      </c>
      <c r="D1703" s="2">
        <v>39366</v>
      </c>
      <c r="E1703" s="2">
        <v>38498</v>
      </c>
      <c r="F1703" s="2">
        <v>25918</v>
      </c>
      <c r="G1703" s="2">
        <v>34572</v>
      </c>
    </row>
    <row r="1704" spans="1:7" x14ac:dyDescent="0.2">
      <c r="A1704" t="s" s="0">
        <v>2293</v>
      </c>
      <c r="B1704" s="2">
        <v>1290887</v>
      </c>
      <c r="C1704" s="2">
        <v>38543</v>
      </c>
      <c r="D1704" s="2">
        <v>41868</v>
      </c>
      <c r="E1704" s="2">
        <v>39332</v>
      </c>
      <c r="F1704" s="2">
        <v>31817</v>
      </c>
      <c r="G1704" s="2">
        <v>35868</v>
      </c>
    </row>
    <row r="1705" spans="1:7" x14ac:dyDescent="0.2">
      <c r="A1705" t="s" s="0">
        <v>2292</v>
      </c>
      <c r="B1705" s="2">
        <v>1325182</v>
      </c>
      <c r="C1705" s="2">
        <v>38102</v>
      </c>
      <c r="D1705" s="2">
        <v>46792</v>
      </c>
      <c r="E1705" s="2">
        <v>40744</v>
      </c>
      <c r="F1705" s="2">
        <v>47857</v>
      </c>
      <c r="G1705" s="2">
        <v>35013</v>
      </c>
    </row>
    <row r="1706" spans="1:7" x14ac:dyDescent="0.2">
      <c r="A1706" t="s" s="0">
        <v>2291</v>
      </c>
      <c r="B1706" s="3">
        <v>1325182</v>
      </c>
      <c r="C1706" s="3">
        <v>38102</v>
      </c>
      <c r="D1706" s="3">
        <v>46792</v>
      </c>
      <c r="E1706" s="3">
        <v>40744</v>
      </c>
      <c r="F1706" s="3">
        <v>47857</v>
      </c>
      <c r="G1706" s="3">
        <v>35013</v>
      </c>
    </row>
    <row r="1707" spans="1:7" x14ac:dyDescent="0.2">
      <c r="A1707" t="s" s="0">
        <v>2290</v>
      </c>
      <c r="B1707" s="3">
        <v>1325182</v>
      </c>
      <c r="C1707" s="3">
        <v>38102</v>
      </c>
      <c r="D1707" s="3">
        <v>46792</v>
      </c>
      <c r="E1707" s="3">
        <v>40744</v>
      </c>
      <c r="F1707" s="3">
        <v>47857</v>
      </c>
      <c r="G1707" s="3">
        <v>35013</v>
      </c>
    </row>
    <row r="1708" spans="1:7" x14ac:dyDescent="0.2">
      <c r="A1708" t="s" s="0">
        <v>2289</v>
      </c>
      <c r="B1708" s="2">
        <v>1295389</v>
      </c>
      <c r="C1708" s="2">
        <v>23259</v>
      </c>
      <c r="D1708" s="2">
        <v>48870</v>
      </c>
      <c r="E1708" s="2">
        <v>41031</v>
      </c>
      <c r="F1708" s="2">
        <v>49255</v>
      </c>
      <c r="G1708" s="2">
        <v>35170</v>
      </c>
    </row>
    <row r="1709" spans="1:7" x14ac:dyDescent="0.2">
      <c r="A1709" t="s" s="0">
        <v>2288</v>
      </c>
      <c r="B1709" s="2">
        <v>1259202</v>
      </c>
      <c r="C1709" s="2">
        <v>36155</v>
      </c>
      <c r="D1709" s="2">
        <v>46554</v>
      </c>
      <c r="E1709" s="2">
        <v>40641</v>
      </c>
      <c r="F1709" s="2">
        <v>40966</v>
      </c>
      <c r="G1709" s="2">
        <v>35169</v>
      </c>
    </row>
    <row r="1710" spans="1:7" x14ac:dyDescent="0.2">
      <c r="A1710" t="s" s="0">
        <v>2287</v>
      </c>
      <c r="B1710" s="2">
        <v>1230296</v>
      </c>
      <c r="C1710" s="2">
        <v>40837</v>
      </c>
      <c r="D1710" s="2">
        <v>49721</v>
      </c>
      <c r="E1710" s="2">
        <v>41416</v>
      </c>
      <c r="F1710" s="2">
        <v>45201</v>
      </c>
      <c r="G1710" s="2">
        <v>33376</v>
      </c>
    </row>
    <row r="1711" spans="1:7" x14ac:dyDescent="0.2">
      <c r="A1711" t="s" s="0">
        <v>2286</v>
      </c>
      <c r="B1711" s="2">
        <v>1267255</v>
      </c>
      <c r="C1711" s="2">
        <v>40034</v>
      </c>
      <c r="D1711" s="2">
        <v>49365</v>
      </c>
      <c r="E1711" s="2">
        <v>41890</v>
      </c>
      <c r="F1711" s="2">
        <v>45727</v>
      </c>
      <c r="G1711" s="2">
        <v>33419</v>
      </c>
    </row>
    <row r="1712" spans="1:7" x14ac:dyDescent="0.2">
      <c r="A1712" t="s" s="0">
        <v>2285</v>
      </c>
      <c r="B1712" s="2">
        <v>1267320</v>
      </c>
      <c r="C1712" s="2">
        <v>40000</v>
      </c>
      <c r="D1712" s="2">
        <v>44592</v>
      </c>
      <c r="E1712" s="2">
        <v>42406</v>
      </c>
      <c r="F1712" s="2">
        <v>36079</v>
      </c>
      <c r="G1712" s="2">
        <v>35027</v>
      </c>
    </row>
    <row r="1713" spans="1:7" x14ac:dyDescent="0.2">
      <c r="A1713" t="s" s="0">
        <v>2284</v>
      </c>
      <c r="B1713" s="3">
        <v>1267320</v>
      </c>
      <c r="C1713" s="3">
        <v>40000</v>
      </c>
      <c r="D1713" s="3">
        <v>44592</v>
      </c>
      <c r="E1713" s="3">
        <v>42406</v>
      </c>
      <c r="F1713" s="3">
        <v>36079</v>
      </c>
      <c r="G1713" s="3">
        <v>35027</v>
      </c>
    </row>
    <row r="1714" spans="1:7" x14ac:dyDescent="0.2">
      <c r="A1714" t="s" s="0">
        <v>2283</v>
      </c>
      <c r="B1714" s="3">
        <v>1267320</v>
      </c>
      <c r="C1714" s="3">
        <v>40000</v>
      </c>
      <c r="D1714" s="3">
        <v>44592</v>
      </c>
      <c r="E1714" s="3">
        <v>42406</v>
      </c>
      <c r="F1714" s="3">
        <v>36079</v>
      </c>
      <c r="G1714" s="3">
        <v>35027</v>
      </c>
    </row>
    <row r="1715" spans="1:7" x14ac:dyDescent="0.2">
      <c r="A1715" t="s" s="0">
        <v>2282</v>
      </c>
      <c r="B1715" s="2">
        <v>1271152</v>
      </c>
      <c r="C1715" s="2">
        <v>24427</v>
      </c>
      <c r="D1715" s="2">
        <v>42285</v>
      </c>
      <c r="E1715" s="2">
        <v>42359</v>
      </c>
      <c r="F1715" s="2">
        <v>38576</v>
      </c>
      <c r="G1715" s="2">
        <v>37714</v>
      </c>
    </row>
    <row r="1716" spans="1:7" x14ac:dyDescent="0.2">
      <c r="A1716" t="s" s="0">
        <v>2281</v>
      </c>
      <c r="B1716" s="2">
        <v>1240524</v>
      </c>
      <c r="C1716" s="2">
        <v>41786</v>
      </c>
      <c r="D1716" s="2">
        <v>43090</v>
      </c>
      <c r="E1716" s="2">
        <v>42378</v>
      </c>
      <c r="F1716" s="2">
        <v>39764</v>
      </c>
      <c r="G1716" s="2">
        <v>36760</v>
      </c>
    </row>
    <row r="1717" spans="1:7" x14ac:dyDescent="0.2">
      <c r="A1717" t="s" s="0">
        <v>2280</v>
      </c>
      <c r="B1717" s="2">
        <v>1170696</v>
      </c>
      <c r="C1717" s="2">
        <v>39744</v>
      </c>
      <c r="D1717" s="2">
        <v>44682</v>
      </c>
      <c r="E1717" s="2">
        <v>42969</v>
      </c>
      <c r="F1717" s="2">
        <v>34765</v>
      </c>
      <c r="G1717" s="2">
        <v>33681</v>
      </c>
    </row>
    <row r="1718" spans="1:7" x14ac:dyDescent="0.2">
      <c r="A1718" t="s" s="0">
        <v>2279</v>
      </c>
      <c r="B1718" s="2">
        <v>1181633</v>
      </c>
      <c r="C1718" s="2">
        <v>39063</v>
      </c>
      <c r="D1718" s="2">
        <v>42689</v>
      </c>
      <c r="E1718" s="2">
        <v>42856</v>
      </c>
      <c r="F1718" s="2">
        <v>29054</v>
      </c>
      <c r="G1718" s="2">
        <v>33503</v>
      </c>
    </row>
    <row r="1719" spans="1:7" x14ac:dyDescent="0.2">
      <c r="A1719" t="s" s="0">
        <v>2278</v>
      </c>
      <c r="B1719" s="2">
        <v>1147089</v>
      </c>
      <c r="C1719" s="2">
        <v>34440</v>
      </c>
      <c r="D1719" s="2">
        <v>41180</v>
      </c>
      <c r="E1719" s="2">
        <v>42169</v>
      </c>
      <c r="F1719" s="2">
        <v>22602</v>
      </c>
      <c r="G1719" s="2">
        <v>30624</v>
      </c>
    </row>
    <row r="1720" spans="1:7" x14ac:dyDescent="0.2">
      <c r="A1720" t="s" s="0">
        <v>2277</v>
      </c>
      <c r="B1720" s="3">
        <v>1147089</v>
      </c>
      <c r="C1720" s="3">
        <v>34440</v>
      </c>
      <c r="D1720" s="3">
        <v>41180</v>
      </c>
      <c r="E1720" s="3">
        <v>42169</v>
      </c>
      <c r="F1720" s="3">
        <v>22602</v>
      </c>
      <c r="G1720" s="3">
        <v>30624</v>
      </c>
    </row>
    <row r="1721" spans="1:7" x14ac:dyDescent="0.2">
      <c r="A1721" t="s" s="0">
        <v>2276</v>
      </c>
      <c r="B1721" s="3">
        <v>1147089</v>
      </c>
      <c r="C1721" s="3">
        <v>34440</v>
      </c>
      <c r="D1721" s="3">
        <v>41180</v>
      </c>
      <c r="E1721" s="3">
        <v>42169</v>
      </c>
      <c r="F1721" s="3">
        <v>22602</v>
      </c>
      <c r="G1721" s="3">
        <v>30624</v>
      </c>
    </row>
    <row r="1722" spans="1:7" x14ac:dyDescent="0.2">
      <c r="A1722" t="s" s="0">
        <v>2275</v>
      </c>
      <c r="B1722" s="2">
        <v>1121976</v>
      </c>
      <c r="C1722" s="2">
        <v>23822</v>
      </c>
      <c r="D1722" s="2">
        <v>43884</v>
      </c>
      <c r="E1722" s="2">
        <v>43024</v>
      </c>
      <c r="F1722" s="2">
        <v>21171</v>
      </c>
      <c r="G1722" s="2">
        <v>32538</v>
      </c>
    </row>
    <row r="1723" spans="1:7" x14ac:dyDescent="0.2">
      <c r="A1723" t="s" s="0">
        <v>2274</v>
      </c>
      <c r="B1723" s="2">
        <v>1074501</v>
      </c>
      <c r="C1723" s="2">
        <v>41779</v>
      </c>
      <c r="D1723" s="2">
        <v>43914</v>
      </c>
      <c r="E1723" s="2">
        <v>43076</v>
      </c>
      <c r="F1723" s="2">
        <v>19204</v>
      </c>
      <c r="G1723" s="2">
        <v>31272</v>
      </c>
    </row>
    <row r="1724" spans="1:7" x14ac:dyDescent="0.2">
      <c r="A1724" t="s" s="0">
        <v>2273</v>
      </c>
      <c r="B1724" s="2">
        <v>1055991</v>
      </c>
      <c r="C1724" s="2">
        <v>39024</v>
      </c>
      <c r="D1724" s="2">
        <v>39164</v>
      </c>
      <c r="E1724" s="2">
        <v>43233</v>
      </c>
      <c r="F1724" s="2">
        <v>22778</v>
      </c>
      <c r="G1724" s="2">
        <v>32166</v>
      </c>
    </row>
    <row r="1725" spans="1:7" x14ac:dyDescent="0.2">
      <c r="A1725" t="s" s="0">
        <v>2272</v>
      </c>
      <c r="B1725" s="2">
        <v>1171914</v>
      </c>
      <c r="C1725" s="2">
        <v>38901</v>
      </c>
      <c r="D1725" s="2">
        <v>39855</v>
      </c>
      <c r="E1725" s="2">
        <v>43444</v>
      </c>
      <c r="F1725" s="2">
        <v>37235</v>
      </c>
      <c r="G1725" s="2">
        <v>35958</v>
      </c>
    </row>
    <row r="1726" spans="1:7" x14ac:dyDescent="0.2">
      <c r="A1726" t="s" s="0">
        <v>2271</v>
      </c>
      <c r="B1726" s="2">
        <v>1130658</v>
      </c>
      <c r="C1726" s="2">
        <v>40728</v>
      </c>
      <c r="D1726" s="2">
        <v>41040</v>
      </c>
      <c r="E1726" s="2">
        <v>43401</v>
      </c>
      <c r="F1726" s="2">
        <v>37461</v>
      </c>
      <c r="G1726" s="2">
        <v>36000</v>
      </c>
    </row>
    <row r="1727" spans="1:7" x14ac:dyDescent="0.2">
      <c r="A1727" t="s" s="0">
        <v>2270</v>
      </c>
      <c r="B1727" s="3">
        <v>1130658</v>
      </c>
      <c r="C1727" s="3">
        <v>40728</v>
      </c>
      <c r="D1727" s="3">
        <v>41040</v>
      </c>
      <c r="E1727" s="3">
        <v>43401</v>
      </c>
      <c r="F1727" s="3">
        <v>37461</v>
      </c>
      <c r="G1727" s="3">
        <v>36000</v>
      </c>
    </row>
    <row r="1728" spans="1:7" x14ac:dyDescent="0.2">
      <c r="A1728" t="s" s="0">
        <v>2269</v>
      </c>
      <c r="B1728" s="3">
        <v>1130658</v>
      </c>
      <c r="C1728" s="3">
        <v>40728</v>
      </c>
      <c r="D1728" s="3">
        <v>41040</v>
      </c>
      <c r="E1728" s="3">
        <v>43401</v>
      </c>
      <c r="F1728" s="3">
        <v>37461</v>
      </c>
      <c r="G1728" s="3">
        <v>36000</v>
      </c>
    </row>
    <row r="1729" spans="1:7" x14ac:dyDescent="0.2">
      <c r="A1729" t="s" s="0">
        <v>2268</v>
      </c>
      <c r="B1729" s="2">
        <v>1036621</v>
      </c>
      <c r="C1729" s="2">
        <v>24683</v>
      </c>
      <c r="D1729" s="2">
        <v>39456</v>
      </c>
      <c r="E1729" s="2">
        <v>43624</v>
      </c>
      <c r="F1729" s="2">
        <v>26030</v>
      </c>
      <c r="G1729" s="2">
        <v>33758</v>
      </c>
    </row>
    <row r="1730" spans="1:7" x14ac:dyDescent="0.2">
      <c r="A1730" t="s" s="0">
        <v>2267</v>
      </c>
      <c r="B1730" s="2">
        <v>1047636</v>
      </c>
      <c r="C1730" s="2">
        <v>39457</v>
      </c>
      <c r="D1730" s="2">
        <v>39093</v>
      </c>
      <c r="E1730" s="2">
        <v>43163</v>
      </c>
      <c r="F1730" s="2">
        <v>34024</v>
      </c>
      <c r="G1730" s="2">
        <v>33489</v>
      </c>
    </row>
    <row r="1731" spans="1:7" x14ac:dyDescent="0.2">
      <c r="A1731" t="s" s="0">
        <v>2266</v>
      </c>
      <c r="B1731" s="2">
        <v>1010128</v>
      </c>
      <c r="C1731" s="2">
        <v>45996</v>
      </c>
      <c r="D1731" s="2">
        <v>39446</v>
      </c>
      <c r="E1731" s="2">
        <v>43253</v>
      </c>
      <c r="F1731" s="2">
        <v>30291</v>
      </c>
      <c r="G1731" s="2">
        <v>33259</v>
      </c>
    </row>
    <row r="1732" spans="1:7" x14ac:dyDescent="0.2">
      <c r="A1732" t="s" s="0">
        <v>2265</v>
      </c>
      <c r="B1732" s="2">
        <v>1040089</v>
      </c>
      <c r="C1732" s="2">
        <v>37120</v>
      </c>
      <c r="D1732" s="2">
        <v>40343</v>
      </c>
      <c r="E1732" s="2">
        <v>43063</v>
      </c>
      <c r="F1732" s="2">
        <v>20140</v>
      </c>
      <c r="G1732" s="2">
        <v>33039</v>
      </c>
    </row>
    <row r="1733" spans="1:7" x14ac:dyDescent="0.2">
      <c r="A1733" t="s" s="0">
        <v>2264</v>
      </c>
      <c r="B1733" s="2">
        <v>1031733</v>
      </c>
      <c r="C1733" s="2">
        <v>39380</v>
      </c>
      <c r="D1733" s="2">
        <v>39857</v>
      </c>
      <c r="E1733" s="2">
        <v>41667</v>
      </c>
      <c r="F1733" s="2">
        <v>24354</v>
      </c>
      <c r="G1733" s="2">
        <v>30124</v>
      </c>
    </row>
    <row r="1734" spans="1:7" x14ac:dyDescent="0.2">
      <c r="A1734" t="s" s="0">
        <v>2263</v>
      </c>
      <c r="B1734" s="3">
        <v>1031733</v>
      </c>
      <c r="C1734" s="3">
        <v>39380</v>
      </c>
      <c r="D1734" s="3">
        <v>39857</v>
      </c>
      <c r="E1734" s="3">
        <v>41667</v>
      </c>
      <c r="F1734" s="3">
        <v>24354</v>
      </c>
      <c r="G1734" s="3">
        <v>30124</v>
      </c>
    </row>
    <row r="1735" spans="1:7" x14ac:dyDescent="0.2">
      <c r="A1735" t="s" s="0">
        <v>2262</v>
      </c>
      <c r="B1735" s="3">
        <v>1031733</v>
      </c>
      <c r="C1735" s="3">
        <v>39380</v>
      </c>
      <c r="D1735" s="3">
        <v>39857</v>
      </c>
      <c r="E1735" s="3">
        <v>41667</v>
      </c>
      <c r="F1735" s="3">
        <v>24354</v>
      </c>
      <c r="G1735" s="3">
        <v>30124</v>
      </c>
    </row>
    <row r="1736" spans="1:7" x14ac:dyDescent="0.2">
      <c r="A1736" t="s" s="0">
        <v>2261</v>
      </c>
      <c r="B1736" s="2">
        <v>1081424</v>
      </c>
      <c r="C1736" s="2">
        <v>26469</v>
      </c>
      <c r="D1736" s="2">
        <v>42108</v>
      </c>
      <c r="E1736" s="2">
        <v>41933</v>
      </c>
      <c r="F1736" s="2">
        <v>47171</v>
      </c>
      <c r="G1736" s="2">
        <v>33237</v>
      </c>
    </row>
    <row r="1737" spans="1:7" x14ac:dyDescent="0.2">
      <c r="A1737" t="s" s="0">
        <v>2260</v>
      </c>
      <c r="B1737" s="2">
        <v>1044816</v>
      </c>
      <c r="C1737" s="2">
        <v>41098</v>
      </c>
      <c r="D1737" s="2">
        <v>43940</v>
      </c>
      <c r="E1737" s="2">
        <v>42509</v>
      </c>
      <c r="F1737" s="2">
        <v>42200</v>
      </c>
      <c r="G1737" s="2">
        <v>33798</v>
      </c>
    </row>
    <row r="1738" spans="1:7" x14ac:dyDescent="0.2">
      <c r="A1738" t="s" s="0">
        <v>2259</v>
      </c>
      <c r="B1738" s="2">
        <v>1076813</v>
      </c>
      <c r="C1738" s="2">
        <v>45113</v>
      </c>
      <c r="D1738" s="2">
        <v>44243</v>
      </c>
      <c r="E1738" s="2">
        <v>41884</v>
      </c>
      <c r="F1738" s="2">
        <v>53097</v>
      </c>
      <c r="G1738" s="2">
        <v>35233</v>
      </c>
    </row>
    <row r="1739" spans="1:7" x14ac:dyDescent="0.2">
      <c r="A1739" t="s" s="0">
        <v>2258</v>
      </c>
      <c r="B1739" s="2">
        <v>1140040</v>
      </c>
      <c r="C1739" s="2">
        <v>43017</v>
      </c>
      <c r="D1739" s="2">
        <v>44480</v>
      </c>
      <c r="E1739" s="2">
        <v>41842</v>
      </c>
      <c r="F1739" s="2">
        <v>58086</v>
      </c>
      <c r="G1739" s="2">
        <v>36129</v>
      </c>
    </row>
    <row r="1740" spans="1:7" x14ac:dyDescent="0.2">
      <c r="A1740" t="s" s="0">
        <v>2257</v>
      </c>
      <c r="B1740" s="2">
        <v>1087642</v>
      </c>
      <c r="C1740" s="2">
        <v>40589</v>
      </c>
      <c r="D1740" s="2">
        <v>46346</v>
      </c>
      <c r="E1740" s="2">
        <v>42106</v>
      </c>
      <c r="F1740" s="2">
        <v>53661</v>
      </c>
      <c r="G1740" s="2">
        <v>34519</v>
      </c>
    </row>
    <row r="1741" spans="1:7" x14ac:dyDescent="0.2">
      <c r="A1741" t="s" s="0">
        <v>2256</v>
      </c>
      <c r="B1741" s="3">
        <v>1087642</v>
      </c>
      <c r="C1741" s="3">
        <v>40589</v>
      </c>
      <c r="D1741" s="3">
        <v>46346</v>
      </c>
      <c r="E1741" s="3">
        <v>42106</v>
      </c>
      <c r="F1741" s="3">
        <v>53661</v>
      </c>
      <c r="G1741" s="3">
        <v>34519</v>
      </c>
    </row>
    <row r="1742" spans="1:7" x14ac:dyDescent="0.2">
      <c r="A1742" t="s" s="0">
        <v>2255</v>
      </c>
      <c r="B1742" s="3">
        <v>1087642</v>
      </c>
      <c r="C1742" s="3">
        <v>40589</v>
      </c>
      <c r="D1742" s="3">
        <v>46346</v>
      </c>
      <c r="E1742" s="3">
        <v>42106</v>
      </c>
      <c r="F1742" s="3">
        <v>53661</v>
      </c>
      <c r="G1742" s="3">
        <v>34519</v>
      </c>
    </row>
    <row r="1743" spans="1:7" x14ac:dyDescent="0.2">
      <c r="A1743" t="s" s="0">
        <v>2254</v>
      </c>
      <c r="B1743" s="2">
        <v>1000158</v>
      </c>
      <c r="C1743" s="2">
        <v>27091</v>
      </c>
      <c r="D1743" s="2">
        <v>44615</v>
      </c>
      <c r="E1743" s="2">
        <v>42516</v>
      </c>
      <c r="F1743" s="2">
        <v>32300</v>
      </c>
      <c r="G1743" s="2">
        <v>31668</v>
      </c>
    </row>
    <row r="1744" spans="1:7" x14ac:dyDescent="0.2">
      <c r="A1744" t="s" s="0">
        <v>2253</v>
      </c>
      <c r="B1744" s="2">
        <v>967882</v>
      </c>
      <c r="C1744" s="2">
        <v>43253</v>
      </c>
      <c r="D1744" s="2">
        <v>43326</v>
      </c>
      <c r="E1744" s="2">
        <v>42568</v>
      </c>
      <c r="F1744" s="2">
        <v>31629</v>
      </c>
      <c r="G1744" s="2">
        <v>31764</v>
      </c>
    </row>
    <row r="1745" spans="1:7" x14ac:dyDescent="0.2">
      <c r="A1745" t="s" s="0">
        <v>2252</v>
      </c>
      <c r="B1745" s="2">
        <v>946717</v>
      </c>
      <c r="C1745" s="2">
        <v>43381</v>
      </c>
      <c r="D1745" s="2">
        <v>43333</v>
      </c>
      <c r="E1745" s="2">
        <v>41546</v>
      </c>
      <c r="F1745" s="2">
        <v>24103</v>
      </c>
      <c r="G1745" s="2">
        <v>32567</v>
      </c>
    </row>
    <row r="1746" spans="1:7" x14ac:dyDescent="0.2">
      <c r="A1746" t="s" s="0">
        <v>2251</v>
      </c>
      <c r="B1746" s="2">
        <v>1011134</v>
      </c>
      <c r="C1746" s="2">
        <v>45565</v>
      </c>
      <c r="D1746" s="2">
        <v>42437</v>
      </c>
      <c r="E1746" s="2">
        <v>41779</v>
      </c>
      <c r="F1746" s="2">
        <v>23467</v>
      </c>
      <c r="G1746" s="2">
        <v>34732</v>
      </c>
    </row>
    <row r="1747" spans="1:7" x14ac:dyDescent="0.2">
      <c r="A1747" t="s" s="0">
        <v>2250</v>
      </c>
      <c r="B1747" s="2">
        <v>993890</v>
      </c>
      <c r="C1747" s="2">
        <v>37254</v>
      </c>
      <c r="D1747" s="2">
        <v>40979</v>
      </c>
      <c r="E1747" s="2">
        <v>42056</v>
      </c>
      <c r="F1747" s="2">
        <v>27031</v>
      </c>
      <c r="G1747" s="2">
        <v>35627</v>
      </c>
    </row>
    <row r="1748" spans="1:7" x14ac:dyDescent="0.2">
      <c r="A1748" t="s" s="0">
        <v>2249</v>
      </c>
      <c r="B1748" s="3">
        <v>993890</v>
      </c>
      <c r="C1748" s="3">
        <v>37254</v>
      </c>
      <c r="D1748" s="3">
        <v>40979</v>
      </c>
      <c r="E1748" s="3">
        <v>42056</v>
      </c>
      <c r="F1748" s="3">
        <v>27031</v>
      </c>
      <c r="G1748" s="3">
        <v>35627</v>
      </c>
    </row>
    <row r="1749" spans="1:7" x14ac:dyDescent="0.2">
      <c r="A1749" t="s" s="0">
        <v>2248</v>
      </c>
      <c r="B1749" s="3">
        <v>993890</v>
      </c>
      <c r="C1749" s="3">
        <v>37254</v>
      </c>
      <c r="D1749" s="3">
        <v>40979</v>
      </c>
      <c r="E1749" s="3">
        <v>42056</v>
      </c>
      <c r="F1749" s="3">
        <v>27031</v>
      </c>
      <c r="G1749" s="3">
        <v>35627</v>
      </c>
    </row>
    <row r="1750" spans="1:7" x14ac:dyDescent="0.2">
      <c r="A1750" t="s" s="0">
        <v>2247</v>
      </c>
      <c r="B1750" s="2">
        <v>1028247</v>
      </c>
      <c r="C1750" s="2">
        <v>25806</v>
      </c>
      <c r="D1750" s="2">
        <v>41922</v>
      </c>
      <c r="E1750" s="2">
        <v>42025</v>
      </c>
      <c r="F1750" s="2">
        <v>45380</v>
      </c>
      <c r="G1750" s="2">
        <v>37720</v>
      </c>
    </row>
    <row r="1751" spans="1:7" x14ac:dyDescent="0.2">
      <c r="A1751" t="s" s="0">
        <v>2246</v>
      </c>
      <c r="B1751" s="2">
        <v>991825</v>
      </c>
      <c r="C1751" s="2">
        <v>36425</v>
      </c>
      <c r="D1751" s="2">
        <v>40946</v>
      </c>
      <c r="E1751" s="2">
        <v>41826</v>
      </c>
      <c r="F1751" s="2">
        <v>43812</v>
      </c>
      <c r="G1751" s="2">
        <v>37916</v>
      </c>
    </row>
    <row r="1752" spans="1:7" x14ac:dyDescent="0.2">
      <c r="A1752" t="s" s="0">
        <v>2245</v>
      </c>
      <c r="B1752" s="2">
        <v>1035165</v>
      </c>
      <c r="C1752" s="2">
        <v>41141</v>
      </c>
      <c r="D1752" s="2">
        <v>40657</v>
      </c>
      <c r="E1752" s="2">
        <v>41920</v>
      </c>
      <c r="F1752" s="2">
        <v>52026</v>
      </c>
      <c r="G1752" s="2">
        <v>39879</v>
      </c>
    </row>
    <row r="1753" spans="1:7" x14ac:dyDescent="0.2">
      <c r="A1753" t="s" s="0">
        <v>2244</v>
      </c>
      <c r="B1753" s="2">
        <v>1009404</v>
      </c>
      <c r="C1753" s="2">
        <v>44881</v>
      </c>
      <c r="D1753" s="2">
        <v>41388</v>
      </c>
      <c r="E1753" s="2">
        <v>42162</v>
      </c>
      <c r="F1753" s="2">
        <v>39785</v>
      </c>
      <c r="G1753" s="2">
        <v>35369</v>
      </c>
    </row>
    <row r="1754" spans="1:7" x14ac:dyDescent="0.2">
      <c r="A1754" t="s" s="0">
        <v>2243</v>
      </c>
      <c r="B1754" s="2">
        <v>984972</v>
      </c>
      <c r="C1754" s="2">
        <v>44426</v>
      </c>
      <c r="D1754" s="2">
        <v>41708</v>
      </c>
      <c r="E1754" s="2">
        <v>42222</v>
      </c>
      <c r="F1754" s="2">
        <v>39077</v>
      </c>
      <c r="G1754" s="2">
        <v>36031</v>
      </c>
    </row>
    <row r="1755" spans="1:7" x14ac:dyDescent="0.2">
      <c r="A1755" t="s" s="0">
        <v>2242</v>
      </c>
      <c r="B1755" s="3">
        <v>984972</v>
      </c>
      <c r="C1755" s="3">
        <v>44426</v>
      </c>
      <c r="D1755" s="3">
        <v>41708</v>
      </c>
      <c r="E1755" s="3">
        <v>42222</v>
      </c>
      <c r="F1755" s="3">
        <v>39077</v>
      </c>
      <c r="G1755" s="3">
        <v>36031</v>
      </c>
    </row>
    <row r="1756" spans="1:7" x14ac:dyDescent="0.2">
      <c r="A1756" t="s" s="0">
        <v>2241</v>
      </c>
      <c r="B1756" s="3">
        <v>984972</v>
      </c>
      <c r="C1756" s="3">
        <v>44426</v>
      </c>
      <c r="D1756" s="3">
        <v>41708</v>
      </c>
      <c r="E1756" s="3">
        <v>42222</v>
      </c>
      <c r="F1756" s="3">
        <v>39077</v>
      </c>
      <c r="G1756" s="3">
        <v>36031</v>
      </c>
    </row>
    <row r="1757" spans="1:7" x14ac:dyDescent="0.2">
      <c r="A1757" t="s" s="0">
        <v>2240</v>
      </c>
      <c r="B1757" s="2">
        <v>936769</v>
      </c>
      <c r="C1757" s="2">
        <v>24436</v>
      </c>
      <c r="D1757" s="2">
        <v>43790</v>
      </c>
      <c r="E1757" s="2">
        <v>43109</v>
      </c>
      <c r="F1757" s="2">
        <v>29365</v>
      </c>
      <c r="G1757" s="2">
        <v>38554</v>
      </c>
    </row>
    <row r="1758" spans="1:7" x14ac:dyDescent="0.2">
      <c r="A1758" t="s" s="0">
        <v>2239</v>
      </c>
      <c r="B1758" s="2">
        <v>985465</v>
      </c>
      <c r="C1758" s="2">
        <v>47203</v>
      </c>
      <c r="D1758" s="2">
        <v>45330</v>
      </c>
      <c r="E1758" s="2">
        <v>43385</v>
      </c>
      <c r="F1758" s="2">
        <v>43064</v>
      </c>
      <c r="G1758" s="2">
        <v>40176</v>
      </c>
    </row>
    <row r="1759" spans="1:7" x14ac:dyDescent="0.2">
      <c r="A1759" t="s" s="0">
        <v>2238</v>
      </c>
      <c r="B1759" s="2">
        <v>942291</v>
      </c>
      <c r="C1759" s="2">
        <v>43702</v>
      </c>
      <c r="D1759" s="2">
        <v>45461</v>
      </c>
      <c r="E1759" s="2">
        <v>43423</v>
      </c>
      <c r="F1759" s="2">
        <v>31017</v>
      </c>
      <c r="G1759" s="2">
        <v>40061</v>
      </c>
    </row>
    <row r="1760" spans="1:7" x14ac:dyDescent="0.2">
      <c r="A1760" t="s" s="0">
        <v>2237</v>
      </c>
      <c r="B1760" s="2">
        <v>912504</v>
      </c>
      <c r="C1760" s="2">
        <v>43777</v>
      </c>
      <c r="D1760" s="2">
        <v>48047</v>
      </c>
      <c r="E1760" s="2">
        <v>44088</v>
      </c>
      <c r="F1760" s="2">
        <v>33027</v>
      </c>
      <c r="G1760" s="2">
        <v>38591</v>
      </c>
    </row>
    <row r="1761" spans="1:7" x14ac:dyDescent="0.2">
      <c r="A1761" t="s" s="0">
        <v>2236</v>
      </c>
      <c r="B1761" s="2">
        <v>870153</v>
      </c>
      <c r="C1761" s="2">
        <v>48348</v>
      </c>
      <c r="D1761" s="2">
        <v>50599</v>
      </c>
      <c r="E1761" s="2">
        <v>44908</v>
      </c>
      <c r="F1761" s="2">
        <v>33020</v>
      </c>
      <c r="G1761" s="2">
        <v>38197</v>
      </c>
    </row>
    <row r="1762" spans="1:7" x14ac:dyDescent="0.2">
      <c r="A1762" t="s" s="0">
        <v>2235</v>
      </c>
      <c r="B1762" s="3">
        <v>870153</v>
      </c>
      <c r="C1762" s="3">
        <v>48348</v>
      </c>
      <c r="D1762" s="3">
        <v>50599</v>
      </c>
      <c r="E1762" s="3">
        <v>44908</v>
      </c>
      <c r="F1762" s="3">
        <v>33020</v>
      </c>
      <c r="G1762" s="3">
        <v>38197</v>
      </c>
    </row>
    <row r="1763" spans="1:7" x14ac:dyDescent="0.2">
      <c r="A1763" t="s" s="0">
        <v>2234</v>
      </c>
      <c r="B1763" s="3">
        <v>870153</v>
      </c>
      <c r="C1763" s="3">
        <v>48348</v>
      </c>
      <c r="D1763" s="3">
        <v>50599</v>
      </c>
      <c r="E1763" s="3">
        <v>44908</v>
      </c>
      <c r="F1763" s="3">
        <v>33020</v>
      </c>
      <c r="G1763" s="3">
        <v>38197</v>
      </c>
    </row>
    <row r="1764" spans="1:7" x14ac:dyDescent="0.2">
      <c r="A1764" t="s" s="0">
        <v>2233</v>
      </c>
      <c r="B1764" s="2">
        <v>1039844</v>
      </c>
      <c r="C1764" s="2">
        <v>28297</v>
      </c>
      <c r="D1764" s="2">
        <v>47760</v>
      </c>
      <c r="E1764" s="2">
        <v>44522</v>
      </c>
      <c r="F1764" s="2">
        <v>61308</v>
      </c>
      <c r="G1764" s="2">
        <v>42088</v>
      </c>
    </row>
    <row r="1765" spans="1:7" x14ac:dyDescent="0.2">
      <c r="A1765" t="s" s="0">
        <v>2232</v>
      </c>
      <c r="B1765" s="2">
        <v>1054861</v>
      </c>
      <c r="C1765" s="2">
        <v>39965</v>
      </c>
      <c r="D1765" s="2">
        <v>46726</v>
      </c>
      <c r="E1765" s="2">
        <v>44082</v>
      </c>
      <c r="F1765" s="2">
        <v>55463</v>
      </c>
      <c r="G1765" s="2">
        <v>43492</v>
      </c>
    </row>
    <row r="1766" spans="1:7" x14ac:dyDescent="0.2">
      <c r="A1766" t="s" s="0">
        <v>2231</v>
      </c>
      <c r="B1766" s="2">
        <v>1027333</v>
      </c>
      <c r="C1766" s="2">
        <v>43601</v>
      </c>
      <c r="D1766" s="2">
        <v>46232</v>
      </c>
      <c r="E1766" s="2">
        <v>43921</v>
      </c>
      <c r="F1766" s="2">
        <v>58044</v>
      </c>
      <c r="G1766" s="2">
        <v>41297</v>
      </c>
    </row>
    <row r="1767" spans="1:7" x14ac:dyDescent="0.2">
      <c r="A1767" t="s" s="0">
        <v>2230</v>
      </c>
      <c r="B1767" s="2">
        <v>967319</v>
      </c>
      <c r="C1767" s="2">
        <v>40759</v>
      </c>
      <c r="D1767" s="2">
        <v>45085</v>
      </c>
      <c r="E1767" s="2">
        <v>44239</v>
      </c>
      <c r="F1767" s="2">
        <v>52579</v>
      </c>
      <c r="G1767" s="2">
        <v>37215</v>
      </c>
    </row>
    <row r="1768" spans="1:7" x14ac:dyDescent="0.2">
      <c r="A1768" t="s" s="0">
        <v>2229</v>
      </c>
      <c r="B1768" s="2">
        <v>1042456</v>
      </c>
      <c r="C1768" s="2">
        <v>39823</v>
      </c>
      <c r="D1768" s="2">
        <v>42590</v>
      </c>
      <c r="E1768" s="2">
        <v>43969</v>
      </c>
      <c r="F1768" s="2">
        <v>66867</v>
      </c>
      <c r="G1768" s="2">
        <v>41499</v>
      </c>
    </row>
    <row r="1769" spans="1:7" x14ac:dyDescent="0.2">
      <c r="A1769" t="s" s="0">
        <v>2228</v>
      </c>
      <c r="B1769" s="3">
        <v>1042456</v>
      </c>
      <c r="C1769" s="3">
        <v>39823</v>
      </c>
      <c r="D1769" s="3">
        <v>42590</v>
      </c>
      <c r="E1769" s="3">
        <v>43969</v>
      </c>
      <c r="F1769" s="3">
        <v>66867</v>
      </c>
      <c r="G1769" s="3">
        <v>41499</v>
      </c>
    </row>
    <row r="1770" spans="1:7" x14ac:dyDescent="0.2">
      <c r="A1770" t="s" s="0">
        <v>2227</v>
      </c>
      <c r="B1770" s="3">
        <v>1042456</v>
      </c>
      <c r="C1770" s="3">
        <v>39823</v>
      </c>
      <c r="D1770" s="3">
        <v>42590</v>
      </c>
      <c r="E1770" s="3">
        <v>43969</v>
      </c>
      <c r="F1770" s="3">
        <v>66867</v>
      </c>
      <c r="G1770" s="3">
        <v>41499</v>
      </c>
    </row>
    <row r="1771" spans="1:7" x14ac:dyDescent="0.2">
      <c r="A1771" t="s" s="0">
        <v>2226</v>
      </c>
      <c r="B1771" s="2">
        <v>1053728</v>
      </c>
      <c r="C1771" s="2">
        <v>27170</v>
      </c>
      <c r="D1771" s="2">
        <v>44047</v>
      </c>
      <c r="E1771" s="2">
        <v>44380</v>
      </c>
      <c r="F1771" s="2">
        <v>45693</v>
      </c>
      <c r="G1771" s="2">
        <v>45437</v>
      </c>
    </row>
    <row r="1772" spans="1:7" x14ac:dyDescent="0.2">
      <c r="A1772" t="s" s="0">
        <v>2225</v>
      </c>
      <c r="B1772" s="2">
        <v>1049074</v>
      </c>
      <c r="C1772" s="2">
        <v>44115</v>
      </c>
      <c r="D1772" s="2">
        <v>44640</v>
      </c>
      <c r="E1772" s="2">
        <v>44411</v>
      </c>
      <c r="F1772" s="2">
        <v>43476</v>
      </c>
      <c r="G1772" s="2">
        <v>46454</v>
      </c>
    </row>
    <row r="1773" spans="1:7" x14ac:dyDescent="0.2">
      <c r="A1773" t="s" s="0">
        <v>2224</v>
      </c>
      <c r="B1773" s="2">
        <v>1029801</v>
      </c>
      <c r="C1773" s="2">
        <v>49825</v>
      </c>
      <c r="D1773" s="2">
        <v>49773</v>
      </c>
      <c r="E1773" s="2">
        <v>45531</v>
      </c>
      <c r="F1773" s="2">
        <v>50088</v>
      </c>
      <c r="G1773" s="2">
        <v>47794</v>
      </c>
    </row>
    <row r="1774" spans="1:7" x14ac:dyDescent="0.2">
      <c r="A1774" t="s" s="0">
        <v>2223</v>
      </c>
      <c r="B1774" s="2">
        <v>1071213</v>
      </c>
      <c r="C1774" s="2">
        <v>47084</v>
      </c>
      <c r="D1774" s="2">
        <v>49289</v>
      </c>
      <c r="E1774" s="2">
        <v>45952</v>
      </c>
      <c r="F1774" s="2">
        <v>64093</v>
      </c>
      <c r="G1774" s="2">
        <v>47371</v>
      </c>
    </row>
    <row r="1775" spans="1:7" x14ac:dyDescent="0.2">
      <c r="A1775" t="s" s="0">
        <v>2222</v>
      </c>
      <c r="B1775" s="2">
        <v>1129560</v>
      </c>
      <c r="C1775" s="2">
        <v>43838</v>
      </c>
      <c r="D1775" s="2">
        <v>49148</v>
      </c>
      <c r="E1775" s="2">
        <v>46011</v>
      </c>
      <c r="F1775" s="2">
        <v>61554</v>
      </c>
      <c r="G1775" s="2">
        <v>50129</v>
      </c>
    </row>
    <row r="1776" spans="1:7" x14ac:dyDescent="0.2">
      <c r="A1776" t="s" s="0">
        <v>2221</v>
      </c>
      <c r="B1776" s="3">
        <v>1129560</v>
      </c>
      <c r="C1776" s="3">
        <v>43838</v>
      </c>
      <c r="D1776" s="3">
        <v>49148</v>
      </c>
      <c r="E1776" s="3">
        <v>46011</v>
      </c>
      <c r="F1776" s="3">
        <v>61554</v>
      </c>
      <c r="G1776" s="3">
        <v>50129</v>
      </c>
    </row>
    <row r="1777" spans="1:7" x14ac:dyDescent="0.2">
      <c r="A1777" t="s" s="0">
        <v>2220</v>
      </c>
      <c r="B1777" s="3">
        <v>1129560</v>
      </c>
      <c r="C1777" s="3">
        <v>43838</v>
      </c>
      <c r="D1777" s="3">
        <v>49148</v>
      </c>
      <c r="E1777" s="3">
        <v>46011</v>
      </c>
      <c r="F1777" s="3">
        <v>61554</v>
      </c>
      <c r="G1777" s="3">
        <v>50129</v>
      </c>
    </row>
    <row r="1778" spans="1:7" x14ac:dyDescent="0.2">
      <c r="A1778" t="s" s="0">
        <v>2219</v>
      </c>
      <c r="B1778" s="2">
        <v>1075047</v>
      </c>
      <c r="C1778" s="2">
        <v>28219</v>
      </c>
      <c r="D1778" s="2">
        <v>51529</v>
      </c>
      <c r="E1778" s="2">
        <v>46782</v>
      </c>
      <c r="F1778" s="2">
        <v>54678</v>
      </c>
      <c r="G1778" s="2">
        <v>47761</v>
      </c>
    </row>
    <row r="1779" spans="1:7" x14ac:dyDescent="0.2">
      <c r="A1779" t="s" s="0">
        <v>2218</v>
      </c>
      <c r="B1779" s="2">
        <v>1058547</v>
      </c>
      <c r="C1779" s="2">
        <v>43632</v>
      </c>
      <c r="D1779" s="2">
        <v>55008</v>
      </c>
      <c r="E1779" s="2">
        <v>47926</v>
      </c>
      <c r="F1779" s="2">
        <v>56465</v>
      </c>
      <c r="G1779" s="2">
        <v>49617</v>
      </c>
    </row>
    <row r="1780" spans="1:7" x14ac:dyDescent="0.2">
      <c r="A1780" t="s" s="0">
        <v>2217</v>
      </c>
      <c r="B1780" s="2">
        <v>1162299</v>
      </c>
      <c r="C1780" s="2">
        <v>49946</v>
      </c>
      <c r="D1780" s="2">
        <v>50781</v>
      </c>
      <c r="E1780" s="2">
        <v>48062</v>
      </c>
      <c r="F1780" s="2">
        <v>69844</v>
      </c>
      <c r="G1780" s="2">
        <v>52248</v>
      </c>
    </row>
    <row r="1781" spans="1:7" x14ac:dyDescent="0.2">
      <c r="A1781" t="s" s="0">
        <v>2216</v>
      </c>
      <c r="B1781" s="2">
        <v>1143580</v>
      </c>
      <c r="C1781" s="2">
        <v>50938</v>
      </c>
      <c r="D1781" s="2">
        <v>49863</v>
      </c>
      <c r="E1781" s="2">
        <v>48071</v>
      </c>
      <c r="F1781" s="2">
        <v>60205</v>
      </c>
      <c r="G1781" s="2">
        <v>52476</v>
      </c>
    </row>
    <row r="1782" spans="1:7" x14ac:dyDescent="0.2">
      <c r="A1782" t="s" s="0">
        <v>2215</v>
      </c>
      <c r="B1782" s="2">
        <v>1118251</v>
      </c>
      <c r="C1782" s="2">
        <v>50146</v>
      </c>
      <c r="D1782" s="2">
        <v>52313</v>
      </c>
      <c r="E1782" s="2">
        <v>48663</v>
      </c>
      <c r="F1782" s="2">
        <v>50702</v>
      </c>
      <c r="G1782" s="2">
        <v>53036</v>
      </c>
    </row>
    <row r="1783" spans="1:7" x14ac:dyDescent="0.2">
      <c r="A1783" t="s" s="0">
        <v>2214</v>
      </c>
      <c r="B1783" s="3">
        <v>1118251</v>
      </c>
      <c r="C1783" s="3">
        <v>50146</v>
      </c>
      <c r="D1783" s="3">
        <v>52313</v>
      </c>
      <c r="E1783" s="3">
        <v>48663</v>
      </c>
      <c r="F1783" s="3">
        <v>50702</v>
      </c>
      <c r="G1783" s="3">
        <v>53036</v>
      </c>
    </row>
    <row r="1784" spans="1:7" x14ac:dyDescent="0.2">
      <c r="A1784" t="s" s="0">
        <v>2213</v>
      </c>
      <c r="B1784" s="3">
        <v>1118251</v>
      </c>
      <c r="C1784" s="3">
        <v>50146</v>
      </c>
      <c r="D1784" s="3">
        <v>52313</v>
      </c>
      <c r="E1784" s="3">
        <v>48663</v>
      </c>
      <c r="F1784" s="3">
        <v>50702</v>
      </c>
      <c r="G1784" s="3">
        <v>53036</v>
      </c>
    </row>
    <row r="1785" spans="1:7" x14ac:dyDescent="0.2">
      <c r="A1785" t="s" s="0">
        <v>2212</v>
      </c>
      <c r="B1785" s="2">
        <v>1112289</v>
      </c>
      <c r="C1785" s="2">
        <v>32354</v>
      </c>
      <c r="D1785" s="2">
        <v>50809</v>
      </c>
      <c r="E1785" s="2">
        <v>48536</v>
      </c>
      <c r="F1785" s="2">
        <v>55993</v>
      </c>
      <c r="G1785" s="2">
        <v>54418</v>
      </c>
    </row>
    <row r="1786" spans="1:7" x14ac:dyDescent="0.2">
      <c r="A1786" t="s" s="0">
        <v>2211</v>
      </c>
      <c r="B1786" s="2">
        <v>1092813</v>
      </c>
      <c r="C1786" s="2">
        <v>47625</v>
      </c>
      <c r="D1786" s="2">
        <v>49260</v>
      </c>
      <c r="E1786" s="2">
        <v>48909</v>
      </c>
      <c r="F1786" s="2">
        <v>54018</v>
      </c>
      <c r="G1786" s="2">
        <v>52356</v>
      </c>
    </row>
    <row r="1787" spans="1:7" x14ac:dyDescent="0.2">
      <c r="A1787" t="s" s="0">
        <v>2210</v>
      </c>
      <c r="B1787" s="2">
        <v>1038448</v>
      </c>
      <c r="C1787" s="2">
        <v>47932</v>
      </c>
      <c r="D1787" s="2">
        <v>49954</v>
      </c>
      <c r="E1787" s="2">
        <v>49185</v>
      </c>
      <c r="F1787" s="2">
        <v>32106</v>
      </c>
      <c r="G1787" s="2">
        <v>52521</v>
      </c>
    </row>
    <row r="1788" spans="1:7" x14ac:dyDescent="0.2">
      <c r="A1788" t="s" s="0">
        <v>2209</v>
      </c>
      <c r="B1788" s="2">
        <v>1086175</v>
      </c>
      <c r="C1788" s="2">
        <v>44349</v>
      </c>
      <c r="D1788" s="2">
        <v>49013</v>
      </c>
      <c r="E1788" s="2">
        <v>48312</v>
      </c>
      <c r="F1788" s="2">
        <v>40787</v>
      </c>
      <c r="G1788" s="2">
        <v>54416</v>
      </c>
    </row>
    <row r="1789" spans="1:7" x14ac:dyDescent="0.2">
      <c r="A1789" t="s" s="0">
        <v>2208</v>
      </c>
      <c r="B1789" s="2">
        <v>1049218</v>
      </c>
      <c r="C1789" s="2">
        <v>46217</v>
      </c>
      <c r="D1789" s="2">
        <v>47652</v>
      </c>
      <c r="E1789" s="2">
        <v>47926</v>
      </c>
      <c r="F1789" s="2">
        <v>37765</v>
      </c>
      <c r="G1789" s="2">
        <v>54222</v>
      </c>
    </row>
    <row r="1790" spans="1:7" x14ac:dyDescent="0.2">
      <c r="A1790" t="s" s="0">
        <v>2207</v>
      </c>
      <c r="B1790" s="3">
        <v>1049218</v>
      </c>
      <c r="C1790" s="3">
        <v>46217</v>
      </c>
      <c r="D1790" s="3">
        <v>47652</v>
      </c>
      <c r="E1790" s="3">
        <v>47926</v>
      </c>
      <c r="F1790" s="3">
        <v>37765</v>
      </c>
      <c r="G1790" s="3">
        <v>54222</v>
      </c>
    </row>
    <row r="1791" spans="1:7" x14ac:dyDescent="0.2">
      <c r="A1791" t="s" s="0">
        <v>2206</v>
      </c>
      <c r="B1791" s="3">
        <v>1049218</v>
      </c>
      <c r="C1791" s="3">
        <v>46217</v>
      </c>
      <c r="D1791" s="3">
        <v>47652</v>
      </c>
      <c r="E1791" s="3">
        <v>47926</v>
      </c>
      <c r="F1791" s="3">
        <v>37765</v>
      </c>
      <c r="G1791" s="3">
        <v>54222</v>
      </c>
    </row>
    <row r="1792" spans="1:7" x14ac:dyDescent="0.2">
      <c r="A1792" t="s" s="0">
        <v>2205</v>
      </c>
      <c r="B1792" s="2">
        <v>1038704</v>
      </c>
      <c r="C1792" s="2">
        <v>27705</v>
      </c>
      <c r="D1792" s="2">
        <v>51634</v>
      </c>
      <c r="E1792" s="2">
        <v>49505</v>
      </c>
      <c r="F1792" s="2">
        <v>41097</v>
      </c>
      <c r="G1792" s="2">
        <v>49365</v>
      </c>
    </row>
    <row r="1793" spans="1:7" x14ac:dyDescent="0.2">
      <c r="A1793" t="s" s="0">
        <v>2204</v>
      </c>
      <c r="B1793" s="2">
        <v>1081338</v>
      </c>
      <c r="C1793" s="2">
        <v>35389</v>
      </c>
      <c r="D1793" s="2">
        <v>48457</v>
      </c>
      <c r="E1793" s="2">
        <v>49341</v>
      </c>
      <c r="F1793" s="2">
        <v>46793</v>
      </c>
      <c r="G1793" s="2">
        <v>50188</v>
      </c>
    </row>
    <row r="1794" spans="1:7" x14ac:dyDescent="0.2">
      <c r="A1794" t="s" s="0">
        <v>2203</v>
      </c>
      <c r="B1794" s="2">
        <v>1031448</v>
      </c>
      <c r="C1794" s="2">
        <v>48433</v>
      </c>
      <c r="D1794" s="2">
        <v>47756</v>
      </c>
      <c r="E1794" s="2">
        <v>49566</v>
      </c>
      <c r="F1794" s="2">
        <v>46755</v>
      </c>
      <c r="G1794" s="2">
        <v>49698</v>
      </c>
    </row>
    <row r="1795" spans="1:7" x14ac:dyDescent="0.2">
      <c r="A1795" t="s" s="0">
        <v>2202</v>
      </c>
      <c r="B1795" s="2">
        <v>978424</v>
      </c>
      <c r="C1795" s="2">
        <v>42477</v>
      </c>
      <c r="D1795" s="2">
        <v>47488</v>
      </c>
      <c r="E1795" s="2">
        <v>48913</v>
      </c>
      <c r="F1795" s="2">
        <v>32095</v>
      </c>
      <c r="G1795" s="2">
        <v>49295</v>
      </c>
    </row>
    <row r="1796" spans="1:7" x14ac:dyDescent="0.2">
      <c r="A1796" t="s" s="0">
        <v>2201</v>
      </c>
      <c r="B1796" s="2">
        <v>1029723</v>
      </c>
      <c r="C1796" s="2">
        <v>42024</v>
      </c>
      <c r="D1796" s="2">
        <v>47570</v>
      </c>
      <c r="E1796" s="2">
        <v>49171</v>
      </c>
      <c r="F1796" s="2">
        <v>44785</v>
      </c>
      <c r="G1796" s="2">
        <v>48702</v>
      </c>
    </row>
    <row r="1797" spans="1:7" x14ac:dyDescent="0.2">
      <c r="A1797" t="s" s="0">
        <v>2200</v>
      </c>
      <c r="B1797" s="3">
        <v>1029723</v>
      </c>
      <c r="C1797" s="3">
        <v>42024</v>
      </c>
      <c r="D1797" s="3">
        <v>47570</v>
      </c>
      <c r="E1797" s="3">
        <v>49171</v>
      </c>
      <c r="F1797" s="3">
        <v>44785</v>
      </c>
      <c r="G1797" s="3">
        <v>48702</v>
      </c>
    </row>
    <row r="1798" spans="1:7" x14ac:dyDescent="0.2">
      <c r="A1798" t="s" s="0">
        <v>2199</v>
      </c>
      <c r="B1798" s="3">
        <v>1029723</v>
      </c>
      <c r="C1798" s="3">
        <v>42024</v>
      </c>
      <c r="D1798" s="3">
        <v>47570</v>
      </c>
      <c r="E1798" s="3">
        <v>49171</v>
      </c>
      <c r="F1798" s="3">
        <v>44785</v>
      </c>
      <c r="G1798" s="3">
        <v>48702</v>
      </c>
    </row>
    <row r="1799" spans="1:7" x14ac:dyDescent="0.2">
      <c r="A1799" t="s" s="0">
        <v>2198</v>
      </c>
      <c r="B1799" s="2">
        <v>944080</v>
      </c>
      <c r="C1799" s="2">
        <v>26903</v>
      </c>
      <c r="D1799" s="2">
        <v>42410</v>
      </c>
      <c r="E1799" s="2">
        <v>49096</v>
      </c>
      <c r="F1799" s="2">
        <v>28585</v>
      </c>
      <c r="G1799" s="2">
        <v>45088</v>
      </c>
    </row>
    <row r="1800" spans="1:7" x14ac:dyDescent="0.2">
      <c r="A1800" t="s" s="0">
        <v>2197</v>
      </c>
      <c r="B1800" s="2">
        <v>966671</v>
      </c>
      <c r="C1800" s="2">
        <v>44691</v>
      </c>
      <c r="D1800" s="2">
        <v>45456</v>
      </c>
      <c r="E1800" s="2">
        <v>49545</v>
      </c>
      <c r="F1800" s="2">
        <v>28767</v>
      </c>
      <c r="G1800" s="2">
        <v>46511</v>
      </c>
    </row>
    <row r="1801" spans="1:7" x14ac:dyDescent="0.2">
      <c r="A1801" t="s" s="0">
        <v>2196</v>
      </c>
      <c r="B1801" s="2">
        <v>965870</v>
      </c>
      <c r="C1801" s="2">
        <v>42530</v>
      </c>
      <c r="D1801" s="2">
        <v>44888</v>
      </c>
      <c r="E1801" s="2">
        <v>48345</v>
      </c>
      <c r="F1801" s="2">
        <v>35197</v>
      </c>
      <c r="G1801" s="2">
        <v>45976</v>
      </c>
    </row>
    <row r="1802" spans="1:7" x14ac:dyDescent="0.2">
      <c r="A1802" t="s" s="0">
        <v>2195</v>
      </c>
      <c r="B1802" s="2">
        <v>996840</v>
      </c>
      <c r="C1802" s="2">
        <v>44030</v>
      </c>
      <c r="D1802" s="2">
        <v>45110</v>
      </c>
      <c r="E1802" s="2">
        <v>47868</v>
      </c>
      <c r="F1802" s="2">
        <v>47418</v>
      </c>
      <c r="G1802" s="2">
        <v>45126</v>
      </c>
    </row>
    <row r="1803" spans="1:7" x14ac:dyDescent="0.2">
      <c r="A1803" t="s" s="0">
        <v>2194</v>
      </c>
      <c r="B1803" s="2">
        <v>945244</v>
      </c>
      <c r="C1803" s="2">
        <v>51583</v>
      </c>
      <c r="D1803" s="2">
        <v>45045</v>
      </c>
      <c r="E1803" s="2">
        <v>48145</v>
      </c>
      <c r="F1803" s="2">
        <v>32653</v>
      </c>
      <c r="G1803" s="2">
        <v>41476</v>
      </c>
    </row>
    <row r="1804" spans="1:7" x14ac:dyDescent="0.2">
      <c r="A1804" t="s" s="0">
        <v>2193</v>
      </c>
      <c r="B1804" s="3">
        <v>945244</v>
      </c>
      <c r="C1804" s="3">
        <v>51583</v>
      </c>
      <c r="D1804" s="3">
        <v>45045</v>
      </c>
      <c r="E1804" s="3">
        <v>48145</v>
      </c>
      <c r="F1804" s="3">
        <v>32653</v>
      </c>
      <c r="G1804" s="3">
        <v>41476</v>
      </c>
    </row>
    <row r="1805" spans="1:7" x14ac:dyDescent="0.2">
      <c r="A1805" t="s" s="0">
        <v>2192</v>
      </c>
      <c r="B1805" s="3">
        <v>945244</v>
      </c>
      <c r="C1805" s="3">
        <v>51583</v>
      </c>
      <c r="D1805" s="3">
        <v>45045</v>
      </c>
      <c r="E1805" s="3">
        <v>48145</v>
      </c>
      <c r="F1805" s="3">
        <v>32653</v>
      </c>
      <c r="G1805" s="3">
        <v>41476</v>
      </c>
    </row>
    <row r="1806" spans="1:7" x14ac:dyDescent="0.2">
      <c r="A1806" t="s" s="0">
        <v>2191</v>
      </c>
      <c r="B1806" s="2">
        <v>985579</v>
      </c>
      <c r="C1806" s="2">
        <v>28564</v>
      </c>
      <c r="D1806" s="2">
        <v>43553</v>
      </c>
      <c r="E1806" s="2">
        <v>47102</v>
      </c>
      <c r="F1806" s="2">
        <v>49467</v>
      </c>
      <c r="G1806" s="2">
        <v>43785</v>
      </c>
    </row>
    <row r="1807" spans="1:7" x14ac:dyDescent="0.2">
      <c r="A1807" t="s" s="0">
        <v>2190</v>
      </c>
      <c r="B1807" s="2">
        <v>926900</v>
      </c>
      <c r="C1807" s="2">
        <v>38716</v>
      </c>
      <c r="D1807" s="2">
        <v>43840</v>
      </c>
      <c r="E1807" s="2">
        <v>46753</v>
      </c>
      <c r="F1807" s="2">
        <v>38138</v>
      </c>
      <c r="G1807" s="2">
        <v>41929</v>
      </c>
    </row>
    <row r="1808" spans="1:7" x14ac:dyDescent="0.2">
      <c r="A1808" t="s" s="0">
        <v>2189</v>
      </c>
      <c r="B1808" s="2">
        <v>856769</v>
      </c>
      <c r="C1808" s="2">
        <v>52248</v>
      </c>
      <c r="D1808" s="2">
        <v>48740</v>
      </c>
      <c r="E1808" s="2">
        <v>47834</v>
      </c>
      <c r="F1808" s="2">
        <v>33135</v>
      </c>
      <c r="G1808" s="2">
        <v>36798</v>
      </c>
    </row>
    <row r="1809" spans="1:7" x14ac:dyDescent="0.2">
      <c r="A1809" t="s" s="0">
        <v>2188</v>
      </c>
      <c r="B1809" s="2">
        <v>830998</v>
      </c>
      <c r="C1809" s="2">
        <v>50135</v>
      </c>
      <c r="D1809" s="2">
        <v>53183</v>
      </c>
      <c r="E1809" s="2">
        <v>48698</v>
      </c>
      <c r="F1809" s="2">
        <v>29472</v>
      </c>
      <c r="G1809" s="2">
        <v>37443</v>
      </c>
    </row>
    <row r="1810" spans="1:7" x14ac:dyDescent="0.2">
      <c r="A1810" t="s" s="0">
        <v>2187</v>
      </c>
      <c r="B1810" s="2">
        <v>1052238</v>
      </c>
      <c r="C1810" s="2">
        <v>48053</v>
      </c>
      <c r="D1810" s="2">
        <v>53060</v>
      </c>
      <c r="E1810" s="2">
        <v>48332</v>
      </c>
      <c r="F1810" s="2">
        <v>68326</v>
      </c>
      <c r="G1810" s="2">
        <v>45882</v>
      </c>
    </row>
    <row r="1811" spans="1:7" x14ac:dyDescent="0.2">
      <c r="A1811" t="s" s="0">
        <v>2186</v>
      </c>
      <c r="B1811" s="3">
        <v>1052238</v>
      </c>
      <c r="C1811" s="3">
        <v>48053</v>
      </c>
      <c r="D1811" s="3">
        <v>53060</v>
      </c>
      <c r="E1811" s="3">
        <v>48332</v>
      </c>
      <c r="F1811" s="3">
        <v>68326</v>
      </c>
      <c r="G1811" s="3">
        <v>45882</v>
      </c>
    </row>
    <row r="1812" spans="1:7" x14ac:dyDescent="0.2">
      <c r="A1812" t="s" s="0">
        <v>2185</v>
      </c>
      <c r="B1812" s="3">
        <v>1052238</v>
      </c>
      <c r="C1812" s="3">
        <v>48053</v>
      </c>
      <c r="D1812" s="3">
        <v>53060</v>
      </c>
      <c r="E1812" s="3">
        <v>48332</v>
      </c>
      <c r="F1812" s="3">
        <v>68326</v>
      </c>
      <c r="G1812" s="3">
        <v>45882</v>
      </c>
    </row>
    <row r="1813" spans="1:7" x14ac:dyDescent="0.2">
      <c r="A1813" t="s" s="0">
        <v>2184</v>
      </c>
      <c r="B1813" s="2">
        <v>908459</v>
      </c>
      <c r="C1813" s="2">
        <v>26437</v>
      </c>
      <c r="D1813" s="2">
        <v>58284</v>
      </c>
      <c r="E1813" s="2">
        <v>48970</v>
      </c>
      <c r="F1813" s="2">
        <v>47248</v>
      </c>
      <c r="G1813" s="2">
        <v>41599</v>
      </c>
    </row>
    <row r="1814" spans="1:7" x14ac:dyDescent="0.2">
      <c r="A1814" t="s" s="0">
        <v>2183</v>
      </c>
      <c r="B1814" s="2">
        <v>985382</v>
      </c>
      <c r="C1814" s="2">
        <v>41278</v>
      </c>
      <c r="D1814" s="2">
        <v>55793</v>
      </c>
      <c r="E1814" s="2">
        <v>48387</v>
      </c>
      <c r="F1814" s="2">
        <v>64134</v>
      </c>
      <c r="G1814" s="2">
        <v>44458</v>
      </c>
    </row>
    <row r="1815" spans="1:7" x14ac:dyDescent="0.2">
      <c r="A1815" t="s" s="0">
        <v>2182</v>
      </c>
      <c r="B1815" s="2">
        <v>933560</v>
      </c>
      <c r="C1815" s="2">
        <v>51701</v>
      </c>
      <c r="D1815" s="2">
        <v>51719</v>
      </c>
      <c r="E1815" s="2">
        <v>48276</v>
      </c>
      <c r="F1815" s="2">
        <v>62690</v>
      </c>
      <c r="G1815" s="2">
        <v>44444</v>
      </c>
    </row>
    <row r="1816" spans="1:7" x14ac:dyDescent="0.2">
      <c r="A1816" t="s" s="0">
        <v>2181</v>
      </c>
      <c r="B1816" s="2">
        <v>959932</v>
      </c>
      <c r="C1816" s="2">
        <v>47127</v>
      </c>
      <c r="D1816" s="2">
        <v>48413</v>
      </c>
      <c r="E1816" s="2">
        <v>48549</v>
      </c>
      <c r="F1816" s="2">
        <v>66832</v>
      </c>
      <c r="G1816" s="2">
        <v>43954</v>
      </c>
    </row>
    <row r="1817" spans="1:7" x14ac:dyDescent="0.2">
      <c r="A1817" t="s" s="0">
        <v>2180</v>
      </c>
      <c r="B1817" s="2">
        <v>963561</v>
      </c>
      <c r="C1817" s="2">
        <v>46599</v>
      </c>
      <c r="D1817" s="2">
        <v>47824</v>
      </c>
      <c r="E1817" s="2">
        <v>48375</v>
      </c>
      <c r="F1817" s="2">
        <v>35121</v>
      </c>
      <c r="G1817" s="2">
        <v>45221</v>
      </c>
    </row>
    <row r="1818" spans="1:7" x14ac:dyDescent="0.2">
      <c r="A1818" t="s" s="0">
        <v>2179</v>
      </c>
      <c r="B1818" s="3">
        <v>963561</v>
      </c>
      <c r="C1818" s="3">
        <v>46599</v>
      </c>
      <c r="D1818" s="3">
        <v>47824</v>
      </c>
      <c r="E1818" s="3">
        <v>48375</v>
      </c>
      <c r="F1818" s="3">
        <v>35121</v>
      </c>
      <c r="G1818" s="3">
        <v>45221</v>
      </c>
    </row>
    <row r="1819" spans="1:7" x14ac:dyDescent="0.2">
      <c r="A1819" t="s" s="0">
        <v>2178</v>
      </c>
      <c r="B1819" s="3">
        <v>963561</v>
      </c>
      <c r="C1819" s="3">
        <v>46599</v>
      </c>
      <c r="D1819" s="3">
        <v>47824</v>
      </c>
      <c r="E1819" s="3">
        <v>48375</v>
      </c>
      <c r="F1819" s="3">
        <v>35121</v>
      </c>
      <c r="G1819" s="3">
        <v>45221</v>
      </c>
    </row>
    <row r="1820" spans="1:7" x14ac:dyDescent="0.2">
      <c r="A1820" t="s" s="0">
        <v>2177</v>
      </c>
      <c r="B1820" s="2">
        <v>896297</v>
      </c>
      <c r="C1820" s="2">
        <v>24304</v>
      </c>
      <c r="D1820" s="2">
        <v>46214</v>
      </c>
      <c r="E1820" s="2">
        <v>47615</v>
      </c>
      <c r="F1820" s="2">
        <v>44441</v>
      </c>
      <c r="G1820" s="2">
        <v>42435</v>
      </c>
    </row>
    <row r="1821" spans="1:7" x14ac:dyDescent="0.2">
      <c r="A1821" t="s" s="0">
        <v>2176</v>
      </c>
      <c r="B1821" s="2">
        <v>981693</v>
      </c>
      <c r="C1821" s="2">
        <v>49575</v>
      </c>
      <c r="D1821" s="2">
        <v>48117</v>
      </c>
      <c r="E1821" s="2">
        <v>48302</v>
      </c>
      <c r="F1821" s="2">
        <v>47555</v>
      </c>
      <c r="G1821" s="2">
        <v>44649</v>
      </c>
    </row>
    <row r="1822" spans="1:7" x14ac:dyDescent="0.2">
      <c r="A1822" t="s" s="0">
        <v>2175</v>
      </c>
      <c r="B1822" s="2">
        <v>952920</v>
      </c>
      <c r="C1822" s="2">
        <v>59648</v>
      </c>
      <c r="D1822" s="2">
        <v>49253</v>
      </c>
      <c r="E1822" s="2">
        <v>48650</v>
      </c>
      <c r="F1822" s="2">
        <v>51981</v>
      </c>
      <c r="G1822" s="2">
        <v>45751</v>
      </c>
    </row>
    <row r="1823" spans="1:7" x14ac:dyDescent="0.2">
      <c r="A1823" t="s" s="0">
        <v>2174</v>
      </c>
      <c r="B1823" s="2">
        <v>1052439</v>
      </c>
      <c r="C1823" s="2">
        <v>47487</v>
      </c>
      <c r="D1823" s="2">
        <v>48610</v>
      </c>
      <c r="E1823" s="2">
        <v>48829</v>
      </c>
      <c r="F1823" s="2">
        <v>61787</v>
      </c>
      <c r="G1823" s="2">
        <v>51377</v>
      </c>
    </row>
    <row r="1824" spans="1:7" x14ac:dyDescent="0.2">
      <c r="A1824" t="s" s="0">
        <v>2173</v>
      </c>
      <c r="B1824" s="2">
        <v>984938</v>
      </c>
      <c r="C1824" s="2">
        <v>38120</v>
      </c>
      <c r="D1824" s="2">
        <v>51919</v>
      </c>
      <c r="E1824" s="2">
        <v>49462</v>
      </c>
      <c r="F1824" s="2">
        <v>54970</v>
      </c>
      <c r="G1824" s="2">
        <v>47768</v>
      </c>
    </row>
    <row r="1825" spans="1:7" x14ac:dyDescent="0.2">
      <c r="A1825" t="s" s="0">
        <v>2172</v>
      </c>
      <c r="B1825" s="3">
        <v>984938</v>
      </c>
      <c r="C1825" s="3">
        <v>38120</v>
      </c>
      <c r="D1825" s="3">
        <v>51919</v>
      </c>
      <c r="E1825" s="3">
        <v>49462</v>
      </c>
      <c r="F1825" s="3">
        <v>54970</v>
      </c>
      <c r="G1825" s="3">
        <v>47768</v>
      </c>
    </row>
    <row r="1826" spans="1:7" x14ac:dyDescent="0.2">
      <c r="A1826" t="s" s="0">
        <v>2171</v>
      </c>
      <c r="B1826" s="3">
        <v>984938</v>
      </c>
      <c r="C1826" s="3">
        <v>38120</v>
      </c>
      <c r="D1826" s="3">
        <v>51919</v>
      </c>
      <c r="E1826" s="3">
        <v>49462</v>
      </c>
      <c r="F1826" s="3">
        <v>54970</v>
      </c>
      <c r="G1826" s="3">
        <v>47768</v>
      </c>
    </row>
    <row r="1827" spans="1:7" x14ac:dyDescent="0.2">
      <c r="A1827" t="s" s="0">
        <v>2170</v>
      </c>
      <c r="B1827" s="2">
        <v>921476</v>
      </c>
      <c r="C1827" s="2">
        <v>21925</v>
      </c>
      <c r="D1827" s="2">
        <v>55982</v>
      </c>
      <c r="E1827" s="2">
        <v>51008</v>
      </c>
      <c r="F1827" s="2">
        <v>59409</v>
      </c>
      <c r="G1827" s="2">
        <v>50141</v>
      </c>
    </row>
    <row r="1828" spans="1:7" x14ac:dyDescent="0.2">
      <c r="A1828" t="s" s="0">
        <v>2169</v>
      </c>
      <c r="B1828" s="2">
        <v>944810</v>
      </c>
      <c r="C1828" s="2">
        <v>42794</v>
      </c>
      <c r="D1828" s="2">
        <v>55689</v>
      </c>
      <c r="E1828" s="2">
        <v>50860</v>
      </c>
      <c r="F1828" s="2">
        <v>50251</v>
      </c>
      <c r="G1828" s="2">
        <v>50019</v>
      </c>
    </row>
    <row r="1829" spans="1:7" x14ac:dyDescent="0.2">
      <c r="A1829" t="s" s="0">
        <v>2168</v>
      </c>
      <c r="B1829" s="2">
        <v>936326</v>
      </c>
      <c r="C1829" s="2">
        <v>53035</v>
      </c>
      <c r="D1829" s="2">
        <v>54745</v>
      </c>
      <c r="E1829" s="2">
        <v>51114</v>
      </c>
      <c r="F1829" s="2">
        <v>52152</v>
      </c>
      <c r="G1829" s="2">
        <v>49989</v>
      </c>
    </row>
    <row r="1830" spans="1:7" x14ac:dyDescent="0.2">
      <c r="A1830" t="s" s="0">
        <v>2167</v>
      </c>
      <c r="B1830" s="2">
        <v>918427</v>
      </c>
      <c r="C1830" s="2">
        <v>64742</v>
      </c>
      <c r="D1830" s="2">
        <v>57210</v>
      </c>
      <c r="E1830" s="2">
        <v>51854</v>
      </c>
      <c r="F1830" s="2">
        <v>37843</v>
      </c>
      <c r="G1830" s="2">
        <v>48984</v>
      </c>
    </row>
    <row r="1831" spans="1:7" x14ac:dyDescent="0.2">
      <c r="A1831" t="s" s="0">
        <v>2166</v>
      </c>
      <c r="B1831" s="2">
        <v>1005050</v>
      </c>
      <c r="C1831" s="2">
        <v>43392</v>
      </c>
      <c r="D1831" s="2">
        <v>53442</v>
      </c>
      <c r="E1831" s="2">
        <v>51561</v>
      </c>
      <c r="F1831" s="2">
        <v>56093</v>
      </c>
      <c r="G1831" s="2">
        <v>53628</v>
      </c>
    </row>
    <row r="1832" spans="1:7" x14ac:dyDescent="0.2">
      <c r="A1832" t="s" s="0">
        <v>2165</v>
      </c>
      <c r="B1832" s="3">
        <v>1005050</v>
      </c>
      <c r="C1832" s="3">
        <v>43392</v>
      </c>
      <c r="D1832" s="3">
        <v>53442</v>
      </c>
      <c r="E1832" s="3">
        <v>51561</v>
      </c>
      <c r="F1832" s="3">
        <v>56093</v>
      </c>
      <c r="G1832" s="3">
        <v>53628</v>
      </c>
    </row>
    <row r="1833" spans="1:7" x14ac:dyDescent="0.2">
      <c r="A1833" t="s" s="0">
        <v>2164</v>
      </c>
      <c r="B1833" s="3">
        <v>1005050</v>
      </c>
      <c r="C1833" s="3">
        <v>43392</v>
      </c>
      <c r="D1833" s="3">
        <v>53442</v>
      </c>
      <c r="E1833" s="3">
        <v>51561</v>
      </c>
      <c r="F1833" s="3">
        <v>56093</v>
      </c>
      <c r="G1833" s="3">
        <v>53628</v>
      </c>
    </row>
    <row r="1834" spans="1:7" x14ac:dyDescent="0.2">
      <c r="A1834" t="s" s="0">
        <v>2163</v>
      </c>
      <c r="B1834" s="2">
        <v>967929</v>
      </c>
      <c r="C1834" s="2">
        <v>27396</v>
      </c>
      <c r="D1834" s="2">
        <v>53782</v>
      </c>
      <c r="E1834" s="2">
        <v>53565</v>
      </c>
      <c r="F1834" s="2">
        <v>60363</v>
      </c>
      <c r="G1834" s="2">
        <v>52865</v>
      </c>
    </row>
    <row r="1835" spans="1:7" x14ac:dyDescent="0.2">
      <c r="A1835" t="s" s="0">
        <v>2162</v>
      </c>
      <c r="B1835" s="2">
        <v>935107</v>
      </c>
      <c r="C1835" s="2">
        <v>44519</v>
      </c>
      <c r="D1835" s="2">
        <v>54063</v>
      </c>
      <c r="E1835" s="2">
        <v>53416</v>
      </c>
      <c r="F1835" s="2">
        <v>52622</v>
      </c>
      <c r="G1835" s="2">
        <v>53640</v>
      </c>
    </row>
    <row r="1836" spans="1:7" x14ac:dyDescent="0.2">
      <c r="A1836" t="s" s="0">
        <v>2161</v>
      </c>
      <c r="B1836" s="2">
        <v>949340</v>
      </c>
      <c r="C1836" s="2">
        <v>51381</v>
      </c>
      <c r="D1836" s="2">
        <v>55234</v>
      </c>
      <c r="E1836" s="2">
        <v>52738</v>
      </c>
      <c r="F1836" s="2">
        <v>57027</v>
      </c>
      <c r="G1836" s="2">
        <v>55962</v>
      </c>
    </row>
    <row r="1837" spans="1:7" x14ac:dyDescent="0.2">
      <c r="A1837" t="s" s="0">
        <v>2160</v>
      </c>
      <c r="B1837" s="2">
        <v>977756</v>
      </c>
      <c r="C1837" s="2">
        <v>49315</v>
      </c>
      <c r="D1837" s="2">
        <v>54611</v>
      </c>
      <c r="E1837" s="2">
        <v>52211</v>
      </c>
      <c r="F1837" s="2">
        <v>63043</v>
      </c>
      <c r="G1837" s="2">
        <v>57376</v>
      </c>
    </row>
    <row r="1838" spans="1:7" x14ac:dyDescent="0.2">
      <c r="A1838" t="s" s="0">
        <v>2159</v>
      </c>
      <c r="B1838" s="2">
        <v>910394</v>
      </c>
      <c r="C1838" s="2">
        <v>39755</v>
      </c>
      <c r="D1838" s="2">
        <v>59643</v>
      </c>
      <c r="E1838" s="2">
        <v>53207</v>
      </c>
      <c r="F1838" s="2">
        <v>46076</v>
      </c>
      <c r="G1838" s="2">
        <v>48065</v>
      </c>
    </row>
    <row r="1839" spans="1:7" x14ac:dyDescent="0.2">
      <c r="A1839" t="s" s="0">
        <v>2158</v>
      </c>
      <c r="B1839" s="3">
        <v>910394</v>
      </c>
      <c r="C1839" s="3">
        <v>39755</v>
      </c>
      <c r="D1839" s="3">
        <v>59643</v>
      </c>
      <c r="E1839" s="3">
        <v>53207</v>
      </c>
      <c r="F1839" s="3">
        <v>46076</v>
      </c>
      <c r="G1839" s="3">
        <v>48065</v>
      </c>
    </row>
    <row r="1840" spans="1:7" x14ac:dyDescent="0.2">
      <c r="A1840" t="s" s="0">
        <v>2157</v>
      </c>
      <c r="B1840" s="3">
        <v>910394</v>
      </c>
      <c r="C1840" s="3">
        <v>39755</v>
      </c>
      <c r="D1840" s="3">
        <v>59643</v>
      </c>
      <c r="E1840" s="3">
        <v>53207</v>
      </c>
      <c r="F1840" s="3">
        <v>46076</v>
      </c>
      <c r="G1840" s="3">
        <v>48065</v>
      </c>
    </row>
    <row r="1841" spans="1:7" x14ac:dyDescent="0.2">
      <c r="A1841" t="s" s="0">
        <v>2156</v>
      </c>
      <c r="B1841" s="2">
        <v>985078</v>
      </c>
      <c r="C1841" s="2">
        <v>25435</v>
      </c>
      <c r="D1841" s="2">
        <v>51140</v>
      </c>
      <c r="E1841" s="2">
        <v>51779</v>
      </c>
      <c r="F1841" s="2">
        <v>53545</v>
      </c>
      <c r="G1841" s="2">
        <v>54440</v>
      </c>
    </row>
    <row r="1842" spans="1:7" x14ac:dyDescent="0.2">
      <c r="A1842" t="s" s="0">
        <v>2155</v>
      </c>
      <c r="B1842" s="2">
        <v>972108</v>
      </c>
      <c r="C1842" s="2">
        <v>45674</v>
      </c>
      <c r="D1842" s="2">
        <v>50876</v>
      </c>
      <c r="E1842" s="2">
        <v>52186</v>
      </c>
      <c r="F1842" s="2">
        <v>56117</v>
      </c>
      <c r="G1842" s="2">
        <v>51636</v>
      </c>
    </row>
    <row r="1843" spans="1:7" x14ac:dyDescent="0.2">
      <c r="A1843" t="s" s="0">
        <v>2154</v>
      </c>
      <c r="B1843" s="2">
        <v>985666</v>
      </c>
      <c r="C1843" s="2">
        <v>51439</v>
      </c>
      <c r="D1843" s="2">
        <v>49477</v>
      </c>
      <c r="E1843" s="2">
        <v>52177</v>
      </c>
      <c r="F1843" s="2">
        <v>54688</v>
      </c>
      <c r="G1843" s="2">
        <v>53962</v>
      </c>
    </row>
    <row r="1844" spans="1:7" x14ac:dyDescent="0.2">
      <c r="A1844" t="s" s="0">
        <v>2153</v>
      </c>
      <c r="B1844" s="2">
        <v>928710</v>
      </c>
      <c r="C1844" s="2">
        <v>45942</v>
      </c>
      <c r="D1844" s="2">
        <v>48842</v>
      </c>
      <c r="E1844" s="2">
        <v>52318</v>
      </c>
      <c r="F1844" s="2">
        <v>41818</v>
      </c>
      <c r="G1844" s="2">
        <v>51123</v>
      </c>
    </row>
    <row r="1845" spans="1:7" x14ac:dyDescent="0.2">
      <c r="A1845" t="s" s="0">
        <v>2152</v>
      </c>
      <c r="B1845" s="2">
        <v>954985</v>
      </c>
      <c r="C1845" s="2">
        <v>44223</v>
      </c>
      <c r="D1845" s="2">
        <v>46796</v>
      </c>
      <c r="E1845" s="2">
        <v>52950</v>
      </c>
      <c r="F1845" s="2">
        <v>53148</v>
      </c>
      <c r="G1845" s="2">
        <v>52572</v>
      </c>
    </row>
    <row r="1846" spans="1:7" x14ac:dyDescent="0.2">
      <c r="A1846" t="s" s="0">
        <v>2151</v>
      </c>
      <c r="B1846" s="3">
        <v>954985</v>
      </c>
      <c r="C1846" s="3">
        <v>44223</v>
      </c>
      <c r="D1846" s="3">
        <v>46796</v>
      </c>
      <c r="E1846" s="3">
        <v>52950</v>
      </c>
      <c r="F1846" s="3">
        <v>53148</v>
      </c>
      <c r="G1846" s="3">
        <v>52572</v>
      </c>
    </row>
    <row r="1847" spans="1:7" x14ac:dyDescent="0.2">
      <c r="A1847" t="s" s="0">
        <v>2150</v>
      </c>
      <c r="B1847" s="3">
        <v>954985</v>
      </c>
      <c r="C1847" s="3">
        <v>44223</v>
      </c>
      <c r="D1847" s="3">
        <v>46796</v>
      </c>
      <c r="E1847" s="3">
        <v>52950</v>
      </c>
      <c r="F1847" s="3">
        <v>53148</v>
      </c>
      <c r="G1847" s="3">
        <v>52572</v>
      </c>
    </row>
    <row r="1848" spans="1:7" x14ac:dyDescent="0.2">
      <c r="A1848" t="s" s="0">
        <v>2149</v>
      </c>
      <c r="B1848" s="2">
        <v>912716</v>
      </c>
      <c r="C1848" s="2">
        <v>30633</v>
      </c>
      <c r="D1848" s="2">
        <v>51847</v>
      </c>
      <c r="E1848" s="2">
        <v>53188</v>
      </c>
      <c r="F1848" s="2">
        <v>41491</v>
      </c>
      <c r="G1848" s="2">
        <v>53702</v>
      </c>
    </row>
    <row r="1849" spans="1:7" x14ac:dyDescent="0.2">
      <c r="A1849" t="s" s="0">
        <v>2148</v>
      </c>
      <c r="B1849" s="2">
        <v>885196</v>
      </c>
      <c r="C1849" s="2">
        <v>47215</v>
      </c>
      <c r="D1849" s="2">
        <v>57502</v>
      </c>
      <c r="E1849" s="2">
        <v>54533</v>
      </c>
      <c r="F1849" s="2">
        <v>45068</v>
      </c>
      <c r="G1849" s="2">
        <v>51014</v>
      </c>
    </row>
    <row r="1850" spans="1:7" x14ac:dyDescent="0.2">
      <c r="A1850" t="s" s="0">
        <v>2147</v>
      </c>
      <c r="B1850" s="2">
        <v>858503</v>
      </c>
      <c r="C1850" s="2">
        <v>57911</v>
      </c>
      <c r="D1850" s="2">
        <v>61141</v>
      </c>
      <c r="E1850" s="2">
        <v>55149</v>
      </c>
      <c r="F1850" s="2">
        <v>42926</v>
      </c>
      <c r="G1850" s="2">
        <v>51698</v>
      </c>
    </row>
    <row r="1851" spans="1:7" x14ac:dyDescent="0.2">
      <c r="A1851" t="s" s="0">
        <v>2146</v>
      </c>
      <c r="B1851" s="2">
        <v>819835</v>
      </c>
      <c r="C1851" s="2">
        <v>50002</v>
      </c>
      <c r="D1851" s="2">
        <v>60292</v>
      </c>
      <c r="E1851" s="2">
        <v>55239</v>
      </c>
      <c r="F1851" s="2">
        <v>44708</v>
      </c>
      <c r="G1851" s="2">
        <v>46853</v>
      </c>
    </row>
    <row r="1852" spans="1:7" x14ac:dyDescent="0.2">
      <c r="A1852" t="s" s="0">
        <v>2145</v>
      </c>
      <c r="B1852" s="2">
        <v>791040</v>
      </c>
      <c r="C1852" s="2">
        <v>48202</v>
      </c>
      <c r="D1852" s="2">
        <v>59411</v>
      </c>
      <c r="E1852" s="2">
        <v>54823</v>
      </c>
      <c r="F1852" s="2">
        <v>35959</v>
      </c>
      <c r="G1852" s="2">
        <v>47819</v>
      </c>
    </row>
    <row r="1853" spans="1:7" x14ac:dyDescent="0.2">
      <c r="A1853" t="s" s="0">
        <v>2144</v>
      </c>
      <c r="B1853" s="3">
        <v>791040</v>
      </c>
      <c r="C1853" s="3">
        <v>48202</v>
      </c>
      <c r="D1853" s="3">
        <v>59411</v>
      </c>
      <c r="E1853" s="3">
        <v>54823</v>
      </c>
      <c r="F1853" s="3">
        <v>35959</v>
      </c>
      <c r="G1853" s="3">
        <v>47819</v>
      </c>
    </row>
    <row r="1854" spans="1:7" x14ac:dyDescent="0.2">
      <c r="A1854" t="s" s="0">
        <v>2143</v>
      </c>
      <c r="B1854" s="3">
        <v>791040</v>
      </c>
      <c r="C1854" s="3">
        <v>48202</v>
      </c>
      <c r="D1854" s="3">
        <v>59411</v>
      </c>
      <c r="E1854" s="3">
        <v>54823</v>
      </c>
      <c r="F1854" s="3">
        <v>35959</v>
      </c>
      <c r="G1854" s="3">
        <v>47819</v>
      </c>
    </row>
    <row r="1855" spans="1:7" x14ac:dyDescent="0.2">
      <c r="A1855" t="s" s="0">
        <v>2142</v>
      </c>
      <c r="B1855" s="2">
        <v>917145</v>
      </c>
      <c r="C1855" s="2">
        <v>24428</v>
      </c>
      <c r="D1855" s="2">
        <v>54017</v>
      </c>
      <c r="E1855" s="2">
        <v>52696</v>
      </c>
      <c r="F1855" s="2">
        <v>54618</v>
      </c>
      <c r="G1855" s="2">
        <v>52504</v>
      </c>
    </row>
    <row r="1856" spans="1:7" x14ac:dyDescent="0.2">
      <c r="A1856" t="s" s="0">
        <v>2141</v>
      </c>
      <c r="B1856" s="2">
        <v>922506</v>
      </c>
      <c r="C1856" s="2">
        <v>53467</v>
      </c>
      <c r="D1856" s="2">
        <v>50856</v>
      </c>
      <c r="E1856" s="2">
        <v>53324</v>
      </c>
      <c r="F1856" s="2">
        <v>56155</v>
      </c>
      <c r="G1856" s="2">
        <v>52491</v>
      </c>
    </row>
    <row r="1857" spans="1:7" x14ac:dyDescent="0.2">
      <c r="A1857" t="s" s="0">
        <v>2140</v>
      </c>
      <c r="B1857" s="2">
        <v>921481</v>
      </c>
      <c r="C1857" s="2">
        <v>50889</v>
      </c>
      <c r="D1857" s="2">
        <v>48531</v>
      </c>
      <c r="E1857" s="2">
        <v>53596</v>
      </c>
      <c r="F1857" s="2">
        <v>57515</v>
      </c>
      <c r="G1857" s="2">
        <v>53039</v>
      </c>
    </row>
    <row r="1858" spans="1:7" x14ac:dyDescent="0.2">
      <c r="A1858" t="s" s="0">
        <v>2139</v>
      </c>
      <c r="B1858" s="2">
        <v>954746</v>
      </c>
      <c r="C1858" s="2">
        <v>45949</v>
      </c>
      <c r="D1858" s="2">
        <v>48777</v>
      </c>
      <c r="E1858" s="2">
        <v>53131</v>
      </c>
      <c r="F1858" s="2">
        <v>68029</v>
      </c>
      <c r="G1858" s="2">
        <v>54399</v>
      </c>
    </row>
    <row r="1859" spans="1:7" x14ac:dyDescent="0.2">
      <c r="A1859" t="s" s="0">
        <v>2138</v>
      </c>
      <c r="B1859" s="2">
        <v>910735</v>
      </c>
      <c r="C1859" s="2">
        <v>44419</v>
      </c>
      <c r="D1859" s="2">
        <v>46820</v>
      </c>
      <c r="E1859" s="2">
        <v>53167</v>
      </c>
      <c r="F1859" s="2">
        <v>63898</v>
      </c>
      <c r="G1859" s="2">
        <v>49770</v>
      </c>
    </row>
    <row r="1860" spans="1:7" x14ac:dyDescent="0.2">
      <c r="A1860" t="s" s="0">
        <v>2137</v>
      </c>
      <c r="B1860" s="3">
        <v>910735</v>
      </c>
      <c r="C1860" s="3">
        <v>44419</v>
      </c>
      <c r="D1860" s="3">
        <v>46820</v>
      </c>
      <c r="E1860" s="3">
        <v>53167</v>
      </c>
      <c r="F1860" s="3">
        <v>63898</v>
      </c>
      <c r="G1860" s="3">
        <v>49770</v>
      </c>
    </row>
    <row r="1861" spans="1:7" x14ac:dyDescent="0.2">
      <c r="A1861" t="s" s="0">
        <v>2136</v>
      </c>
      <c r="B1861" s="3">
        <v>910735</v>
      </c>
      <c r="C1861" s="3">
        <v>44419</v>
      </c>
      <c r="D1861" s="3">
        <v>46820</v>
      </c>
      <c r="E1861" s="3">
        <v>53167</v>
      </c>
      <c r="F1861" s="3">
        <v>63898</v>
      </c>
      <c r="G1861" s="3">
        <v>49770</v>
      </c>
    </row>
    <row r="1862" spans="1:7" x14ac:dyDescent="0.2">
      <c r="A1862" t="s" s="0">
        <v>2135</v>
      </c>
      <c r="B1862" s="2">
        <v>1089953</v>
      </c>
      <c r="C1862" s="2">
        <v>29180</v>
      </c>
      <c r="D1862" s="2">
        <v>48231</v>
      </c>
      <c r="E1862" s="2">
        <v>51309</v>
      </c>
      <c r="F1862" s="2">
        <v>72896</v>
      </c>
      <c r="G1862" s="2">
        <v>55638</v>
      </c>
    </row>
    <row r="1863" spans="1:7" x14ac:dyDescent="0.2">
      <c r="A1863" t="s" s="0">
        <v>2134</v>
      </c>
      <c r="B1863" s="2">
        <v>1138327</v>
      </c>
      <c r="C1863" s="2">
        <v>44388</v>
      </c>
      <c r="D1863" s="2">
        <v>46696</v>
      </c>
      <c r="E1863" s="2">
        <v>51482</v>
      </c>
      <c r="F1863" s="2">
        <v>77506</v>
      </c>
      <c r="G1863" s="2">
        <v>58712</v>
      </c>
    </row>
    <row r="1864" spans="1:7" x14ac:dyDescent="0.2">
      <c r="A1864" t="s" s="0">
        <v>2133</v>
      </c>
      <c r="B1864" s="2">
        <v>1086802</v>
      </c>
      <c r="C1864" s="2">
        <v>59595</v>
      </c>
      <c r="D1864" s="2">
        <v>45247</v>
      </c>
      <c r="E1864" s="2">
        <v>51099</v>
      </c>
      <c r="F1864" s="2">
        <v>68851</v>
      </c>
      <c r="G1864" s="2">
        <v>55995</v>
      </c>
    </row>
    <row r="1865" spans="1:7" x14ac:dyDescent="0.2">
      <c r="A1865" t="s" s="0">
        <v>2132</v>
      </c>
      <c r="B1865" s="2">
        <v>1156686</v>
      </c>
      <c r="C1865" s="2">
        <v>48558</v>
      </c>
      <c r="D1865" s="2">
        <v>54945</v>
      </c>
      <c r="E1865" s="2">
        <v>53214</v>
      </c>
      <c r="F1865" s="2">
        <v>83789</v>
      </c>
      <c r="G1865" s="2">
        <v>59586</v>
      </c>
    </row>
    <row r="1866" spans="1:7" x14ac:dyDescent="0.2">
      <c r="A1866" t="s" s="0">
        <v>2131</v>
      </c>
      <c r="B1866" s="2">
        <v>1417883</v>
      </c>
      <c r="C1866" s="2">
        <v>47715</v>
      </c>
      <c r="D1866" s="2">
        <v>55416</v>
      </c>
      <c r="E1866" s="2">
        <v>52111</v>
      </c>
      <c r="F1866" s="2">
        <v>127831</v>
      </c>
      <c r="G1866" s="2">
        <v>70209</v>
      </c>
    </row>
    <row r="1867" spans="1:7" x14ac:dyDescent="0.2">
      <c r="A1867" t="s" s="0">
        <v>2130</v>
      </c>
      <c r="B1867" s="3">
        <v>1417883</v>
      </c>
      <c r="C1867" s="3">
        <v>47715</v>
      </c>
      <c r="D1867" s="3">
        <v>55416</v>
      </c>
      <c r="E1867" s="3">
        <v>52111</v>
      </c>
      <c r="F1867" s="3">
        <v>127831</v>
      </c>
      <c r="G1867" s="3">
        <v>70209</v>
      </c>
    </row>
    <row r="1868" spans="1:7" x14ac:dyDescent="0.2">
      <c r="A1868" t="s" s="0">
        <v>2129</v>
      </c>
      <c r="B1868" s="3">
        <v>1417883</v>
      </c>
      <c r="C1868" s="3">
        <v>47715</v>
      </c>
      <c r="D1868" s="3">
        <v>55416</v>
      </c>
      <c r="E1868" s="3">
        <v>52111</v>
      </c>
      <c r="F1868" s="3">
        <v>127831</v>
      </c>
      <c r="G1868" s="3">
        <v>70209</v>
      </c>
    </row>
    <row r="1869" spans="1:7" x14ac:dyDescent="0.2">
      <c r="A1869" t="s" s="0">
        <v>2128</v>
      </c>
      <c r="B1869" s="2">
        <v>1360603</v>
      </c>
      <c r="C1869" s="2">
        <v>28644</v>
      </c>
      <c r="D1869" s="2">
        <v>59117</v>
      </c>
      <c r="E1869" s="2">
        <v>53303</v>
      </c>
      <c r="F1869" s="2">
        <v>97746</v>
      </c>
      <c r="G1869" s="2">
        <v>66688</v>
      </c>
    </row>
    <row r="1870" spans="1:7" x14ac:dyDescent="0.2">
      <c r="A1870" t="s" s="0">
        <v>2127</v>
      </c>
      <c r="B1870" s="2">
        <v>1441996</v>
      </c>
      <c r="C1870" s="2">
        <v>40913</v>
      </c>
      <c r="D1870" s="2">
        <v>66479</v>
      </c>
      <c r="E1870" s="2">
        <v>55383</v>
      </c>
      <c r="F1870" s="2">
        <v>109826</v>
      </c>
      <c r="G1870" s="2">
        <v>72139</v>
      </c>
    </row>
    <row r="1871" spans="1:7" x14ac:dyDescent="0.2">
      <c r="A1871" t="s" s="0">
        <v>2126</v>
      </c>
      <c r="B1871" s="2">
        <v>1376332</v>
      </c>
      <c r="C1871" s="2">
        <v>45915</v>
      </c>
      <c r="D1871" s="2">
        <v>68678</v>
      </c>
      <c r="E1871" s="2">
        <v>55899</v>
      </c>
      <c r="F1871" s="2">
        <v>109980</v>
      </c>
      <c r="G1871" s="2">
        <v>69818</v>
      </c>
    </row>
    <row r="1872" spans="1:7" x14ac:dyDescent="0.2">
      <c r="A1872" t="s" s="0">
        <v>2125</v>
      </c>
      <c r="B1872" s="2">
        <v>1370055</v>
      </c>
      <c r="C1872" s="2">
        <v>46277</v>
      </c>
      <c r="D1872" s="2">
        <v>58201</v>
      </c>
      <c r="E1872" s="2">
        <v>55554</v>
      </c>
      <c r="F1872" s="2">
        <v>88623</v>
      </c>
      <c r="G1872" s="2">
        <v>71287</v>
      </c>
    </row>
    <row r="1873" spans="1:7" x14ac:dyDescent="0.2">
      <c r="A1873" t="s" s="0">
        <v>2124</v>
      </c>
      <c r="B1873" s="2">
        <v>1336903</v>
      </c>
      <c r="C1873" s="2">
        <v>50500</v>
      </c>
      <c r="D1873" s="2">
        <v>61955</v>
      </c>
      <c r="E1873" s="2">
        <v>55901</v>
      </c>
      <c r="F1873" s="2">
        <v>50357</v>
      </c>
      <c r="G1873" s="2">
        <v>69511</v>
      </c>
    </row>
    <row r="1874" spans="1:7" x14ac:dyDescent="0.2">
      <c r="A1874" t="s" s="0">
        <v>2123</v>
      </c>
      <c r="B1874" s="3">
        <v>1336903</v>
      </c>
      <c r="C1874" s="3">
        <v>50500</v>
      </c>
      <c r="D1874" s="3">
        <v>61955</v>
      </c>
      <c r="E1874" s="3">
        <v>55901</v>
      </c>
      <c r="F1874" s="3">
        <v>50357</v>
      </c>
      <c r="G1874" s="3">
        <v>69511</v>
      </c>
    </row>
    <row r="1875" spans="1:7" x14ac:dyDescent="0.2">
      <c r="A1875" t="s" s="0">
        <v>2122</v>
      </c>
      <c r="B1875" s="3">
        <v>1336903</v>
      </c>
      <c r="C1875" s="3">
        <v>50500</v>
      </c>
      <c r="D1875" s="3">
        <v>61955</v>
      </c>
      <c r="E1875" s="3">
        <v>55901</v>
      </c>
      <c r="F1875" s="3">
        <v>50357</v>
      </c>
      <c r="G1875" s="3">
        <v>69511</v>
      </c>
    </row>
    <row r="1876" spans="1:7" x14ac:dyDescent="0.2">
      <c r="A1876" t="s" s="0">
        <v>2121</v>
      </c>
      <c r="B1876" s="2">
        <v>1259555</v>
      </c>
      <c r="C1876" s="2">
        <v>26414</v>
      </c>
      <c r="D1876" s="2">
        <v>58340</v>
      </c>
      <c r="E1876" s="2">
        <v>54926</v>
      </c>
      <c r="F1876" s="2">
        <v>43875</v>
      </c>
      <c r="G1876" s="2">
        <v>67284</v>
      </c>
    </row>
    <row r="1877" spans="1:7" x14ac:dyDescent="0.2">
      <c r="A1877" t="s" s="0">
        <v>2120</v>
      </c>
      <c r="B1877" s="2">
        <v>1330842</v>
      </c>
      <c r="C1877" s="2">
        <v>45875</v>
      </c>
      <c r="D1877" s="2">
        <v>51613</v>
      </c>
      <c r="E1877" s="2">
        <v>53911</v>
      </c>
      <c r="F1877" s="2">
        <v>35704</v>
      </c>
      <c r="G1877" s="2">
        <v>69798</v>
      </c>
    </row>
    <row r="1878" spans="1:7" x14ac:dyDescent="0.2">
      <c r="A1878" t="s" s="0">
        <v>2119</v>
      </c>
      <c r="B1878" s="2">
        <v>1298265</v>
      </c>
      <c r="C1878" s="2">
        <v>53543</v>
      </c>
      <c r="D1878" s="2">
        <v>53067</v>
      </c>
      <c r="E1878" s="2">
        <v>53881</v>
      </c>
      <c r="F1878" s="2">
        <v>41886</v>
      </c>
      <c r="G1878" s="2">
        <v>69558</v>
      </c>
    </row>
    <row r="1879" spans="1:7" x14ac:dyDescent="0.2">
      <c r="A1879" t="s" s="0">
        <v>2118</v>
      </c>
      <c r="B1879" s="2">
        <v>1336458</v>
      </c>
      <c r="C1879" s="2">
        <v>50221</v>
      </c>
      <c r="D1879" s="2">
        <v>53630</v>
      </c>
      <c r="E1879" s="2">
        <v>53888</v>
      </c>
      <c r="F1879" s="2">
        <v>48802</v>
      </c>
      <c r="G1879" s="2">
        <v>72311</v>
      </c>
    </row>
    <row r="1880" spans="1:7" x14ac:dyDescent="0.2">
      <c r="A1880" t="s" s="0">
        <v>2117</v>
      </c>
      <c r="B1880" s="2">
        <v>1339691</v>
      </c>
      <c r="C1880" s="2">
        <v>45413</v>
      </c>
      <c r="D1880" s="2">
        <v>49547</v>
      </c>
      <c r="E1880" s="2">
        <v>53435</v>
      </c>
      <c r="F1880" s="2">
        <v>49917</v>
      </c>
      <c r="G1880" s="2">
        <v>73001</v>
      </c>
    </row>
    <row r="1881" spans="1:7" x14ac:dyDescent="0.2">
      <c r="A1881" t="s" s="0">
        <v>2116</v>
      </c>
      <c r="B1881" s="3">
        <v>1339691</v>
      </c>
      <c r="C1881" s="3">
        <v>45413</v>
      </c>
      <c r="D1881" s="3">
        <v>49547</v>
      </c>
      <c r="E1881" s="3">
        <v>53435</v>
      </c>
      <c r="F1881" s="3">
        <v>49917</v>
      </c>
      <c r="G1881" s="3">
        <v>73001</v>
      </c>
    </row>
    <row r="1882" spans="1:7" x14ac:dyDescent="0.2">
      <c r="A1882" t="s" s="0">
        <v>2115</v>
      </c>
      <c r="B1882" s="3">
        <v>1339691</v>
      </c>
      <c r="C1882" s="3">
        <v>45413</v>
      </c>
      <c r="D1882" s="3">
        <v>49547</v>
      </c>
      <c r="E1882" s="3">
        <v>53435</v>
      </c>
      <c r="F1882" s="3">
        <v>49917</v>
      </c>
      <c r="G1882" s="3">
        <v>73001</v>
      </c>
    </row>
    <row r="1883" spans="1:7" x14ac:dyDescent="0.2">
      <c r="A1883" t="s" s="0">
        <v>2114</v>
      </c>
      <c r="B1883" s="2">
        <v>1310526</v>
      </c>
      <c r="C1883" s="2">
        <v>28897</v>
      </c>
      <c r="D1883" s="2">
        <v>49283</v>
      </c>
      <c r="E1883" s="2">
        <v>53743</v>
      </c>
      <c r="F1883" s="2">
        <v>56536</v>
      </c>
      <c r="G1883" s="2">
        <v>67763</v>
      </c>
    </row>
    <row r="1884" spans="1:7" x14ac:dyDescent="0.2">
      <c r="A1884" t="s" s="0">
        <v>2113</v>
      </c>
      <c r="B1884" s="2">
        <v>1218602</v>
      </c>
      <c r="C1884" s="2">
        <v>43549</v>
      </c>
      <c r="D1884" s="2">
        <v>53241</v>
      </c>
      <c r="E1884" s="2">
        <v>54507</v>
      </c>
      <c r="F1884" s="2">
        <v>37179</v>
      </c>
      <c r="G1884" s="2">
        <v>65054</v>
      </c>
    </row>
    <row r="1885" spans="1:7" x14ac:dyDescent="0.2">
      <c r="A1885" t="s" s="0">
        <v>2112</v>
      </c>
      <c r="B1885" s="2">
        <v>1179549</v>
      </c>
      <c r="C1885" s="2">
        <v>49115</v>
      </c>
      <c r="D1885" s="2">
        <v>58678</v>
      </c>
      <c r="E1885" s="2">
        <v>56417</v>
      </c>
      <c r="F1885" s="2">
        <v>41710</v>
      </c>
      <c r="G1885" s="2">
        <v>65607</v>
      </c>
    </row>
    <row r="1886" spans="1:7" x14ac:dyDescent="0.2">
      <c r="A1886" t="s" s="0">
        <v>2111</v>
      </c>
      <c r="B1886" s="2">
        <v>1213484</v>
      </c>
      <c r="C1886" s="2">
        <v>51131</v>
      </c>
      <c r="D1886" s="2">
        <v>60941</v>
      </c>
      <c r="E1886" s="2">
        <v>56930</v>
      </c>
      <c r="F1886" s="2">
        <v>43365</v>
      </c>
      <c r="G1886" s="2">
        <v>66145</v>
      </c>
    </row>
    <row r="1887" spans="1:7" x14ac:dyDescent="0.2">
      <c r="A1887" t="s" s="0">
        <v>2110</v>
      </c>
      <c r="B1887" s="2">
        <v>1150266</v>
      </c>
      <c r="C1887" s="2">
        <v>45432</v>
      </c>
      <c r="D1887" s="2">
        <v>62373</v>
      </c>
      <c r="E1887" s="2">
        <v>57323</v>
      </c>
      <c r="F1887" s="2">
        <v>35303</v>
      </c>
      <c r="G1887" s="2">
        <v>65852</v>
      </c>
    </row>
    <row r="1888" spans="1:7" x14ac:dyDescent="0.2">
      <c r="A1888" t="s" s="0">
        <v>2109</v>
      </c>
      <c r="B1888" s="3">
        <v>1150266</v>
      </c>
      <c r="C1888" s="3">
        <v>45432</v>
      </c>
      <c r="D1888" s="3">
        <v>62373</v>
      </c>
      <c r="E1888" s="3">
        <v>57323</v>
      </c>
      <c r="F1888" s="3">
        <v>35303</v>
      </c>
      <c r="G1888" s="3">
        <v>65852</v>
      </c>
    </row>
    <row r="1889" spans="1:7" x14ac:dyDescent="0.2">
      <c r="A1889" t="s" s="0">
        <v>2108</v>
      </c>
      <c r="B1889" s="3">
        <v>1150266</v>
      </c>
      <c r="C1889" s="3">
        <v>45432</v>
      </c>
      <c r="D1889" s="3">
        <v>62373</v>
      </c>
      <c r="E1889" s="3">
        <v>57323</v>
      </c>
      <c r="F1889" s="3">
        <v>35303</v>
      </c>
      <c r="G1889" s="3">
        <v>65852</v>
      </c>
    </row>
    <row r="1890" spans="1:7" x14ac:dyDescent="0.2">
      <c r="A1890" t="s" s="0">
        <v>2107</v>
      </c>
      <c r="B1890" s="2">
        <v>1103042</v>
      </c>
      <c r="C1890" s="2">
        <v>31661</v>
      </c>
      <c r="D1890" s="2">
        <v>62758</v>
      </c>
      <c r="E1890" s="2">
        <v>57375</v>
      </c>
      <c r="F1890" s="2">
        <v>33120</v>
      </c>
      <c r="G1890" s="2">
        <v>57819</v>
      </c>
    </row>
    <row r="1891" spans="1:7" x14ac:dyDescent="0.2">
      <c r="A1891" t="s" s="0">
        <v>2106</v>
      </c>
      <c r="B1891" s="2">
        <v>1066026</v>
      </c>
      <c r="C1891" s="2">
        <v>37016</v>
      </c>
      <c r="D1891" s="2">
        <v>54968</v>
      </c>
      <c r="E1891" s="2">
        <v>56575</v>
      </c>
      <c r="F1891" s="2">
        <v>33174</v>
      </c>
      <c r="G1891" s="2">
        <v>53971</v>
      </c>
    </row>
    <row r="1892" spans="1:7" x14ac:dyDescent="0.2">
      <c r="A1892" t="s" s="0">
        <v>2105</v>
      </c>
      <c r="B1892" s="2">
        <v>1039627</v>
      </c>
      <c r="C1892" s="2">
        <v>47904</v>
      </c>
      <c r="D1892" s="2">
        <v>46218</v>
      </c>
      <c r="E1892" s="2">
        <v>56660</v>
      </c>
      <c r="F1892" s="2">
        <v>26231</v>
      </c>
      <c r="G1892" s="2">
        <v>54952</v>
      </c>
    </row>
    <row r="1893" spans="1:7" x14ac:dyDescent="0.2">
      <c r="A1893" t="s" s="0">
        <v>2104</v>
      </c>
      <c r="B1893" s="2">
        <v>994701</v>
      </c>
      <c r="C1893" s="2">
        <v>52838</v>
      </c>
      <c r="D1893" s="2">
        <v>44328</v>
      </c>
      <c r="E1893" s="2">
        <v>54275</v>
      </c>
      <c r="F1893" s="2">
        <v>13075</v>
      </c>
      <c r="G1893" s="2">
        <v>48466</v>
      </c>
    </row>
    <row r="1894" spans="1:7" x14ac:dyDescent="0.2">
      <c r="A1894" t="s" s="0">
        <v>2103</v>
      </c>
      <c r="B1894" s="2">
        <v>991024</v>
      </c>
      <c r="C1894" s="2">
        <v>47245</v>
      </c>
      <c r="D1894" s="2">
        <v>43158</v>
      </c>
      <c r="E1894" s="2">
        <v>54258</v>
      </c>
      <c r="F1894" s="2">
        <v>20411</v>
      </c>
      <c r="G1894" s="2">
        <v>38997</v>
      </c>
    </row>
    <row r="1895" spans="1:7" x14ac:dyDescent="0.2">
      <c r="A1895" t="s" s="0">
        <v>2102</v>
      </c>
      <c r="B1895" s="3">
        <v>991024</v>
      </c>
      <c r="C1895" s="3">
        <v>47245</v>
      </c>
      <c r="D1895" s="3">
        <v>43158</v>
      </c>
      <c r="E1895" s="3">
        <v>54258</v>
      </c>
      <c r="F1895" s="3">
        <v>20411</v>
      </c>
      <c r="G1895" s="3">
        <v>38997</v>
      </c>
    </row>
    <row r="1896" spans="1:7" x14ac:dyDescent="0.2">
      <c r="A1896" t="s" s="0">
        <v>2101</v>
      </c>
      <c r="B1896" s="3">
        <v>991024</v>
      </c>
      <c r="C1896" s="3">
        <v>47245</v>
      </c>
      <c r="D1896" s="3">
        <v>43158</v>
      </c>
      <c r="E1896" s="3">
        <v>54258</v>
      </c>
      <c r="F1896" s="3">
        <v>20411</v>
      </c>
      <c r="G1896" s="3">
        <v>38997</v>
      </c>
    </row>
    <row r="1897" spans="1:7" x14ac:dyDescent="0.2">
      <c r="A1897" t="s" s="0">
        <v>2100</v>
      </c>
      <c r="B1897" s="2">
        <v>935624</v>
      </c>
      <c r="C1897" s="2">
        <v>29221</v>
      </c>
      <c r="D1897" s="2">
        <v>42168</v>
      </c>
      <c r="E1897" s="2">
        <v>53137</v>
      </c>
      <c r="F1897" s="2">
        <v>18242</v>
      </c>
      <c r="G1897" s="2">
        <v>37943</v>
      </c>
    </row>
    <row r="1898" spans="1:7" x14ac:dyDescent="0.2">
      <c r="A1898" t="s" s="0">
        <v>2099</v>
      </c>
      <c r="B1898" s="2">
        <v>890634</v>
      </c>
      <c r="C1898" s="2">
        <v>44981</v>
      </c>
      <c r="D1898" s="2">
        <v>43306</v>
      </c>
      <c r="E1898" s="2">
        <v>50782</v>
      </c>
      <c r="F1898" s="2">
        <v>18241</v>
      </c>
      <c r="G1898" s="2">
        <v>31074</v>
      </c>
    </row>
    <row r="1899" spans="1:7" x14ac:dyDescent="0.2">
      <c r="A1899" t="s" s="0">
        <v>2098</v>
      </c>
      <c r="B1899" s="2">
        <v>857295</v>
      </c>
      <c r="C1899" s="2">
        <v>41466</v>
      </c>
      <c r="D1899" s="2">
        <v>41678</v>
      </c>
      <c r="E1899" s="2">
        <v>49910</v>
      </c>
      <c r="F1899" s="2">
        <v>15624</v>
      </c>
      <c r="G1899" s="2">
        <v>31363</v>
      </c>
    </row>
    <row r="1900" spans="1:7" x14ac:dyDescent="0.2">
      <c r="A1900" t="s" s="0">
        <v>2097</v>
      </c>
      <c r="B1900" s="2">
        <v>888802</v>
      </c>
      <c r="C1900" s="2">
        <v>35146</v>
      </c>
      <c r="D1900" s="2">
        <v>39151</v>
      </c>
      <c r="E1900" s="2">
        <v>49513</v>
      </c>
      <c r="F1900" s="2">
        <v>24015</v>
      </c>
      <c r="G1900" s="2">
        <v>32314</v>
      </c>
    </row>
    <row r="1901" spans="1:7" x14ac:dyDescent="0.2">
      <c r="A1901" t="s" s="0">
        <v>2096</v>
      </c>
      <c r="B1901" s="2">
        <v>903579</v>
      </c>
      <c r="C1901" s="2">
        <v>35084</v>
      </c>
      <c r="D1901" s="2">
        <v>37413</v>
      </c>
      <c r="E1901" s="2">
        <v>48123</v>
      </c>
      <c r="F1901" s="2">
        <v>24914</v>
      </c>
      <c r="G1901" s="2">
        <v>32637</v>
      </c>
    </row>
    <row r="1902" spans="1:7" x14ac:dyDescent="0.2">
      <c r="A1902" t="s" s="0">
        <v>2095</v>
      </c>
      <c r="B1902" s="3">
        <v>903579</v>
      </c>
      <c r="C1902" s="3">
        <v>35084</v>
      </c>
      <c r="D1902" s="3">
        <v>37413</v>
      </c>
      <c r="E1902" s="3">
        <v>48123</v>
      </c>
      <c r="F1902" s="3">
        <v>24914</v>
      </c>
      <c r="G1902" s="3">
        <v>32637</v>
      </c>
    </row>
    <row r="1903" spans="1:7" x14ac:dyDescent="0.2">
      <c r="A1903" t="s" s="0">
        <v>2094</v>
      </c>
      <c r="B1903" s="3">
        <v>903579</v>
      </c>
      <c r="C1903" s="3">
        <v>35084</v>
      </c>
      <c r="D1903" s="3">
        <v>37413</v>
      </c>
      <c r="E1903" s="3">
        <v>48123</v>
      </c>
      <c r="F1903" s="3">
        <v>24914</v>
      </c>
      <c r="G1903" s="3">
        <v>32637</v>
      </c>
    </row>
    <row r="1904" spans="1:7" x14ac:dyDescent="0.2">
      <c r="A1904" t="s" s="0">
        <v>2093</v>
      </c>
      <c r="B1904" s="2">
        <v>906546</v>
      </c>
      <c r="C1904" s="2">
        <v>26760</v>
      </c>
      <c r="D1904" s="2">
        <v>36818</v>
      </c>
      <c r="E1904" s="2">
        <v>47757</v>
      </c>
      <c r="F1904" s="2">
        <v>32657</v>
      </c>
      <c r="G1904" s="2">
        <v>35139</v>
      </c>
    </row>
    <row r="1905" spans="1:7" x14ac:dyDescent="0.2">
      <c r="A1905" t="s" s="0">
        <v>2092</v>
      </c>
      <c r="B1905" s="2">
        <v>896777</v>
      </c>
      <c r="C1905" s="2">
        <v>50835</v>
      </c>
      <c r="D1905" s="2">
        <v>39083</v>
      </c>
      <c r="E1905" s="2">
        <v>47650</v>
      </c>
      <c r="F1905" s="2">
        <v>39954</v>
      </c>
      <c r="G1905" s="2">
        <v>32137</v>
      </c>
    </row>
    <row r="1906" spans="1:7" x14ac:dyDescent="0.2">
      <c r="A1906" t="s" s="0">
        <v>2091</v>
      </c>
      <c r="B1906" s="2">
        <v>862982</v>
      </c>
      <c r="C1906" s="2">
        <v>43913</v>
      </c>
      <c r="D1906" s="2">
        <v>39433</v>
      </c>
      <c r="E1906" s="2">
        <v>46502</v>
      </c>
      <c r="F1906" s="2">
        <v>39073</v>
      </c>
      <c r="G1906" s="2">
        <v>30659</v>
      </c>
    </row>
    <row r="1907" spans="1:7" x14ac:dyDescent="0.2">
      <c r="A1907" t="s" s="0">
        <v>2090</v>
      </c>
      <c r="B1907" s="2">
        <v>873647</v>
      </c>
      <c r="C1907" s="2">
        <v>44006</v>
      </c>
      <c r="D1907" s="2">
        <v>42555</v>
      </c>
      <c r="E1907" s="2">
        <v>46744</v>
      </c>
      <c r="F1907" s="2">
        <v>39218</v>
      </c>
      <c r="G1907" s="2">
        <v>29918</v>
      </c>
    </row>
    <row r="1908" spans="1:7" x14ac:dyDescent="0.2">
      <c r="A1908" t="s" s="0">
        <v>2089</v>
      </c>
      <c r="B1908" s="2">
        <v>879238</v>
      </c>
      <c r="C1908" s="2">
        <v>44314</v>
      </c>
      <c r="D1908" s="2">
        <v>45316</v>
      </c>
      <c r="E1908" s="2">
        <v>47065</v>
      </c>
      <c r="F1908" s="2">
        <v>40666</v>
      </c>
      <c r="G1908" s="2">
        <v>30324</v>
      </c>
    </row>
    <row r="1909" spans="1:7" x14ac:dyDescent="0.2">
      <c r="A1909" t="s" s="0">
        <v>2088</v>
      </c>
      <c r="B1909" s="3">
        <v>879238</v>
      </c>
      <c r="C1909" s="3">
        <v>44314</v>
      </c>
      <c r="D1909" s="3">
        <v>45316</v>
      </c>
      <c r="E1909" s="3">
        <v>47065</v>
      </c>
      <c r="F1909" s="3">
        <v>40666</v>
      </c>
      <c r="G1909" s="3">
        <v>30324</v>
      </c>
    </row>
    <row r="1910" spans="1:7" x14ac:dyDescent="0.2">
      <c r="A1910" t="s" s="0">
        <v>2087</v>
      </c>
      <c r="B1910" s="3">
        <v>879238</v>
      </c>
      <c r="C1910" s="3">
        <v>44314</v>
      </c>
      <c r="D1910" s="3">
        <v>45316</v>
      </c>
      <c r="E1910" s="3">
        <v>47065</v>
      </c>
      <c r="F1910" s="3">
        <v>40666</v>
      </c>
      <c r="G1910" s="3">
        <v>30324</v>
      </c>
    </row>
    <row r="1911" spans="1:7" x14ac:dyDescent="0.2">
      <c r="A1911" t="s" s="0">
        <v>2086</v>
      </c>
      <c r="B1911" s="2">
        <v>956448</v>
      </c>
      <c r="C1911" s="2">
        <v>26248</v>
      </c>
      <c r="D1911" s="2">
        <v>46277</v>
      </c>
      <c r="E1911" s="2">
        <v>47006</v>
      </c>
      <c r="F1911" s="2">
        <v>52234</v>
      </c>
      <c r="G1911" s="2">
        <v>34063</v>
      </c>
    </row>
    <row r="1912" spans="1:7" x14ac:dyDescent="0.2">
      <c r="A1912" t="s" s="0">
        <v>2085</v>
      </c>
      <c r="B1912" s="2">
        <v>979585</v>
      </c>
      <c r="C1912" s="2">
        <v>39157</v>
      </c>
      <c r="D1912" s="2">
        <v>43895</v>
      </c>
      <c r="E1912" s="2">
        <v>45313</v>
      </c>
      <c r="F1912" s="2">
        <v>54552</v>
      </c>
      <c r="G1912" s="2">
        <v>36480</v>
      </c>
    </row>
    <row r="1913" spans="1:7" x14ac:dyDescent="0.2">
      <c r="A1913" t="s" s="0">
        <v>2084</v>
      </c>
      <c r="B1913" s="2">
        <v>1059935</v>
      </c>
      <c r="C1913" s="2">
        <v>41949</v>
      </c>
      <c r="D1913" s="2">
        <v>45065</v>
      </c>
      <c r="E1913" s="2">
        <v>43098</v>
      </c>
      <c r="F1913" s="2">
        <v>71929</v>
      </c>
      <c r="G1913" s="2">
        <v>38214</v>
      </c>
    </row>
    <row r="1914" spans="1:7" x14ac:dyDescent="0.2">
      <c r="A1914" t="s" s="0">
        <v>2083</v>
      </c>
      <c r="B1914" s="2">
        <v>1010290</v>
      </c>
      <c r="C1914" s="2">
        <v>36058</v>
      </c>
      <c r="D1914" s="2">
        <v>43501</v>
      </c>
      <c r="E1914" s="2">
        <v>42384</v>
      </c>
      <c r="F1914" s="2">
        <v>61750</v>
      </c>
      <c r="G1914" s="2">
        <v>34514</v>
      </c>
    </row>
    <row r="1915" spans="1:7" x14ac:dyDescent="0.2">
      <c r="A1915" t="s" s="0">
        <v>2082</v>
      </c>
      <c r="B1915" s="2">
        <v>1021691</v>
      </c>
      <c r="C1915" s="2">
        <v>43599</v>
      </c>
      <c r="D1915" s="2">
        <v>42671</v>
      </c>
      <c r="E1915" s="2">
        <v>42140</v>
      </c>
      <c r="F1915" s="2">
        <v>61750</v>
      </c>
      <c r="G1915" s="2">
        <v>36935</v>
      </c>
    </row>
    <row r="1916" spans="1:7" x14ac:dyDescent="0.2">
      <c r="A1916" t="s" s="0">
        <v>2081</v>
      </c>
      <c r="B1916" s="3">
        <v>1021691</v>
      </c>
      <c r="C1916" s="3">
        <v>43599</v>
      </c>
      <c r="D1916" s="3">
        <v>42671</v>
      </c>
      <c r="E1916" s="3">
        <v>42140</v>
      </c>
      <c r="F1916" s="3">
        <v>61750</v>
      </c>
      <c r="G1916" s="3">
        <v>36935</v>
      </c>
    </row>
    <row r="1917" spans="1:7" x14ac:dyDescent="0.2">
      <c r="A1917" t="s" s="0">
        <v>2080</v>
      </c>
      <c r="B1917" s="3">
        <v>1021691</v>
      </c>
      <c r="C1917" s="3">
        <v>43599</v>
      </c>
      <c r="D1917" s="3">
        <v>42671</v>
      </c>
      <c r="E1917" s="3">
        <v>42140</v>
      </c>
      <c r="F1917" s="3">
        <v>61750</v>
      </c>
      <c r="G1917" s="3">
        <v>36935</v>
      </c>
    </row>
    <row r="1918" spans="1:7" x14ac:dyDescent="0.2">
      <c r="A1918" t="s" s="0">
        <v>2079</v>
      </c>
      <c r="B1918" s="2">
        <v>961146</v>
      </c>
      <c r="C1918" s="2">
        <v>26081</v>
      </c>
      <c r="D1918" s="2">
        <v>43141</v>
      </c>
      <c r="E1918" s="2">
        <v>42101</v>
      </c>
      <c r="F1918" s="2">
        <v>42441</v>
      </c>
      <c r="G1918" s="2">
        <v>36394</v>
      </c>
    </row>
    <row r="1919" spans="1:7" x14ac:dyDescent="0.2">
      <c r="A1919" t="s" s="0">
        <v>2078</v>
      </c>
      <c r="B1919" s="2">
        <v>900062</v>
      </c>
      <c r="C1919" s="2">
        <v>36261</v>
      </c>
      <c r="D1919" s="2">
        <v>49842</v>
      </c>
      <c r="E1919" s="2">
        <v>44031</v>
      </c>
      <c r="F1919" s="2">
        <v>37107</v>
      </c>
      <c r="G1919" s="2">
        <v>37464</v>
      </c>
    </row>
    <row r="1920" spans="1:7" x14ac:dyDescent="0.2">
      <c r="A1920" t="s" s="0">
        <v>2077</v>
      </c>
      <c r="B1920" s="2">
        <v>1128120</v>
      </c>
      <c r="C1920" s="2">
        <v>40578</v>
      </c>
      <c r="D1920" s="2">
        <v>48908</v>
      </c>
      <c r="E1920" s="2">
        <v>43771</v>
      </c>
      <c r="F1920" s="2">
        <v>57061</v>
      </c>
      <c r="G1920" s="2">
        <v>45922</v>
      </c>
    </row>
    <row r="1921" spans="1:7" x14ac:dyDescent="0.2">
      <c r="A1921" t="s" s="0">
        <v>2076</v>
      </c>
      <c r="B1921" s="2">
        <v>1161967</v>
      </c>
      <c r="C1921" s="2">
        <v>42496</v>
      </c>
      <c r="D1921" s="2">
        <v>49442</v>
      </c>
      <c r="E1921" s="2">
        <v>43662</v>
      </c>
      <c r="F1921" s="2">
        <v>69523</v>
      </c>
      <c r="G1921" s="2">
        <v>48626</v>
      </c>
    </row>
    <row r="1922" spans="1:7" x14ac:dyDescent="0.2">
      <c r="A1922" t="s" s="0">
        <v>2075</v>
      </c>
      <c r="B1922" s="2">
        <v>1323399</v>
      </c>
      <c r="C1922" s="2">
        <v>44071</v>
      </c>
      <c r="D1922" s="2">
        <v>57373</v>
      </c>
      <c r="E1922" s="2">
        <v>45693</v>
      </c>
      <c r="F1922" s="2">
        <v>98887</v>
      </c>
      <c r="G1922" s="2">
        <v>56554</v>
      </c>
    </row>
    <row r="1923" spans="1:7" x14ac:dyDescent="0.2">
      <c r="A1923" t="s" s="0">
        <v>2074</v>
      </c>
      <c r="B1923" s="3">
        <v>1323399</v>
      </c>
      <c r="C1923" s="3">
        <v>44071</v>
      </c>
      <c r="D1923" s="3">
        <v>57373</v>
      </c>
      <c r="E1923" s="3">
        <v>45693</v>
      </c>
      <c r="F1923" s="3">
        <v>98887</v>
      </c>
      <c r="G1923" s="3">
        <v>56554</v>
      </c>
    </row>
    <row r="1924" spans="1:7" x14ac:dyDescent="0.2">
      <c r="A1924" t="s" s="0">
        <v>2073</v>
      </c>
      <c r="B1924" s="3">
        <v>1323399</v>
      </c>
      <c r="C1924" s="3">
        <v>44071</v>
      </c>
      <c r="D1924" s="3">
        <v>57373</v>
      </c>
      <c r="E1924" s="3">
        <v>45693</v>
      </c>
      <c r="F1924" s="3">
        <v>98887</v>
      </c>
      <c r="G1924" s="3">
        <v>56554</v>
      </c>
    </row>
    <row r="1925" spans="1:7" x14ac:dyDescent="0.2">
      <c r="A1925" t="s" s="0">
        <v>2072</v>
      </c>
      <c r="B1925" s="2">
        <v>1229421</v>
      </c>
      <c r="C1925" s="2">
        <v>27282</v>
      </c>
      <c r="D1925" s="2">
        <v>67799</v>
      </c>
      <c r="E1925" s="2">
        <v>48509</v>
      </c>
      <c r="F1925" s="2">
        <v>104636</v>
      </c>
      <c r="G1925" s="2">
        <v>57992</v>
      </c>
    </row>
    <row r="1926" spans="1:7" x14ac:dyDescent="0.2">
      <c r="A1926" t="s" s="0">
        <v>2071</v>
      </c>
      <c r="B1926" s="2">
        <v>1133805</v>
      </c>
      <c r="C1926" s="2">
        <v>40021</v>
      </c>
      <c r="D1926" s="2">
        <v>68646</v>
      </c>
      <c r="E1926" s="2">
        <v>50366</v>
      </c>
      <c r="F1926" s="2">
        <v>100552</v>
      </c>
      <c r="G1926" s="2">
        <v>58041</v>
      </c>
    </row>
    <row r="1927" spans="1:7" x14ac:dyDescent="0.2">
      <c r="A1927" t="s" s="0">
        <v>2070</v>
      </c>
      <c r="B1927" s="2">
        <v>1131986</v>
      </c>
      <c r="C1927" s="2">
        <v>47045</v>
      </c>
      <c r="D1927" s="2">
        <v>71718</v>
      </c>
      <c r="E1927" s="2">
        <v>51281</v>
      </c>
      <c r="F1927" s="2">
        <v>69586</v>
      </c>
      <c r="G1927" s="2">
        <v>59412</v>
      </c>
    </row>
    <row r="1928" spans="1:7" x14ac:dyDescent="0.2">
      <c r="A1928" t="s" s="0">
        <v>2069</v>
      </c>
      <c r="B1928" s="2">
        <v>1180032</v>
      </c>
      <c r="C1928" s="2">
        <v>46979</v>
      </c>
      <c r="D1928" s="2">
        <v>71315</v>
      </c>
      <c r="E1928" s="2">
        <v>51703</v>
      </c>
      <c r="F1928" s="2">
        <v>71212</v>
      </c>
      <c r="G1928" s="2">
        <v>60425</v>
      </c>
    </row>
    <row r="1929" spans="1:7" x14ac:dyDescent="0.2">
      <c r="A1929" t="s" s="0">
        <v>2068</v>
      </c>
      <c r="B1929" s="2">
        <v>1139224</v>
      </c>
      <c r="C1929" s="2">
        <v>40732</v>
      </c>
      <c r="D1929" s="2">
        <v>65832</v>
      </c>
      <c r="E1929" s="2">
        <v>52798</v>
      </c>
      <c r="F1929" s="2">
        <v>36837</v>
      </c>
      <c r="G1929" s="2">
        <v>59535</v>
      </c>
    </row>
    <row r="1930" spans="1:7" x14ac:dyDescent="0.2">
      <c r="A1930" t="s" s="0">
        <v>2067</v>
      </c>
      <c r="B1930" s="3">
        <v>1139224</v>
      </c>
      <c r="C1930" s="3">
        <v>40732</v>
      </c>
      <c r="D1930" s="3">
        <v>65832</v>
      </c>
      <c r="E1930" s="3">
        <v>52798</v>
      </c>
      <c r="F1930" s="3">
        <v>36837</v>
      </c>
      <c r="G1930" s="3">
        <v>59535</v>
      </c>
    </row>
    <row r="1931" spans="1:7" x14ac:dyDescent="0.2">
      <c r="A1931" t="s" s="0">
        <v>2066</v>
      </c>
      <c r="B1931" s="3">
        <v>1139224</v>
      </c>
      <c r="C1931" s="3">
        <v>40732</v>
      </c>
      <c r="D1931" s="3">
        <v>65832</v>
      </c>
      <c r="E1931" s="3">
        <v>52798</v>
      </c>
      <c r="F1931" s="3">
        <v>36837</v>
      </c>
      <c r="G1931" s="3">
        <v>59535</v>
      </c>
    </row>
    <row r="1932" spans="1:7" x14ac:dyDescent="0.2">
      <c r="A1932" t="s" s="0">
        <v>2065</v>
      </c>
      <c r="B1932" s="2">
        <v>1201201</v>
      </c>
      <c r="C1932" s="2">
        <v>25407</v>
      </c>
      <c r="D1932" s="2">
        <v>53949</v>
      </c>
      <c r="E1932" s="2">
        <v>52791</v>
      </c>
      <c r="F1932" s="2">
        <v>47217</v>
      </c>
      <c r="G1932" s="2">
        <v>61632</v>
      </c>
    </row>
    <row r="1933" spans="1:7" x14ac:dyDescent="0.2">
      <c r="A1933" t="s" s="0">
        <v>2064</v>
      </c>
      <c r="B1933" s="2">
        <v>1169164</v>
      </c>
      <c r="C1933" s="2">
        <v>39447</v>
      </c>
      <c r="D1933" s="2">
        <v>50723</v>
      </c>
      <c r="E1933" s="2">
        <v>53276</v>
      </c>
      <c r="F1933" s="2">
        <v>53074</v>
      </c>
      <c r="G1933" s="2">
        <v>61321</v>
      </c>
    </row>
    <row r="1934" spans="1:7" x14ac:dyDescent="0.2">
      <c r="A1934" t="s" s="0">
        <v>2063</v>
      </c>
      <c r="B1934" s="2">
        <v>1183440</v>
      </c>
      <c r="C1934" s="2">
        <v>47070</v>
      </c>
      <c r="D1934" s="2">
        <v>50265</v>
      </c>
      <c r="E1934" s="2">
        <v>53989</v>
      </c>
      <c r="F1934" s="2">
        <v>56436</v>
      </c>
      <c r="G1934" s="2">
        <v>63753</v>
      </c>
    </row>
    <row r="1935" spans="1:7" x14ac:dyDescent="0.2">
      <c r="A1935" t="s" s="0">
        <v>2062</v>
      </c>
      <c r="B1935" s="2">
        <v>1180172</v>
      </c>
      <c r="C1935" s="2">
        <v>42508</v>
      </c>
      <c r="D1935" s="2">
        <v>49626</v>
      </c>
      <c r="E1935" s="2">
        <v>53471</v>
      </c>
      <c r="F1935" s="2">
        <v>48466</v>
      </c>
      <c r="G1935" s="2">
        <v>62738</v>
      </c>
    </row>
    <row r="1936" spans="1:7" x14ac:dyDescent="0.2">
      <c r="A1936" t="s" s="0">
        <v>2061</v>
      </c>
      <c r="B1936" s="2">
        <v>1142584</v>
      </c>
      <c r="C1936" s="2">
        <v>45337</v>
      </c>
      <c r="D1936" s="2">
        <v>46712</v>
      </c>
      <c r="E1936" s="2">
        <v>53147</v>
      </c>
      <c r="F1936" s="2">
        <v>46013</v>
      </c>
      <c r="G1936" s="2">
        <v>60872</v>
      </c>
    </row>
    <row r="1937" spans="1:7" x14ac:dyDescent="0.2">
      <c r="A1937" t="s" s="0">
        <v>2060</v>
      </c>
      <c r="B1937" s="3">
        <v>1142584</v>
      </c>
      <c r="C1937" s="3">
        <v>45337</v>
      </c>
      <c r="D1937" s="3">
        <v>46712</v>
      </c>
      <c r="E1937" s="3">
        <v>53147</v>
      </c>
      <c r="F1937" s="3">
        <v>46013</v>
      </c>
      <c r="G1937" s="3">
        <v>60872</v>
      </c>
    </row>
    <row r="1938" spans="1:7" x14ac:dyDescent="0.2">
      <c r="A1938" t="s" s="0">
        <v>2059</v>
      </c>
      <c r="B1938" s="3">
        <v>1142584</v>
      </c>
      <c r="C1938" s="3">
        <v>45337</v>
      </c>
      <c r="D1938" s="3">
        <v>46712</v>
      </c>
      <c r="E1938" s="3">
        <v>53147</v>
      </c>
      <c r="F1938" s="3">
        <v>46013</v>
      </c>
      <c r="G1938" s="3">
        <v>60872</v>
      </c>
    </row>
    <row r="1939" spans="1:7" x14ac:dyDescent="0.2">
      <c r="A1939" t="s" s="0">
        <v>2058</v>
      </c>
      <c r="B1939" s="2">
        <v>1280585</v>
      </c>
      <c r="C1939" s="2">
        <v>23831</v>
      </c>
      <c r="D1939" s="2">
        <v>45909</v>
      </c>
      <c r="E1939" s="2">
        <v>52699</v>
      </c>
      <c r="F1939" s="2">
        <v>56087</v>
      </c>
      <c r="G1939" s="2">
        <v>62595</v>
      </c>
    </row>
    <row r="1940" spans="1:7" x14ac:dyDescent="0.2">
      <c r="A1940" t="s" s="0">
        <v>2057</v>
      </c>
      <c r="B1940" s="2">
        <v>1308825</v>
      </c>
      <c r="C1940" s="2">
        <v>39221</v>
      </c>
      <c r="D1940" s="2">
        <v>41882</v>
      </c>
      <c r="E1940" s="2">
        <v>52773</v>
      </c>
      <c r="F1940" s="2">
        <v>60671</v>
      </c>
      <c r="G1940" s="2">
        <v>62851</v>
      </c>
    </row>
    <row r="1941" spans="1:7" x14ac:dyDescent="0.2">
      <c r="A1941" t="s" s="0">
        <v>2056</v>
      </c>
      <c r="B1941" s="2">
        <v>1249076</v>
      </c>
      <c r="C1941" s="2">
        <v>48099</v>
      </c>
      <c r="D1941" s="2">
        <v>42481</v>
      </c>
      <c r="E1941" s="2">
        <v>53343</v>
      </c>
      <c r="F1941" s="2">
        <v>50671</v>
      </c>
      <c r="G1941" s="2">
        <v>58438</v>
      </c>
    </row>
    <row r="1942" spans="1:7" x14ac:dyDescent="0.2">
      <c r="A1942" t="s" s="0">
        <v>2055</v>
      </c>
      <c r="B1942" s="2">
        <v>1278570</v>
      </c>
      <c r="C1942" s="2">
        <v>45720</v>
      </c>
      <c r="D1942" s="2">
        <v>48622</v>
      </c>
      <c r="E1942" s="2">
        <v>54751</v>
      </c>
      <c r="F1942" s="2">
        <v>61492</v>
      </c>
      <c r="G1942" s="2">
        <v>62673</v>
      </c>
    </row>
    <row r="1943" spans="1:7" x14ac:dyDescent="0.2">
      <c r="A1943" t="s" s="0">
        <v>2054</v>
      </c>
      <c r="B1943" s="2">
        <v>1279161</v>
      </c>
      <c r="C1943" s="2">
        <v>39108</v>
      </c>
      <c r="D1943" s="2">
        <v>47732</v>
      </c>
      <c r="E1943" s="2">
        <v>54412</v>
      </c>
      <c r="F1943" s="2">
        <v>66057</v>
      </c>
      <c r="G1943" s="2">
        <v>61948</v>
      </c>
    </row>
    <row r="1944" spans="1:7" x14ac:dyDescent="0.2">
      <c r="A1944" t="s" s="0">
        <v>2053</v>
      </c>
      <c r="B1944" s="3">
        <v>1279161</v>
      </c>
      <c r="C1944" s="3">
        <v>39108</v>
      </c>
      <c r="D1944" s="3">
        <v>47732</v>
      </c>
      <c r="E1944" s="3">
        <v>54412</v>
      </c>
      <c r="F1944" s="3">
        <v>66057</v>
      </c>
      <c r="G1944" s="3">
        <v>61948</v>
      </c>
    </row>
    <row r="1945" spans="1:7" x14ac:dyDescent="0.2">
      <c r="A1945" t="s" s="0">
        <v>2052</v>
      </c>
      <c r="B1945" s="3">
        <v>1279161</v>
      </c>
      <c r="C1945" s="3">
        <v>39108</v>
      </c>
      <c r="D1945" s="3">
        <v>47732</v>
      </c>
      <c r="E1945" s="3">
        <v>54412</v>
      </c>
      <c r="F1945" s="3">
        <v>66057</v>
      </c>
      <c r="G1945" s="3">
        <v>61948</v>
      </c>
    </row>
    <row r="1946" spans="1:7" x14ac:dyDescent="0.2">
      <c r="A1946" t="s" s="0">
        <v>2051</v>
      </c>
      <c r="B1946" s="2">
        <v>1174736</v>
      </c>
      <c r="C1946" s="2">
        <v>25970</v>
      </c>
      <c r="D1946" s="2">
        <v>52648</v>
      </c>
      <c r="E1946" s="2">
        <v>55076</v>
      </c>
      <c r="F1946" s="2">
        <v>36341</v>
      </c>
      <c r="G1946" s="2">
        <v>61070</v>
      </c>
    </row>
    <row r="1947" spans="1:7" x14ac:dyDescent="0.2">
      <c r="A1947" t="s" s="0">
        <v>2050</v>
      </c>
      <c r="B1947" s="2">
        <v>1159616</v>
      </c>
      <c r="C1947" s="2">
        <v>43906</v>
      </c>
      <c r="D1947" s="2">
        <v>53029</v>
      </c>
      <c r="E1947" s="2">
        <v>53570</v>
      </c>
      <c r="F1947" s="2">
        <v>30527</v>
      </c>
      <c r="G1947" s="2">
        <v>61206</v>
      </c>
    </row>
    <row r="1948" spans="1:7" x14ac:dyDescent="0.2">
      <c r="A1948" t="s" s="0">
        <v>2049</v>
      </c>
      <c r="B1948" s="2">
        <v>1084044</v>
      </c>
      <c r="C1948" s="2">
        <v>44446</v>
      </c>
      <c r="D1948" s="2">
        <v>55371</v>
      </c>
      <c r="E1948" s="2">
        <v>54959</v>
      </c>
      <c r="F1948" s="2">
        <v>30794</v>
      </c>
      <c r="G1948" s="2">
        <v>51872</v>
      </c>
    </row>
    <row r="1949" spans="1:7" x14ac:dyDescent="0.2">
      <c r="A1949" t="s" s="0">
        <v>2048</v>
      </c>
      <c r="B1949" s="2">
        <v>994241</v>
      </c>
      <c r="C1949" s="2">
        <v>43984</v>
      </c>
      <c r="D1949" s="2">
        <v>55875</v>
      </c>
      <c r="E1949" s="2">
        <v>56360</v>
      </c>
      <c r="F1949" s="2">
        <v>14256</v>
      </c>
      <c r="G1949" s="2">
        <v>48857</v>
      </c>
    </row>
    <row r="1950" spans="1:7" x14ac:dyDescent="0.2">
      <c r="A1950" t="s" s="0">
        <v>2047</v>
      </c>
      <c r="B1950" s="2">
        <v>1024425</v>
      </c>
      <c r="C1950" s="2">
        <v>39537</v>
      </c>
      <c r="D1950" s="2">
        <v>56153</v>
      </c>
      <c r="E1950" s="2">
        <v>54107</v>
      </c>
      <c r="F1950" s="2">
        <v>18543</v>
      </c>
      <c r="G1950" s="2">
        <v>41863</v>
      </c>
    </row>
    <row r="1951" spans="1:7" x14ac:dyDescent="0.2">
      <c r="A1951" t="s" s="0">
        <v>2046</v>
      </c>
      <c r="B1951" s="3">
        <v>1024425</v>
      </c>
      <c r="C1951" s="3">
        <v>39537</v>
      </c>
      <c r="D1951" s="3">
        <v>56153</v>
      </c>
      <c r="E1951" s="3">
        <v>54107</v>
      </c>
      <c r="F1951" s="3">
        <v>18543</v>
      </c>
      <c r="G1951" s="3">
        <v>41863</v>
      </c>
    </row>
    <row r="1952" spans="1:7" x14ac:dyDescent="0.2">
      <c r="A1952" t="s" s="0">
        <v>2045</v>
      </c>
      <c r="B1952" s="3">
        <v>1024425</v>
      </c>
      <c r="C1952" s="3">
        <v>39537</v>
      </c>
      <c r="D1952" s="3">
        <v>56153</v>
      </c>
      <c r="E1952" s="3">
        <v>54107</v>
      </c>
      <c r="F1952" s="3">
        <v>18543</v>
      </c>
      <c r="G1952" s="3">
        <v>41863</v>
      </c>
    </row>
    <row r="1953" spans="1:7" x14ac:dyDescent="0.2">
      <c r="A1953" t="s" s="0">
        <v>2044</v>
      </c>
      <c r="B1953" s="0">
        <v>991257</v>
      </c>
      <c r="C1953" s="0">
        <v>27281</v>
      </c>
      <c r="D1953" s="0">
        <v>52960</v>
      </c>
      <c r="E1953" s="0">
        <v>51367</v>
      </c>
      <c r="F1953" s="0">
        <v>25530</v>
      </c>
      <c r="G1953" s="0">
        <v>41294</v>
      </c>
    </row>
    <row r="1954" spans="1:7" x14ac:dyDescent="0.2">
      <c r="A1954" t="s" s="0">
        <v>2043</v>
      </c>
      <c r="B1954" s="2">
        <v>969392</v>
      </c>
      <c r="C1954" s="2">
        <v>41869</v>
      </c>
      <c r="D1954" s="2">
        <v>52669</v>
      </c>
      <c r="E1954" s="2">
        <v>49576</v>
      </c>
      <c r="F1954" s="2">
        <v>24276</v>
      </c>
      <c r="G1954" s="2">
        <v>42137</v>
      </c>
    </row>
    <row r="1955" spans="1:7" x14ac:dyDescent="0.2">
      <c r="A1955" t="s" s="0">
        <v>2042</v>
      </c>
      <c r="B1955" s="2">
        <v>928550</v>
      </c>
      <c r="C1955" s="2">
        <v>44116</v>
      </c>
      <c r="D1955" s="2">
        <v>48338</v>
      </c>
      <c r="E1955" s="2">
        <v>49114</v>
      </c>
      <c r="F1955" s="2">
        <v>23904</v>
      </c>
      <c r="G1955" s="2">
        <v>40451</v>
      </c>
    </row>
    <row r="1956" spans="1:7" x14ac:dyDescent="0.2">
      <c r="A1956" t="s" s="0">
        <v>2041</v>
      </c>
      <c r="B1956" s="2">
        <v>926476</v>
      </c>
      <c r="C1956" s="2">
        <v>42282</v>
      </c>
      <c r="D1956" s="2">
        <v>43518</v>
      </c>
      <c r="E1956" s="2">
        <v>49410</v>
      </c>
      <c r="F1956" s="2">
        <v>31617</v>
      </c>
      <c r="G1956" s="2">
        <v>38958</v>
      </c>
    </row>
    <row r="1957" spans="1:7" x14ac:dyDescent="0.2">
      <c r="A1957" t="s" s="0">
        <v>2040</v>
      </c>
      <c r="B1957" s="2">
        <v>990962</v>
      </c>
      <c r="C1957" s="2">
        <v>39637</v>
      </c>
      <c r="D1957" s="2">
        <v>43316</v>
      </c>
      <c r="E1957" s="2">
        <v>48478</v>
      </c>
      <c r="F1957" s="2">
        <v>36533</v>
      </c>
      <c r="G1957" s="2">
        <v>41786</v>
      </c>
    </row>
    <row r="1958" spans="1:7" x14ac:dyDescent="0.2">
      <c r="A1958" t="s" s="0">
        <v>2039</v>
      </c>
      <c r="B1958" s="3">
        <v>990962</v>
      </c>
      <c r="C1958" s="3">
        <v>39637</v>
      </c>
      <c r="D1958" s="3">
        <v>43316</v>
      </c>
      <c r="E1958" s="3">
        <v>48478</v>
      </c>
      <c r="F1958" s="3">
        <v>36533</v>
      </c>
      <c r="G1958" s="3">
        <v>41786</v>
      </c>
    </row>
    <row r="1959" spans="1:7" x14ac:dyDescent="0.2">
      <c r="A1959" t="s" s="0">
        <v>2038</v>
      </c>
      <c r="B1959" s="3">
        <v>990962</v>
      </c>
      <c r="C1959" s="3">
        <v>39637</v>
      </c>
      <c r="D1959" s="3">
        <v>43316</v>
      </c>
      <c r="E1959" s="3">
        <v>48478</v>
      </c>
      <c r="F1959" s="3">
        <v>36533</v>
      </c>
      <c r="G1959" s="3">
        <v>41786</v>
      </c>
    </row>
    <row r="1960" spans="1:7" x14ac:dyDescent="0.2">
      <c r="A1960" t="s" s="0">
        <v>2037</v>
      </c>
      <c r="B1960" s="2">
        <v>935172</v>
      </c>
      <c r="C1960" s="2">
        <v>29342</v>
      </c>
      <c r="D1960" s="2">
        <v>42383</v>
      </c>
      <c r="E1960" s="2">
        <v>48475</v>
      </c>
      <c r="F1960" s="2">
        <v>32369</v>
      </c>
      <c r="G1960" s="2">
        <v>37582</v>
      </c>
    </row>
    <row r="1961" spans="1:7" x14ac:dyDescent="0.2">
      <c r="A1961" t="s" s="0">
        <v>2036</v>
      </c>
      <c r="B1961" s="2">
        <v>902710</v>
      </c>
      <c r="C1961" s="2">
        <v>34424</v>
      </c>
      <c r="D1961" s="2">
        <v>40608</v>
      </c>
      <c r="E1961" s="2">
        <v>47047</v>
      </c>
      <c r="F1961" s="2">
        <v>29080</v>
      </c>
      <c r="G1961" s="2">
        <v>36138</v>
      </c>
    </row>
    <row r="1962" spans="1:7" x14ac:dyDescent="0.2">
      <c r="A1962" t="s" s="0">
        <v>2035</v>
      </c>
      <c r="B1962" s="2">
        <v>911796</v>
      </c>
      <c r="C1962" s="2">
        <v>40088</v>
      </c>
      <c r="D1962" s="2">
        <v>38603</v>
      </c>
      <c r="E1962" s="2">
        <v>46198</v>
      </c>
      <c r="F1962" s="2">
        <v>34886</v>
      </c>
      <c r="G1962" s="2">
        <v>35064</v>
      </c>
    </row>
    <row r="1963" spans="1:7" x14ac:dyDescent="0.2">
      <c r="A1963" t="s" s="0">
        <v>2034</v>
      </c>
      <c r="B1963" s="2">
        <v>864302</v>
      </c>
      <c r="C1963" s="2">
        <v>40527</v>
      </c>
      <c r="D1963" s="2">
        <v>37490</v>
      </c>
      <c r="E1963" s="2">
        <v>46376</v>
      </c>
      <c r="F1963" s="2">
        <v>27285</v>
      </c>
      <c r="G1963" s="2">
        <v>33663</v>
      </c>
    </row>
    <row r="1964" spans="1:7" x14ac:dyDescent="0.2">
      <c r="A1964" t="s" s="0">
        <v>2033</v>
      </c>
      <c r="B1964" s="2">
        <v>851443</v>
      </c>
      <c r="C1964" s="2">
        <v>40859</v>
      </c>
      <c r="D1964" s="2">
        <v>37664</v>
      </c>
      <c r="E1964" s="2">
        <v>46216</v>
      </c>
      <c r="F1964" s="2">
        <v>16410</v>
      </c>
      <c r="G1964" s="2">
        <v>34386</v>
      </c>
    </row>
    <row r="1965" spans="1:7" x14ac:dyDescent="0.2">
      <c r="A1965" t="s" s="0">
        <v>2032</v>
      </c>
      <c r="B1965" s="3">
        <v>851443</v>
      </c>
      <c r="C1965" s="3">
        <v>40859</v>
      </c>
      <c r="D1965" s="3">
        <v>37664</v>
      </c>
      <c r="E1965" s="3">
        <v>46216</v>
      </c>
      <c r="F1965" s="3">
        <v>16410</v>
      </c>
      <c r="G1965" s="3">
        <v>34386</v>
      </c>
    </row>
    <row r="1966" spans="1:7" x14ac:dyDescent="0.2">
      <c r="A1966" t="s" s="0">
        <v>2031</v>
      </c>
      <c r="B1966" s="3">
        <v>851443</v>
      </c>
      <c r="C1966" s="3">
        <v>40859</v>
      </c>
      <c r="D1966" s="3">
        <v>37664</v>
      </c>
      <c r="E1966" s="3">
        <v>46216</v>
      </c>
      <c r="F1966" s="3">
        <v>16410</v>
      </c>
      <c r="G1966" s="3">
        <v>34386</v>
      </c>
    </row>
    <row r="1967" spans="1:7" x14ac:dyDescent="0.2">
      <c r="A1967" t="s" s="0">
        <v>2030</v>
      </c>
      <c r="B1967" s="2">
        <v>919871</v>
      </c>
      <c r="C1967" s="2">
        <v>29456</v>
      </c>
      <c r="D1967" s="2">
        <v>38441</v>
      </c>
      <c r="E1967" s="2">
        <v>46608</v>
      </c>
      <c r="F1967" s="2">
        <v>34933</v>
      </c>
      <c r="G1967" s="2">
        <v>32293</v>
      </c>
    </row>
    <row r="1968" spans="1:7" x14ac:dyDescent="0.2">
      <c r="A1968" t="s" s="0">
        <v>2029</v>
      </c>
      <c r="B1968" s="2">
        <v>922503</v>
      </c>
      <c r="C1968" s="2">
        <v>38576</v>
      </c>
      <c r="D1968" s="2">
        <v>39605</v>
      </c>
      <c r="E1968" s="2">
        <v>46478</v>
      </c>
      <c r="F1968" s="2">
        <v>41110</v>
      </c>
      <c r="G1968" s="2">
        <v>31248</v>
      </c>
    </row>
    <row r="1969" spans="1:7" x14ac:dyDescent="0.2">
      <c r="A1969" t="s" s="0">
        <v>2028</v>
      </c>
      <c r="B1969" s="2">
        <v>879326</v>
      </c>
      <c r="C1969" s="2">
        <v>45649</v>
      </c>
      <c r="D1969" s="2">
        <v>40506</v>
      </c>
      <c r="E1969" s="2">
        <v>45704</v>
      </c>
      <c r="F1969" s="2">
        <v>35406</v>
      </c>
      <c r="G1969" s="2">
        <v>31248</v>
      </c>
    </row>
    <row r="1970" spans="1:7" x14ac:dyDescent="0.2">
      <c r="A1970" t="s" s="0">
        <v>2027</v>
      </c>
      <c r="B1970" s="2">
        <v>852060</v>
      </c>
      <c r="C1970" s="2">
        <v>44266</v>
      </c>
      <c r="D1970" s="2">
        <v>41187</v>
      </c>
      <c r="E1970" s="2">
        <v>44518</v>
      </c>
      <c r="F1970" s="2">
        <v>38977</v>
      </c>
      <c r="G1970" s="2">
        <v>28034</v>
      </c>
    </row>
    <row r="1971" spans="1:7" x14ac:dyDescent="0.2">
      <c r="A1971" t="s" s="0">
        <v>2026</v>
      </c>
      <c r="B1971" s="2">
        <v>876368</v>
      </c>
      <c r="C1971" s="2">
        <v>43486</v>
      </c>
      <c r="D1971" s="2">
        <v>41563</v>
      </c>
      <c r="E1971" s="2">
        <v>44674</v>
      </c>
      <c r="F1971" s="2">
        <v>44662</v>
      </c>
      <c r="G1971" s="2">
        <v>29037</v>
      </c>
    </row>
    <row r="1972" spans="1:7" x14ac:dyDescent="0.2">
      <c r="A1972" t="s" s="0">
        <v>2025</v>
      </c>
      <c r="B1972" s="3">
        <v>876368</v>
      </c>
      <c r="C1972" s="3">
        <v>43486</v>
      </c>
      <c r="D1972" s="3">
        <v>41563</v>
      </c>
      <c r="E1972" s="3">
        <v>44674</v>
      </c>
      <c r="F1972" s="3">
        <v>44662</v>
      </c>
      <c r="G1972" s="3">
        <v>29037</v>
      </c>
    </row>
    <row r="1973" spans="1:7" x14ac:dyDescent="0.2">
      <c r="A1973" t="s" s="0">
        <v>2024</v>
      </c>
      <c r="B1973" s="3">
        <v>876368</v>
      </c>
      <c r="C1973" s="3">
        <v>43486</v>
      </c>
      <c r="D1973" s="3">
        <v>41563</v>
      </c>
      <c r="E1973" s="3">
        <v>44674</v>
      </c>
      <c r="F1973" s="3">
        <v>44662</v>
      </c>
      <c r="G1973" s="3">
        <v>29037</v>
      </c>
    </row>
    <row r="1974" spans="1:7" x14ac:dyDescent="0.2">
      <c r="A1974" t="s" s="0">
        <v>2023</v>
      </c>
      <c r="B1974" s="2">
        <v>892621</v>
      </c>
      <c r="C1974" s="2">
        <v>24752</v>
      </c>
      <c r="D1974" s="2">
        <v>39754</v>
      </c>
      <c r="E1974" s="2">
        <v>43385</v>
      </c>
      <c r="F1974" s="2">
        <v>35399</v>
      </c>
      <c r="G1974" s="2">
        <v>32058</v>
      </c>
    </row>
    <row r="1975" spans="1:7" x14ac:dyDescent="0.2">
      <c r="A1975" t="s" s="0">
        <v>2022</v>
      </c>
      <c r="B1975" s="2">
        <v>862204</v>
      </c>
      <c r="C1975" s="2">
        <v>37545</v>
      </c>
      <c r="D1975" s="2">
        <v>40427</v>
      </c>
      <c r="E1975" s="2">
        <v>43327</v>
      </c>
      <c r="F1975" s="2">
        <v>31165</v>
      </c>
      <c r="G1975" s="2">
        <v>31408</v>
      </c>
    </row>
    <row r="1976" spans="1:7" x14ac:dyDescent="0.2">
      <c r="A1976" t="s" s="0">
        <v>2021</v>
      </c>
      <c r="B1976" s="2">
        <v>1041613</v>
      </c>
      <c r="C1976" s="2">
        <v>45378</v>
      </c>
      <c r="D1976" s="2">
        <v>40282</v>
      </c>
      <c r="E1976" s="2">
        <v>41932</v>
      </c>
      <c r="F1976" s="2">
        <v>63280</v>
      </c>
      <c r="G1976" s="2">
        <v>39369</v>
      </c>
    </row>
    <row r="1977" spans="1:7" x14ac:dyDescent="0.2">
      <c r="A1977" t="s" s="0">
        <v>2020</v>
      </c>
      <c r="B1977" s="2">
        <v>1020565</v>
      </c>
      <c r="C1977" s="2">
        <v>41974</v>
      </c>
      <c r="D1977" s="2">
        <v>40486</v>
      </c>
      <c r="E1977" s="2">
        <v>40670</v>
      </c>
      <c r="F1977" s="2">
        <v>64372</v>
      </c>
      <c r="G1977" s="2">
        <v>40563</v>
      </c>
    </row>
    <row r="1978" spans="1:7" x14ac:dyDescent="0.2">
      <c r="A1978" t="s" s="0">
        <v>2019</v>
      </c>
      <c r="B1978" s="2">
        <v>1038655</v>
      </c>
      <c r="C1978" s="2">
        <v>26816</v>
      </c>
      <c r="D1978" s="2">
        <v>38105</v>
      </c>
      <c r="E1978" s="2">
        <v>40162</v>
      </c>
      <c r="F1978" s="2">
        <v>61103</v>
      </c>
      <c r="G1978" s="2">
        <v>39677</v>
      </c>
    </row>
    <row r="1979" spans="1:7" x14ac:dyDescent="0.2">
      <c r="A1979" t="s" s="0">
        <v>2018</v>
      </c>
      <c r="B1979" s="3">
        <v>1038655</v>
      </c>
      <c r="C1979" s="3">
        <v>26816</v>
      </c>
      <c r="D1979" s="3">
        <v>38105</v>
      </c>
      <c r="E1979" s="3">
        <v>40162</v>
      </c>
      <c r="F1979" s="3">
        <v>61103</v>
      </c>
      <c r="G1979" s="3">
        <v>39677</v>
      </c>
    </row>
    <row r="1980" spans="1:7" x14ac:dyDescent="0.2">
      <c r="A1980" t="s" s="0">
        <v>2017</v>
      </c>
      <c r="B1980" s="3">
        <v>1038655</v>
      </c>
      <c r="C1980" s="3">
        <v>26816</v>
      </c>
      <c r="D1980" s="3">
        <v>38105</v>
      </c>
      <c r="E1980" s="3">
        <v>40162</v>
      </c>
      <c r="F1980" s="3">
        <v>61103</v>
      </c>
      <c r="G1980" s="3">
        <v>39677</v>
      </c>
    </row>
    <row r="1981" spans="1:7" x14ac:dyDescent="0.2">
      <c r="A1981" t="s" s="0">
        <v>2016</v>
      </c>
      <c r="B1981" s="2">
        <v>1106598</v>
      </c>
      <c r="C1981" s="2">
        <v>21302</v>
      </c>
      <c r="D1981" s="2">
        <v>44527</v>
      </c>
      <c r="E1981" s="2">
        <v>41276</v>
      </c>
      <c r="F1981" s="2">
        <v>74548</v>
      </c>
      <c r="G1981" s="2">
        <v>44312</v>
      </c>
    </row>
    <row r="1982" spans="1:7" x14ac:dyDescent="0.2">
      <c r="A1982" t="s" s="0">
        <v>2015</v>
      </c>
      <c r="B1982" s="2">
        <v>1142304</v>
      </c>
      <c r="C1982" s="2">
        <v>35572</v>
      </c>
      <c r="D1982" s="2">
        <v>43561</v>
      </c>
      <c r="E1982" s="2">
        <v>41050</v>
      </c>
      <c r="F1982" s="2">
        <v>83215</v>
      </c>
      <c r="G1982" s="2">
        <v>46142</v>
      </c>
    </row>
    <row r="1983" spans="1:7" x14ac:dyDescent="0.2">
      <c r="A1983" t="s" s="0">
        <v>2014</v>
      </c>
      <c r="B1983" s="2">
        <v>1143861</v>
      </c>
      <c r="C1983" s="2">
        <v>41229</v>
      </c>
      <c r="D1983" s="2">
        <v>42969</v>
      </c>
      <c r="E1983" s="2">
        <v>40590</v>
      </c>
      <c r="F1983" s="2">
        <v>57115</v>
      </c>
      <c r="G1983" s="2">
        <v>47672</v>
      </c>
    </row>
    <row r="1984" spans="1:7" x14ac:dyDescent="0.2">
      <c r="A1984" t="s" s="0">
        <v>2013</v>
      </c>
      <c r="B1984" s="2">
        <v>1126753</v>
      </c>
      <c r="C1984" s="2">
        <v>41996</v>
      </c>
      <c r="D1984" s="2">
        <v>43439</v>
      </c>
      <c r="E1984" s="2">
        <v>40650</v>
      </c>
      <c r="F1984" s="2">
        <v>58148</v>
      </c>
      <c r="G1984" s="2">
        <v>47195</v>
      </c>
    </row>
    <row r="1985" spans="1:7" x14ac:dyDescent="0.2">
      <c r="A1985" t="s" s="0">
        <v>2012</v>
      </c>
      <c r="B1985" s="2">
        <v>1138104</v>
      </c>
      <c r="C1985" s="2">
        <v>38485</v>
      </c>
      <c r="D1985" s="2">
        <v>45106</v>
      </c>
      <c r="E1985" s="2">
        <v>40609</v>
      </c>
      <c r="F1985" s="2">
        <v>58852</v>
      </c>
      <c r="G1985" s="2">
        <v>45257</v>
      </c>
    </row>
    <row r="1986" spans="1:7" x14ac:dyDescent="0.2">
      <c r="A1986" t="s" s="0">
        <v>2011</v>
      </c>
      <c r="B1986" s="3">
        <v>1138104</v>
      </c>
      <c r="C1986" s="3">
        <v>38485</v>
      </c>
      <c r="D1986" s="3">
        <v>45106</v>
      </c>
      <c r="E1986" s="3">
        <v>40609</v>
      </c>
      <c r="F1986" s="3">
        <v>58852</v>
      </c>
      <c r="G1986" s="3">
        <v>45257</v>
      </c>
    </row>
    <row r="1987" spans="1:7" x14ac:dyDescent="0.2">
      <c r="A1987" t="s" s="0">
        <v>2010</v>
      </c>
      <c r="B1987" s="3">
        <v>1138104</v>
      </c>
      <c r="C1987" s="3">
        <v>38485</v>
      </c>
      <c r="D1987" s="3">
        <v>45106</v>
      </c>
      <c r="E1987" s="3">
        <v>40609</v>
      </c>
      <c r="F1987" s="3">
        <v>58852</v>
      </c>
      <c r="G1987" s="3">
        <v>45257</v>
      </c>
    </row>
    <row r="1988" spans="1:7" x14ac:dyDescent="0.2">
      <c r="A1988" t="s" s="0">
        <v>2009</v>
      </c>
      <c r="B1988" s="2">
        <v>1307024</v>
      </c>
      <c r="C1988" s="2">
        <v>25184</v>
      </c>
      <c r="D1988" s="2">
        <v>38155</v>
      </c>
      <c r="E1988" s="2">
        <v>40219</v>
      </c>
      <c r="F1988" s="2">
        <v>66687</v>
      </c>
      <c r="G1988" s="2">
        <v>52892</v>
      </c>
    </row>
    <row r="1989" spans="1:7" x14ac:dyDescent="0.2">
      <c r="A1989" t="s" s="0">
        <v>2008</v>
      </c>
      <c r="B1989" s="2">
        <v>1252075</v>
      </c>
      <c r="C1989" s="2">
        <v>35973</v>
      </c>
      <c r="D1989" s="2">
        <v>38510</v>
      </c>
      <c r="E1989" s="2">
        <v>40526</v>
      </c>
      <c r="F1989" s="2">
        <v>54092</v>
      </c>
      <c r="G1989" s="2">
        <v>52395</v>
      </c>
    </row>
    <row r="1990" spans="1:7" x14ac:dyDescent="0.2">
      <c r="A1990" t="s" s="0">
        <v>2007</v>
      </c>
      <c r="B1990" s="2">
        <v>1210337</v>
      </c>
      <c r="C1990" s="2">
        <v>44297</v>
      </c>
      <c r="D1990" s="2">
        <v>38948</v>
      </c>
      <c r="E1990" s="2">
        <v>40676</v>
      </c>
      <c r="F1990" s="2">
        <v>47044</v>
      </c>
      <c r="G1990" s="2">
        <v>50711</v>
      </c>
    </row>
    <row r="1991" spans="1:7" x14ac:dyDescent="0.2">
      <c r="A1991" t="s" s="0">
        <v>2006</v>
      </c>
      <c r="B1991" s="2">
        <v>1243623</v>
      </c>
      <c r="C1991" s="2">
        <v>41965</v>
      </c>
      <c r="D1991" s="2">
        <v>38230</v>
      </c>
      <c r="E1991" s="2">
        <v>40836</v>
      </c>
      <c r="F1991" s="2">
        <v>53525</v>
      </c>
      <c r="G1991" s="2">
        <v>53755</v>
      </c>
    </row>
    <row r="1992" spans="1:7" x14ac:dyDescent="0.2">
      <c r="A1992" t="s" s="0">
        <v>2005</v>
      </c>
      <c r="B1992" s="2">
        <v>1344791</v>
      </c>
      <c r="C1992" s="2">
        <v>42774</v>
      </c>
      <c r="D1992" s="2">
        <v>43232</v>
      </c>
      <c r="E1992" s="2">
        <v>42001</v>
      </c>
      <c r="F1992" s="2">
        <v>71358</v>
      </c>
      <c r="G1992" s="2">
        <v>58994</v>
      </c>
    </row>
    <row r="1993" spans="1:7" x14ac:dyDescent="0.2">
      <c r="A1993" t="s" s="0">
        <v>2004</v>
      </c>
      <c r="B1993" s="3">
        <v>1344791</v>
      </c>
      <c r="C1993" s="3">
        <v>42774</v>
      </c>
      <c r="D1993" s="3">
        <v>43232</v>
      </c>
      <c r="E1993" s="3">
        <v>42001</v>
      </c>
      <c r="F1993" s="3">
        <v>71358</v>
      </c>
      <c r="G1993" s="3">
        <v>58994</v>
      </c>
    </row>
    <row r="1994" spans="1:7" x14ac:dyDescent="0.2">
      <c r="A1994" t="s" s="0">
        <v>2003</v>
      </c>
      <c r="B1994" s="3">
        <v>1344791</v>
      </c>
      <c r="C1994" s="3">
        <v>42774</v>
      </c>
      <c r="D1994" s="3">
        <v>43232</v>
      </c>
      <c r="E1994" s="3">
        <v>42001</v>
      </c>
      <c r="F1994" s="3">
        <v>71358</v>
      </c>
      <c r="G1994" s="3">
        <v>58994</v>
      </c>
    </row>
    <row r="1995" spans="1:7" x14ac:dyDescent="0.2">
      <c r="A1995" t="s" s="0">
        <v>2002</v>
      </c>
      <c r="B1995" s="2">
        <v>1407468</v>
      </c>
      <c r="C1995" s="2">
        <v>22365</v>
      </c>
      <c r="D1995" s="2">
        <v>43821</v>
      </c>
      <c r="E1995" s="2">
        <v>41564</v>
      </c>
      <c r="F1995" s="2">
        <v>56769</v>
      </c>
      <c r="G1995" s="2">
        <v>58351</v>
      </c>
    </row>
    <row r="1996" spans="1:7" x14ac:dyDescent="0.2">
      <c r="A1996" t="s" s="0">
        <v>2001</v>
      </c>
      <c r="B1996" s="2">
        <v>1430291</v>
      </c>
      <c r="C1996" s="2">
        <v>37170</v>
      </c>
      <c r="D1996" s="2">
        <v>42987</v>
      </c>
      <c r="E1996" s="2">
        <v>41371</v>
      </c>
      <c r="F1996" s="2">
        <v>67045</v>
      </c>
      <c r="G1996" s="2">
        <v>58879</v>
      </c>
    </row>
    <row r="1997" spans="1:7" x14ac:dyDescent="0.2">
      <c r="A1997" t="s" s="0">
        <v>2000</v>
      </c>
      <c r="B1997" s="2">
        <v>1407767</v>
      </c>
      <c r="C1997" s="2">
        <v>44615</v>
      </c>
      <c r="D1997" s="2">
        <v>45290</v>
      </c>
      <c r="E1997" s="2">
        <v>41872</v>
      </c>
      <c r="F1997" s="2">
        <v>72929</v>
      </c>
      <c r="G1997" s="2">
        <v>60092</v>
      </c>
    </row>
    <row r="1998" spans="1:7" x14ac:dyDescent="0.2">
      <c r="A1998" t="s" s="0">
        <v>1999</v>
      </c>
      <c r="B1998" s="2">
        <v>1384666</v>
      </c>
      <c r="C1998" s="2">
        <v>40430</v>
      </c>
      <c r="D1998" s="2">
        <v>44739</v>
      </c>
      <c r="E1998" s="2">
        <v>41723</v>
      </c>
      <c r="F1998" s="2">
        <v>64322</v>
      </c>
      <c r="G1998" s="2">
        <v>60092</v>
      </c>
    </row>
    <row r="1999" spans="1:7" x14ac:dyDescent="0.2">
      <c r="A1999" t="s" s="0">
        <v>1998</v>
      </c>
      <c r="B1999" s="2">
        <v>1444749</v>
      </c>
      <c r="C1999" s="2">
        <v>44831</v>
      </c>
      <c r="D1999" s="2">
        <v>40643</v>
      </c>
      <c r="E1999" s="2">
        <v>41771</v>
      </c>
      <c r="F1999" s="2">
        <v>54357</v>
      </c>
      <c r="G1999" s="2">
        <v>61418</v>
      </c>
    </row>
    <row r="2000" spans="1:7" x14ac:dyDescent="0.2">
      <c r="A2000" t="s" s="0">
        <v>1997</v>
      </c>
      <c r="B2000" s="3">
        <v>1444749</v>
      </c>
      <c r="C2000" s="3">
        <v>44831</v>
      </c>
      <c r="D2000" s="3">
        <v>40643</v>
      </c>
      <c r="E2000" s="3">
        <v>41771</v>
      </c>
      <c r="F2000" s="3">
        <v>54357</v>
      </c>
      <c r="G2000" s="3">
        <v>61418</v>
      </c>
    </row>
    <row r="2001" spans="1:7" x14ac:dyDescent="0.2">
      <c r="A2001" t="s" s="0">
        <v>1996</v>
      </c>
      <c r="B2001" s="3">
        <v>1444749</v>
      </c>
      <c r="C2001" s="3">
        <v>44831</v>
      </c>
      <c r="D2001" s="3">
        <v>40643</v>
      </c>
      <c r="E2001" s="3">
        <v>41771</v>
      </c>
      <c r="F2001" s="3">
        <v>54357</v>
      </c>
      <c r="G2001" s="3">
        <v>61418</v>
      </c>
    </row>
    <row r="2002" spans="1:7" x14ac:dyDescent="0.2">
      <c r="A2002" t="s" s="0">
        <v>1995</v>
      </c>
      <c r="B2002" s="2">
        <v>1400888</v>
      </c>
      <c r="C2002" s="2">
        <v>26318</v>
      </c>
      <c r="D2002" s="2">
        <v>46870</v>
      </c>
      <c r="E2002" s="2">
        <v>43343</v>
      </c>
      <c r="F2002" s="2">
        <v>45365</v>
      </c>
      <c r="G2002" s="2">
        <v>60842</v>
      </c>
    </row>
    <row r="2003" spans="1:7" x14ac:dyDescent="0.2">
      <c r="A2003" t="s" s="0">
        <v>1994</v>
      </c>
      <c r="B2003" s="2">
        <v>1374789</v>
      </c>
      <c r="C2003" s="2">
        <v>46094</v>
      </c>
      <c r="D2003" s="2">
        <v>48145</v>
      </c>
      <c r="E2003" s="2">
        <v>43301</v>
      </c>
      <c r="F2003" s="2">
        <v>39651</v>
      </c>
      <c r="G2003" s="2">
        <v>61001</v>
      </c>
    </row>
    <row r="2004" spans="1:7" x14ac:dyDescent="0.2">
      <c r="A2004" t="s" s="0">
        <v>1993</v>
      </c>
      <c r="B2004" s="2">
        <v>1373747</v>
      </c>
      <c r="C2004" s="2">
        <v>42303</v>
      </c>
      <c r="D2004" s="2">
        <v>45557</v>
      </c>
      <c r="E2004" s="2">
        <v>43191</v>
      </c>
      <c r="F2004" s="2">
        <v>40697</v>
      </c>
      <c r="G2004" s="2">
        <v>54446</v>
      </c>
    </row>
    <row r="2005" spans="1:7" x14ac:dyDescent="0.2">
      <c r="A2005" t="s" s="0">
        <v>1992</v>
      </c>
      <c r="B2005" s="2">
        <v>1417299</v>
      </c>
      <c r="C2005" s="2">
        <v>16448</v>
      </c>
      <c r="D2005" s="2">
        <v>41035</v>
      </c>
      <c r="E2005" s="2">
        <v>41861</v>
      </c>
      <c r="F2005" s="2">
        <v>45697</v>
      </c>
      <c r="G2005" s="2">
        <v>55423</v>
      </c>
    </row>
    <row r="2006" spans="1:7" x14ac:dyDescent="0.2">
      <c r="A2006" t="s" s="0">
        <v>1991</v>
      </c>
      <c r="B2006" s="2">
        <v>1451702</v>
      </c>
      <c r="C2006" s="2">
        <v>43251</v>
      </c>
      <c r="D2006" s="2">
        <v>40809</v>
      </c>
      <c r="E2006" s="2">
        <v>42448</v>
      </c>
      <c r="F2006" s="2">
        <v>41584</v>
      </c>
      <c r="G2006" s="2">
        <v>56538</v>
      </c>
    </row>
    <row r="2007" spans="1:7" x14ac:dyDescent="0.2">
      <c r="A2007" t="s" s="0">
        <v>1990</v>
      </c>
      <c r="B2007" s="3">
        <v>1451702</v>
      </c>
      <c r="C2007" s="3">
        <v>43251</v>
      </c>
      <c r="D2007" s="3">
        <v>40809</v>
      </c>
      <c r="E2007" s="3">
        <v>42448</v>
      </c>
      <c r="F2007" s="3">
        <v>41584</v>
      </c>
      <c r="G2007" s="3">
        <v>56538</v>
      </c>
    </row>
    <row r="2008" spans="1:7" x14ac:dyDescent="0.2">
      <c r="A2008" t="s" s="0">
        <v>1989</v>
      </c>
      <c r="B2008" s="3">
        <v>1451702</v>
      </c>
      <c r="C2008" s="3">
        <v>43251</v>
      </c>
      <c r="D2008" s="3">
        <v>40809</v>
      </c>
      <c r="E2008" s="3">
        <v>42448</v>
      </c>
      <c r="F2008" s="3">
        <v>41584</v>
      </c>
      <c r="G2008" s="3">
        <v>56538</v>
      </c>
    </row>
    <row r="2009" spans="1:7" x14ac:dyDescent="0.2">
      <c r="A2009" t="s" s="0">
        <v>1988</v>
      </c>
      <c r="B2009" s="2">
        <v>1511793</v>
      </c>
      <c r="C2009" s="2">
        <v>22638</v>
      </c>
      <c r="D2009" s="2">
        <v>34358</v>
      </c>
      <c r="E2009" s="2">
        <v>40801</v>
      </c>
      <c r="F2009" s="2">
        <v>49983</v>
      </c>
      <c r="G2009" s="2">
        <v>54701</v>
      </c>
    </row>
    <row r="2010" spans="1:7" x14ac:dyDescent="0.2">
      <c r="A2010" t="s" s="0">
        <v>1987</v>
      </c>
      <c r="B2010" s="2">
        <v>1498092</v>
      </c>
      <c r="C2010" s="2">
        <v>31332</v>
      </c>
      <c r="D2010" s="2">
        <v>33679</v>
      </c>
      <c r="E2010" s="2">
        <v>40830</v>
      </c>
      <c r="F2010" s="2">
        <v>50541</v>
      </c>
      <c r="G2010" s="2">
        <v>52832</v>
      </c>
    </row>
    <row r="2011" spans="1:7" x14ac:dyDescent="0.2">
      <c r="A2011" t="s" s="0">
        <v>1986</v>
      </c>
      <c r="B2011" s="2">
        <v>1438254</v>
      </c>
      <c r="C2011" s="2">
        <v>37743</v>
      </c>
      <c r="D2011" s="2">
        <v>33027</v>
      </c>
      <c r="E2011" s="2">
        <v>40706</v>
      </c>
      <c r="F2011" s="2">
        <v>41523</v>
      </c>
      <c r="G2011" s="2">
        <v>50548</v>
      </c>
    </row>
    <row r="2012" spans="1:7" x14ac:dyDescent="0.2">
      <c r="A2012" t="s" s="0">
        <v>1985</v>
      </c>
      <c r="B2012" s="2">
        <v>1503935</v>
      </c>
      <c r="C2012" s="2">
        <v>22319</v>
      </c>
      <c r="D2012" s="2">
        <v>33866</v>
      </c>
      <c r="E2012" s="2">
        <v>39468</v>
      </c>
      <c r="F2012" s="2">
        <v>45523</v>
      </c>
      <c r="G2012" s="2">
        <v>52267</v>
      </c>
    </row>
    <row r="2013" spans="1:7" x14ac:dyDescent="0.2">
      <c r="A2013" t="s" s="0">
        <v>1984</v>
      </c>
      <c r="B2013" s="2">
        <v>1413267</v>
      </c>
      <c r="C2013" s="2">
        <v>41797</v>
      </c>
      <c r="D2013" s="2">
        <v>40805</v>
      </c>
      <c r="E2013" s="2">
        <v>41372</v>
      </c>
      <c r="F2013" s="2">
        <v>34812</v>
      </c>
      <c r="G2013" s="2">
        <v>50528</v>
      </c>
    </row>
    <row r="2014" spans="1:7" x14ac:dyDescent="0.2">
      <c r="A2014" t="s" s="0">
        <v>1983</v>
      </c>
      <c r="B2014" s="3">
        <v>1413267</v>
      </c>
      <c r="C2014" s="3">
        <v>41797</v>
      </c>
      <c r="D2014" s="3">
        <v>40805</v>
      </c>
      <c r="E2014" s="3">
        <v>41372</v>
      </c>
      <c r="F2014" s="3">
        <v>34812</v>
      </c>
      <c r="G2014" s="3">
        <v>50528</v>
      </c>
    </row>
    <row r="2015" spans="1:7" x14ac:dyDescent="0.2">
      <c r="A2015" t="s" s="0">
        <v>1982</v>
      </c>
      <c r="B2015" s="3">
        <v>1413267</v>
      </c>
      <c r="C2015" s="3">
        <v>41797</v>
      </c>
      <c r="D2015" s="3">
        <v>40805</v>
      </c>
      <c r="E2015" s="3">
        <v>41372</v>
      </c>
      <c r="F2015" s="3">
        <v>34812</v>
      </c>
      <c r="G2015" s="3">
        <v>50528</v>
      </c>
    </row>
    <row r="2016" spans="1:7" x14ac:dyDescent="0.2">
      <c r="A2016" t="s" s="0">
        <v>1981</v>
      </c>
      <c r="B2016" s="2">
        <v>1378230</v>
      </c>
      <c r="C2016" s="2">
        <v>22256</v>
      </c>
      <c r="D2016" s="2">
        <v>44734</v>
      </c>
      <c r="E2016" s="2">
        <v>42446</v>
      </c>
      <c r="F2016" s="2">
        <v>25152</v>
      </c>
      <c r="G2016" s="2">
        <v>44317</v>
      </c>
    </row>
    <row r="2017" spans="1:7" x14ac:dyDescent="0.2">
      <c r="A2017" t="s" s="0">
        <v>1980</v>
      </c>
      <c r="B2017" s="2">
        <v>1445491</v>
      </c>
      <c r="C2017" s="2">
        <v>36554</v>
      </c>
      <c r="D2017" s="2">
        <v>44051</v>
      </c>
      <c r="E2017" s="2">
        <v>42215</v>
      </c>
      <c r="F2017" s="2">
        <v>36569</v>
      </c>
      <c r="G2017" s="2">
        <v>48451</v>
      </c>
    </row>
    <row r="2018" spans="1:7" x14ac:dyDescent="0.2">
      <c r="A2018" t="s" s="0">
        <v>1979</v>
      </c>
      <c r="B2018" s="2">
        <v>1415067</v>
      </c>
      <c r="C2018" s="2">
        <v>33408</v>
      </c>
      <c r="D2018" s="2">
        <v>43453</v>
      </c>
      <c r="E2018" s="2">
        <v>41832</v>
      </c>
      <c r="F2018" s="2">
        <v>39864</v>
      </c>
      <c r="G2018" s="2">
        <v>48753</v>
      </c>
    </row>
    <row r="2019" spans="1:7" x14ac:dyDescent="0.2">
      <c r="A2019" t="s" s="0">
        <v>1978</v>
      </c>
      <c r="B2019" s="2">
        <v>1414666</v>
      </c>
      <c r="C2019" s="2">
        <v>35393</v>
      </c>
      <c r="D2019" s="2">
        <v>45320</v>
      </c>
      <c r="E2019" s="2">
        <v>41240</v>
      </c>
      <c r="F2019" s="2">
        <v>32291</v>
      </c>
      <c r="G2019" s="2">
        <v>46958</v>
      </c>
    </row>
    <row r="2020" spans="1:7" x14ac:dyDescent="0.2">
      <c r="A2020" t="s" s="0">
        <v>1977</v>
      </c>
      <c r="B2020" s="2">
        <v>1432989</v>
      </c>
      <c r="C2020" s="2">
        <v>37659</v>
      </c>
      <c r="D2020" s="2">
        <v>37583</v>
      </c>
      <c r="E2020" s="2">
        <v>39960</v>
      </c>
      <c r="F2020" s="2">
        <v>40124</v>
      </c>
      <c r="G2020" s="2">
        <v>42720</v>
      </c>
    </row>
    <row r="2021" spans="1:7" x14ac:dyDescent="0.2">
      <c r="A2021" t="s" s="0">
        <v>1976</v>
      </c>
      <c r="B2021" s="3">
        <v>1432989</v>
      </c>
      <c r="C2021" s="3">
        <v>37659</v>
      </c>
      <c r="D2021" s="3">
        <v>37583</v>
      </c>
      <c r="E2021" s="3">
        <v>39960</v>
      </c>
      <c r="F2021" s="3">
        <v>40124</v>
      </c>
      <c r="G2021" s="3">
        <v>42720</v>
      </c>
    </row>
    <row r="2022" spans="1:7" x14ac:dyDescent="0.2">
      <c r="A2022" t="s" s="0">
        <v>1975</v>
      </c>
      <c r="B2022" s="3">
        <v>1432989</v>
      </c>
      <c r="C2022" s="3">
        <v>37659</v>
      </c>
      <c r="D2022" s="3">
        <v>37583</v>
      </c>
      <c r="E2022" s="3">
        <v>39960</v>
      </c>
      <c r="F2022" s="3">
        <v>40124</v>
      </c>
      <c r="G2022" s="3">
        <v>42720</v>
      </c>
    </row>
    <row r="2023" spans="1:7" x14ac:dyDescent="0.2">
      <c r="A2023" t="s" s="0">
        <v>1974</v>
      </c>
      <c r="B2023" s="2">
        <v>1345063</v>
      </c>
      <c r="C2023" s="2">
        <v>20176</v>
      </c>
      <c r="D2023" s="2">
        <v>40536</v>
      </c>
      <c r="E2023" s="2">
        <v>41624</v>
      </c>
      <c r="F2023" s="2">
        <v>35448</v>
      </c>
      <c r="G2023" s="2">
        <v>38987</v>
      </c>
    </row>
    <row r="2024" spans="1:7" x14ac:dyDescent="0.2">
      <c r="A2024" t="s" s="0">
        <v>1973</v>
      </c>
      <c r="B2024" s="2">
        <v>1288475</v>
      </c>
      <c r="C2024" s="2">
        <v>33588</v>
      </c>
      <c r="D2024" s="2">
        <v>40112</v>
      </c>
      <c r="E2024" s="2">
        <v>41497</v>
      </c>
      <c r="F2024" s="2">
        <v>17332</v>
      </c>
      <c r="G2024" s="2">
        <v>36023</v>
      </c>
    </row>
    <row r="2025" spans="1:7" x14ac:dyDescent="0.2">
      <c r="A2025" t="s" s="0">
        <v>1972</v>
      </c>
      <c r="B2025" s="2">
        <v>1240551</v>
      </c>
      <c r="C2025" s="2">
        <v>37334</v>
      </c>
      <c r="D2025" s="2">
        <v>42337</v>
      </c>
      <c r="E2025" s="2">
        <v>41094</v>
      </c>
      <c r="F2025" s="2">
        <v>17161</v>
      </c>
      <c r="G2025" s="2">
        <v>34811</v>
      </c>
    </row>
    <row r="2026" spans="1:7" x14ac:dyDescent="0.2">
      <c r="A2026" t="s" s="0">
        <v>1971</v>
      </c>
      <c r="B2026" s="2">
        <v>1285865</v>
      </c>
      <c r="C2026" s="2">
        <v>34680</v>
      </c>
      <c r="D2026" s="2">
        <v>42236</v>
      </c>
      <c r="E2026" s="2">
        <v>40614</v>
      </c>
      <c r="F2026" s="2">
        <v>23590</v>
      </c>
      <c r="G2026" s="2">
        <v>36775</v>
      </c>
    </row>
    <row r="2027" spans="1:7" x14ac:dyDescent="0.2">
      <c r="A2027" t="s" s="0">
        <v>1970</v>
      </c>
      <c r="B2027" s="2">
        <v>1259346</v>
      </c>
      <c r="C2027" s="2">
        <v>38708</v>
      </c>
      <c r="D2027" s="2">
        <v>49936</v>
      </c>
      <c r="E2027" s="2">
        <v>42283</v>
      </c>
      <c r="F2027" s="2">
        <v>24884</v>
      </c>
      <c r="G2027" s="2">
        <v>35351</v>
      </c>
    </row>
    <row r="2028" spans="1:7" x14ac:dyDescent="0.2">
      <c r="A2028" t="s" s="0">
        <v>1969</v>
      </c>
      <c r="B2028" s="3">
        <v>1259346</v>
      </c>
      <c r="C2028" s="3">
        <v>38708</v>
      </c>
      <c r="D2028" s="3">
        <v>49936</v>
      </c>
      <c r="E2028" s="3">
        <v>42283</v>
      </c>
      <c r="F2028" s="3">
        <v>24884</v>
      </c>
      <c r="G2028" s="3">
        <v>35351</v>
      </c>
    </row>
    <row r="2029" spans="1:7" x14ac:dyDescent="0.2">
      <c r="A2029" t="s" s="0">
        <v>1968</v>
      </c>
      <c r="B2029" s="3">
        <v>1259346</v>
      </c>
      <c r="C2029" s="3">
        <v>38708</v>
      </c>
      <c r="D2029" s="3">
        <v>49936</v>
      </c>
      <c r="E2029" s="3">
        <v>42283</v>
      </c>
      <c r="F2029" s="3">
        <v>24884</v>
      </c>
      <c r="G2029" s="3">
        <v>35351</v>
      </c>
    </row>
    <row r="2030" spans="1:7" x14ac:dyDescent="0.2">
      <c r="A2030" t="s" s="0">
        <v>1967</v>
      </c>
      <c r="B2030" s="2">
        <v>1402253</v>
      </c>
      <c r="C2030" s="2">
        <v>23962</v>
      </c>
      <c r="D2030" s="2">
        <v>40249</v>
      </c>
      <c r="E2030" s="2">
        <v>39969</v>
      </c>
      <c r="F2030" s="2">
        <v>48246</v>
      </c>
      <c r="G2030" s="2">
        <v>39707</v>
      </c>
    </row>
    <row r="2031" spans="1:7" x14ac:dyDescent="0.2">
      <c r="A2031" t="s" s="0">
        <v>1966</v>
      </c>
      <c r="B2031" s="2">
        <v>1365828</v>
      </c>
      <c r="C2031" s="2">
        <v>36403</v>
      </c>
      <c r="D2031" s="2">
        <v>40651</v>
      </c>
      <c r="E2031" s="2">
        <v>39623</v>
      </c>
      <c r="F2031" s="2">
        <v>51528</v>
      </c>
      <c r="G2031" s="2">
        <v>38993</v>
      </c>
    </row>
    <row r="2032" spans="1:7" x14ac:dyDescent="0.2">
      <c r="A2032" t="s" s="0">
        <v>1965</v>
      </c>
      <c r="B2032" s="2">
        <v>1413080</v>
      </c>
      <c r="C2032" s="2">
        <v>39299</v>
      </c>
      <c r="D2032" s="2">
        <v>39950</v>
      </c>
      <c r="E2032" s="2">
        <v>39692</v>
      </c>
      <c r="F2032" s="2">
        <v>64379</v>
      </c>
      <c r="G2032" s="2">
        <v>40732</v>
      </c>
    </row>
    <row r="2033" spans="1:7" x14ac:dyDescent="0.2">
      <c r="A2033" t="s" s="0">
        <v>1964</v>
      </c>
      <c r="B2033" s="2">
        <v>1431253</v>
      </c>
      <c r="C2033" s="2">
        <v>33082</v>
      </c>
      <c r="D2033" s="2">
        <v>39722</v>
      </c>
      <c r="E2033" s="2">
        <v>40286</v>
      </c>
      <c r="F2033" s="2">
        <v>60273</v>
      </c>
      <c r="G2033" s="2">
        <v>40419</v>
      </c>
    </row>
    <row r="2034" spans="1:7" x14ac:dyDescent="0.2">
      <c r="A2034" t="s" s="0">
        <v>1963</v>
      </c>
      <c r="B2034" s="2">
        <v>1408582</v>
      </c>
      <c r="C2034" s="2">
        <v>37671</v>
      </c>
      <c r="D2034" s="2">
        <v>32023</v>
      </c>
      <c r="E2034" s="2">
        <v>40087</v>
      </c>
      <c r="F2034" s="2">
        <v>53124</v>
      </c>
      <c r="G2034" s="2">
        <v>38236</v>
      </c>
    </row>
    <row r="2035" spans="1:7" x14ac:dyDescent="0.2">
      <c r="A2035" t="s" s="0">
        <v>1962</v>
      </c>
      <c r="B2035" s="3">
        <v>1408582</v>
      </c>
      <c r="C2035" s="3">
        <v>37671</v>
      </c>
      <c r="D2035" s="3">
        <v>32023</v>
      </c>
      <c r="E2035" s="3">
        <v>40087</v>
      </c>
      <c r="F2035" s="3">
        <v>53124</v>
      </c>
      <c r="G2035" s="3">
        <v>38236</v>
      </c>
    </row>
    <row r="2036" spans="1:7" x14ac:dyDescent="0.2">
      <c r="A2036" t="s" s="0">
        <v>1961</v>
      </c>
      <c r="B2036" s="3">
        <v>1408582</v>
      </c>
      <c r="C2036" s="3">
        <v>37671</v>
      </c>
      <c r="D2036" s="3">
        <v>32023</v>
      </c>
      <c r="E2036" s="3">
        <v>40087</v>
      </c>
      <c r="F2036" s="3">
        <v>53124</v>
      </c>
      <c r="G2036" s="3">
        <v>38236</v>
      </c>
    </row>
    <row r="2037" spans="1:7" x14ac:dyDescent="0.2">
      <c r="A2037" t="s" s="0">
        <v>1960</v>
      </c>
      <c r="B2037" s="2">
        <v>1436922</v>
      </c>
      <c r="C2037" s="2">
        <v>24409</v>
      </c>
      <c r="D2037" s="2">
        <v>33910</v>
      </c>
      <c r="E2037" s="2">
        <v>39857</v>
      </c>
      <c r="F2037" s="2">
        <v>38644</v>
      </c>
      <c r="G2037" s="2">
        <v>36873</v>
      </c>
    </row>
    <row r="2038" spans="1:7" x14ac:dyDescent="0.2">
      <c r="A2038" t="s" s="0">
        <v>1959</v>
      </c>
      <c r="B2038" s="2">
        <v>1496824</v>
      </c>
      <c r="C2038" s="2">
        <v>32679</v>
      </c>
      <c r="D2038" s="2">
        <v>33378</v>
      </c>
      <c r="E2038" s="2">
        <v>39548</v>
      </c>
      <c r="F2038" s="2">
        <v>51873</v>
      </c>
      <c r="G2038" s="2">
        <v>39325</v>
      </c>
    </row>
    <row r="2039" spans="1:7" x14ac:dyDescent="0.2">
      <c r="A2039" t="s" s="0">
        <v>1958</v>
      </c>
      <c r="B2039" s="2">
        <v>1403047</v>
      </c>
      <c r="C2039" s="2">
        <v>41254</v>
      </c>
      <c r="D2039" s="2">
        <v>40523</v>
      </c>
      <c r="E2039" s="2">
        <v>41566</v>
      </c>
      <c r="F2039" s="2">
        <v>38582</v>
      </c>
      <c r="G2039" s="2">
        <v>39996</v>
      </c>
    </row>
    <row r="2040" spans="1:7" x14ac:dyDescent="0.2">
      <c r="A2040" t="s" s="0">
        <v>1957</v>
      </c>
      <c r="B2040" s="2">
        <v>1474268</v>
      </c>
      <c r="C2040" s="2">
        <v>36137</v>
      </c>
      <c r="D2040" s="2">
        <v>43102</v>
      </c>
      <c r="E2040" s="2">
        <v>42595</v>
      </c>
      <c r="F2040" s="2">
        <v>48739</v>
      </c>
      <c r="G2040" s="2">
        <v>41223</v>
      </c>
    </row>
    <row r="2041" spans="1:7" x14ac:dyDescent="0.2">
      <c r="A2041" t="s" s="0">
        <v>1956</v>
      </c>
      <c r="B2041" s="2">
        <v>1518009</v>
      </c>
      <c r="C2041" s="2">
        <v>33624</v>
      </c>
      <c r="D2041" s="2">
        <v>42524</v>
      </c>
      <c r="E2041" s="2">
        <v>40517</v>
      </c>
      <c r="F2041" s="2">
        <v>57649</v>
      </c>
      <c r="G2041" s="2">
        <v>43945</v>
      </c>
    </row>
    <row r="2042" spans="1:7" x14ac:dyDescent="0.2">
      <c r="A2042" t="s" s="0">
        <v>1955</v>
      </c>
      <c r="B2042" s="3">
        <v>1518009</v>
      </c>
      <c r="C2042" s="3">
        <v>33624</v>
      </c>
      <c r="D2042" s="3">
        <v>42524</v>
      </c>
      <c r="E2042" s="3">
        <v>40517</v>
      </c>
      <c r="F2042" s="3">
        <v>57649</v>
      </c>
      <c r="G2042" s="3">
        <v>43945</v>
      </c>
    </row>
    <row r="2043" spans="1:7" x14ac:dyDescent="0.2">
      <c r="A2043" t="s" s="0">
        <v>1954</v>
      </c>
      <c r="B2043" s="3">
        <v>1518009</v>
      </c>
      <c r="C2043" s="3">
        <v>33624</v>
      </c>
      <c r="D2043" s="3">
        <v>42524</v>
      </c>
      <c r="E2043" s="3">
        <v>40517</v>
      </c>
      <c r="F2043" s="3">
        <v>57649</v>
      </c>
      <c r="G2043" s="3">
        <v>43945</v>
      </c>
    </row>
    <row r="2044" spans="1:7" x14ac:dyDescent="0.2">
      <c r="A2044" t="s" s="0">
        <v>1953</v>
      </c>
      <c r="B2044" s="2">
        <v>1610935</v>
      </c>
      <c r="C2044" s="2">
        <v>22145</v>
      </c>
      <c r="D2044" s="2">
        <v>43089</v>
      </c>
      <c r="E2044" s="2">
        <v>39446</v>
      </c>
      <c r="F2044" s="2">
        <v>67471</v>
      </c>
      <c r="G2044" s="2">
        <v>47452</v>
      </c>
    </row>
    <row r="2045" spans="1:7" x14ac:dyDescent="0.2">
      <c r="A2045" t="s" s="0">
        <v>1952</v>
      </c>
      <c r="B2045" s="2">
        <v>1510572</v>
      </c>
      <c r="C2045" s="2">
        <v>35124</v>
      </c>
      <c r="D2045" s="2">
        <v>43438</v>
      </c>
      <c r="E2045" s="2">
        <v>39395</v>
      </c>
      <c r="F2045" s="2">
        <v>44926</v>
      </c>
      <c r="G2045" s="2">
        <v>41415</v>
      </c>
    </row>
    <row r="2046" spans="1:7" x14ac:dyDescent="0.2">
      <c r="A2046" t="s" s="0">
        <v>1951</v>
      </c>
      <c r="B2046" s="2">
        <v>1463933</v>
      </c>
      <c r="C2046" s="2">
        <v>43311</v>
      </c>
      <c r="D2046" s="2">
        <v>36880</v>
      </c>
      <c r="E2046" s="2">
        <v>39923</v>
      </c>
      <c r="F2046" s="2">
        <v>45370</v>
      </c>
      <c r="G2046" s="2">
        <v>41373</v>
      </c>
    </row>
    <row r="2047" spans="1:7" x14ac:dyDescent="0.2">
      <c r="A2047" t="s" s="0">
        <v>1950</v>
      </c>
      <c r="B2047" s="2">
        <v>1446745</v>
      </c>
      <c r="C2047" s="2">
        <v>37926</v>
      </c>
      <c r="D2047" s="2">
        <v>34993</v>
      </c>
      <c r="E2047" s="2">
        <v>40013</v>
      </c>
      <c r="F2047" s="2">
        <v>30853</v>
      </c>
      <c r="G2047" s="2">
        <v>40864</v>
      </c>
    </row>
    <row r="2048" spans="1:7" x14ac:dyDescent="0.2">
      <c r="A2048" t="s" s="0">
        <v>1949</v>
      </c>
      <c r="B2048" s="2">
        <v>1402638</v>
      </c>
      <c r="C2048" s="2">
        <v>34262</v>
      </c>
      <c r="D2048" s="2">
        <v>35084</v>
      </c>
      <c r="E2048" s="2">
        <v>39892</v>
      </c>
      <c r="F2048" s="2">
        <v>18394</v>
      </c>
      <c r="G2048" s="2">
        <v>38513</v>
      </c>
    </row>
    <row r="2049" spans="1:7" x14ac:dyDescent="0.2">
      <c r="A2049" t="s" s="0">
        <v>1948</v>
      </c>
      <c r="B2049" s="3">
        <v>1402638</v>
      </c>
      <c r="C2049" s="3">
        <v>34262</v>
      </c>
      <c r="D2049" s="3">
        <v>35084</v>
      </c>
      <c r="E2049" s="3">
        <v>39892</v>
      </c>
      <c r="F2049" s="3">
        <v>18394</v>
      </c>
      <c r="G2049" s="3">
        <v>38513</v>
      </c>
    </row>
    <row r="2050" spans="1:7" x14ac:dyDescent="0.2">
      <c r="A2050" t="s" s="0">
        <v>1947</v>
      </c>
      <c r="B2050" s="3">
        <v>1402638</v>
      </c>
      <c r="C2050" s="3">
        <v>34262</v>
      </c>
      <c r="D2050" s="3">
        <v>35084</v>
      </c>
      <c r="E2050" s="3">
        <v>39892</v>
      </c>
      <c r="F2050" s="3">
        <v>18394</v>
      </c>
      <c r="G2050" s="3">
        <v>38513</v>
      </c>
    </row>
    <row r="2051" spans="1:7" x14ac:dyDescent="0.2">
      <c r="A2051" t="s" s="0">
        <v>1946</v>
      </c>
      <c r="B2051" s="2">
        <v>1454200</v>
      </c>
      <c r="C2051" s="2">
        <v>20942</v>
      </c>
      <c r="D2051" s="2">
        <v>35662</v>
      </c>
      <c r="E2051" s="2">
        <v>38228</v>
      </c>
      <c r="F2051" s="2">
        <v>13031</v>
      </c>
      <c r="G2051" s="2">
        <v>41848</v>
      </c>
    </row>
    <row r="2052" spans="1:7" x14ac:dyDescent="0.2">
      <c r="A2052" t="s" s="0">
        <v>1945</v>
      </c>
      <c r="B2052" s="2">
        <v>1407333</v>
      </c>
      <c r="C2052" s="2">
        <v>37170</v>
      </c>
      <c r="D2052" s="2">
        <v>37388</v>
      </c>
      <c r="E2052" s="2">
        <v>38714</v>
      </c>
      <c r="F2052" s="2">
        <v>22363</v>
      </c>
      <c r="G2052" s="2">
        <v>42673</v>
      </c>
    </row>
    <row r="2053" spans="1:7" x14ac:dyDescent="0.2">
      <c r="A2053" t="s" s="0">
        <v>1944</v>
      </c>
      <c r="B2053" s="2">
        <v>1415630</v>
      </c>
      <c r="C2053" s="2">
        <v>38366</v>
      </c>
      <c r="D2053" s="2">
        <v>35964</v>
      </c>
      <c r="E2053" s="2">
        <v>38329</v>
      </c>
      <c r="F2053" s="2">
        <v>28083</v>
      </c>
      <c r="G2053" s="2">
        <v>44103</v>
      </c>
    </row>
    <row r="2054" spans="1:7" x14ac:dyDescent="0.2">
      <c r="A2054" t="s" s="0">
        <v>1943</v>
      </c>
      <c r="B2054" s="2">
        <v>1406338</v>
      </c>
      <c r="C2054" s="2">
        <v>38739</v>
      </c>
      <c r="D2054" s="2">
        <v>36915</v>
      </c>
      <c r="E2054" s="2">
        <v>38683</v>
      </c>
      <c r="F2054" s="2">
        <v>30105</v>
      </c>
      <c r="G2054" s="2">
        <v>42493</v>
      </c>
    </row>
    <row r="2055" spans="1:7" x14ac:dyDescent="0.2">
      <c r="A2055" t="s" s="0">
        <v>1942</v>
      </c>
      <c r="B2055" s="2">
        <v>1373589</v>
      </c>
      <c r="C2055" s="2">
        <v>31685</v>
      </c>
      <c r="D2055" s="2">
        <v>39412</v>
      </c>
      <c r="E2055" s="2">
        <v>37261</v>
      </c>
      <c r="F2055" s="2">
        <v>34225</v>
      </c>
      <c r="G2055" s="2">
        <v>40848</v>
      </c>
    </row>
    <row r="2056" spans="1:7" x14ac:dyDescent="0.2">
      <c r="A2056" t="s" s="0">
        <v>1941</v>
      </c>
      <c r="B2056" s="3">
        <v>1373589</v>
      </c>
      <c r="C2056" s="3">
        <v>31685</v>
      </c>
      <c r="D2056" s="3">
        <v>39412</v>
      </c>
      <c r="E2056" s="3">
        <v>37261</v>
      </c>
      <c r="F2056" s="3">
        <v>34225</v>
      </c>
      <c r="G2056" s="3">
        <v>40848</v>
      </c>
    </row>
    <row r="2057" spans="1:7" x14ac:dyDescent="0.2">
      <c r="A2057" t="s" s="0">
        <v>1940</v>
      </c>
      <c r="B2057" s="3">
        <v>1373589</v>
      </c>
      <c r="C2057" s="3">
        <v>31685</v>
      </c>
      <c r="D2057" s="3">
        <v>39412</v>
      </c>
      <c r="E2057" s="3">
        <v>37261</v>
      </c>
      <c r="F2057" s="3">
        <v>34225</v>
      </c>
      <c r="G2057" s="3">
        <v>40848</v>
      </c>
    </row>
    <row r="2058" spans="1:7" x14ac:dyDescent="0.2">
      <c r="A2058" t="s" s="0">
        <v>1939</v>
      </c>
      <c r="B2058" s="2">
        <v>1344447</v>
      </c>
      <c r="C2058" s="2">
        <v>26233</v>
      </c>
      <c r="D2058" s="2">
        <v>38760</v>
      </c>
      <c r="E2058" s="2">
        <v>37855</v>
      </c>
      <c r="F2058" s="2">
        <v>22044</v>
      </c>
      <c r="G2058" s="2">
        <v>35298</v>
      </c>
    </row>
    <row r="2059" spans="1:7" x14ac:dyDescent="0.2">
      <c r="A2059" t="s" s="0">
        <v>1938</v>
      </c>
      <c r="B2059" s="2">
        <v>1327266</v>
      </c>
      <c r="C2059" s="2">
        <v>39060</v>
      </c>
      <c r="D2059" s="2">
        <v>39453</v>
      </c>
      <c r="E2059" s="2">
        <v>38415</v>
      </c>
      <c r="F2059" s="2">
        <v>27016</v>
      </c>
      <c r="G2059" s="2">
        <v>36544</v>
      </c>
    </row>
    <row r="2060" spans="1:7" x14ac:dyDescent="0.2">
      <c r="A2060" t="s" s="0">
        <v>1937</v>
      </c>
      <c r="B2060" s="2">
        <v>1374909</v>
      </c>
      <c r="C2060" s="2">
        <v>40901</v>
      </c>
      <c r="D2060" s="2">
        <v>39816</v>
      </c>
      <c r="E2060" s="2">
        <v>38296</v>
      </c>
      <c r="F2060" s="2">
        <v>32717</v>
      </c>
      <c r="G2060" s="2">
        <v>36188</v>
      </c>
    </row>
    <row r="2061" spans="1:7" x14ac:dyDescent="0.2">
      <c r="A2061" t="s" s="0">
        <v>1936</v>
      </c>
      <c r="B2061" s="2">
        <v>1359806</v>
      </c>
      <c r="C2061" s="2">
        <v>39233</v>
      </c>
      <c r="D2061" s="2">
        <v>39051</v>
      </c>
      <c r="E2061" s="2">
        <v>38515</v>
      </c>
      <c r="F2061" s="2">
        <v>31180</v>
      </c>
      <c r="G2061" s="2">
        <v>35219</v>
      </c>
    </row>
    <row r="2062" spans="1:7" x14ac:dyDescent="0.2">
      <c r="A2062" t="s" s="0">
        <v>1935</v>
      </c>
      <c r="B2062" s="2">
        <v>1354244</v>
      </c>
      <c r="C2062" s="2">
        <v>35195</v>
      </c>
      <c r="D2062" s="2">
        <v>37545</v>
      </c>
      <c r="E2062" s="2">
        <v>38641</v>
      </c>
      <c r="F2062" s="2">
        <v>33557</v>
      </c>
      <c r="G2062" s="2">
        <v>35956</v>
      </c>
    </row>
    <row r="2063" spans="1:7" x14ac:dyDescent="0.2">
      <c r="A2063" t="s" s="0">
        <v>1934</v>
      </c>
      <c r="B2063" s="3">
        <v>1354244</v>
      </c>
      <c r="C2063" s="3">
        <v>35195</v>
      </c>
      <c r="D2063" s="3">
        <v>37545</v>
      </c>
      <c r="E2063" s="3">
        <v>38641</v>
      </c>
      <c r="F2063" s="3">
        <v>33557</v>
      </c>
      <c r="G2063" s="3">
        <v>35956</v>
      </c>
    </row>
    <row r="2064" spans="1:7" x14ac:dyDescent="0.2">
      <c r="A2064" t="s" s="0">
        <v>1933</v>
      </c>
      <c r="B2064" s="3">
        <v>1354244</v>
      </c>
      <c r="C2064" s="3">
        <v>35195</v>
      </c>
      <c r="D2064" s="3">
        <v>37545</v>
      </c>
      <c r="E2064" s="3">
        <v>38641</v>
      </c>
      <c r="F2064" s="3">
        <v>33557</v>
      </c>
      <c r="G2064" s="3">
        <v>35956</v>
      </c>
    </row>
    <row r="2065" spans="1:7" x14ac:dyDescent="0.2">
      <c r="A2065" t="s" s="0">
        <v>1932</v>
      </c>
      <c r="B2065" s="2">
        <v>1275586</v>
      </c>
      <c r="C2065" s="2">
        <v>25526</v>
      </c>
      <c r="D2065" s="2">
        <v>39007</v>
      </c>
      <c r="E2065" s="2">
        <v>39130</v>
      </c>
      <c r="F2065" s="2">
        <v>27946</v>
      </c>
      <c r="G2065" s="2">
        <v>32623</v>
      </c>
    </row>
    <row r="2066" spans="1:7" x14ac:dyDescent="0.2">
      <c r="A2066" t="s" s="0">
        <v>1931</v>
      </c>
      <c r="B2066" s="2">
        <v>1233781</v>
      </c>
      <c r="C2066" s="2">
        <v>36807</v>
      </c>
      <c r="D2066" s="2">
        <v>37542</v>
      </c>
      <c r="E2066" s="2">
        <v>39456</v>
      </c>
      <c r="F2066" s="2">
        <v>22962</v>
      </c>
      <c r="G2066" s="2">
        <v>29317</v>
      </c>
    </row>
    <row r="2067" spans="1:7" x14ac:dyDescent="0.2">
      <c r="A2067" t="s" s="0">
        <v>1930</v>
      </c>
      <c r="B2067" s="2">
        <v>1230331</v>
      </c>
      <c r="C2067" s="2">
        <v>40302</v>
      </c>
      <c r="D2067" s="2">
        <v>37456</v>
      </c>
      <c r="E2067" s="2">
        <v>37529</v>
      </c>
      <c r="F2067" s="2">
        <v>16362</v>
      </c>
      <c r="G2067" s="2">
        <v>30633</v>
      </c>
    </row>
    <row r="2068" spans="1:7" x14ac:dyDescent="0.2">
      <c r="A2068" t="s" s="0">
        <v>1929</v>
      </c>
      <c r="B2068" s="2">
        <v>1225243</v>
      </c>
      <c r="C2068" s="2">
        <v>35179</v>
      </c>
      <c r="D2068" s="2">
        <v>36877</v>
      </c>
      <c r="E2068" s="2">
        <v>36959</v>
      </c>
      <c r="F2068" s="2">
        <v>17214</v>
      </c>
      <c r="G2068" s="2">
        <v>27338</v>
      </c>
    </row>
    <row r="2069" spans="1:7" x14ac:dyDescent="0.2">
      <c r="A2069" t="s" s="0">
        <v>1928</v>
      </c>
      <c r="B2069" s="2">
        <v>1254949</v>
      </c>
      <c r="C2069" s="2">
        <v>36234</v>
      </c>
      <c r="D2069" s="2">
        <v>36168</v>
      </c>
      <c r="E2069" s="2">
        <v>37052</v>
      </c>
      <c r="F2069" s="2">
        <v>21408</v>
      </c>
      <c r="G2069" s="2">
        <v>26896</v>
      </c>
    </row>
    <row r="2070" spans="1:7" x14ac:dyDescent="0.2">
      <c r="A2070" t="s" s="0">
        <v>1927</v>
      </c>
      <c r="B2070" s="3">
        <v>1254949</v>
      </c>
      <c r="C2070" s="3">
        <v>36234</v>
      </c>
      <c r="D2070" s="3">
        <v>36168</v>
      </c>
      <c r="E2070" s="3">
        <v>37052</v>
      </c>
      <c r="F2070" s="3">
        <v>21408</v>
      </c>
      <c r="G2070" s="3">
        <v>26896</v>
      </c>
    </row>
    <row r="2071" spans="1:7" x14ac:dyDescent="0.2">
      <c r="A2071" t="s" s="0">
        <v>1926</v>
      </c>
      <c r="B2071" s="2">
        <v>1180038</v>
      </c>
      <c r="C2071" s="2">
        <v>29047</v>
      </c>
      <c r="D2071" s="2">
        <v>38369</v>
      </c>
      <c r="E2071" s="2">
        <v>37950</v>
      </c>
      <c r="F2071" s="2">
        <v>24184</v>
      </c>
      <c r="G2071" s="2">
        <v>21801</v>
      </c>
    </row>
    <row r="2072" spans="1:7" x14ac:dyDescent="0.2">
      <c r="A2072" t="s" s="0">
        <v>1925</v>
      </c>
      <c r="B2072" s="2">
        <v>1138304</v>
      </c>
      <c r="C2072" s="2">
        <v>42279</v>
      </c>
      <c r="D2072" s="2">
        <v>38437</v>
      </c>
      <c r="E2072" s="2">
        <v>38205</v>
      </c>
      <c r="F2072" s="2">
        <v>24262</v>
      </c>
      <c r="G2072" s="2">
        <v>24151</v>
      </c>
    </row>
    <row r="2073" spans="1:7" x14ac:dyDescent="0.2">
      <c r="A2073" t="s" s="0">
        <v>1924</v>
      </c>
      <c r="B2073" s="2">
        <v>1104538</v>
      </c>
      <c r="C2073" s="2">
        <v>40044</v>
      </c>
      <c r="D2073" s="2">
        <v>38400</v>
      </c>
      <c r="E2073" s="2">
        <v>37909</v>
      </c>
      <c r="F2073" s="2">
        <v>19437</v>
      </c>
      <c r="G2073" s="2">
        <v>24150</v>
      </c>
    </row>
    <row r="2074" spans="1:7" x14ac:dyDescent="0.2">
      <c r="A2074" t="s" s="0">
        <v>1923</v>
      </c>
      <c r="B2074" s="2">
        <v>1122855</v>
      </c>
      <c r="C2074" s="2">
        <v>41680</v>
      </c>
      <c r="D2074" s="2">
        <v>39329</v>
      </c>
      <c r="E2074" s="2">
        <v>38043</v>
      </c>
      <c r="F2074" s="2">
        <v>23709</v>
      </c>
      <c r="G2074" s="2">
        <v>25552</v>
      </c>
    </row>
    <row r="2075" spans="1:7" x14ac:dyDescent="0.2">
      <c r="A2075" t="s" s="0">
        <v>1922</v>
      </c>
      <c r="B2075" s="2">
        <v>1144384</v>
      </c>
      <c r="C2075" s="2">
        <v>37493</v>
      </c>
      <c r="D2075" s="2">
        <v>39508</v>
      </c>
      <c r="E2075" s="2">
        <v>38158</v>
      </c>
      <c r="F2075" s="2">
        <v>22857</v>
      </c>
      <c r="G2075" s="2">
        <v>28012</v>
      </c>
    </row>
    <row r="2076" spans="1:7" x14ac:dyDescent="0.2">
      <c r="A2076" t="s" s="0">
        <v>1921</v>
      </c>
      <c r="B2076" s="3">
        <v>1144384</v>
      </c>
      <c r="C2076" s="3">
        <v>37493</v>
      </c>
      <c r="D2076" s="3">
        <v>39508</v>
      </c>
      <c r="E2076" s="3">
        <v>38158</v>
      </c>
      <c r="F2076" s="3">
        <v>22857</v>
      </c>
      <c r="G2076" s="3">
        <v>28012</v>
      </c>
    </row>
    <row r="2077" spans="1:7" x14ac:dyDescent="0.2">
      <c r="A2077" t="s" s="0">
        <v>1920</v>
      </c>
      <c r="B2077" s="3">
        <v>1144384</v>
      </c>
      <c r="C2077" s="3">
        <v>37493</v>
      </c>
      <c r="D2077" s="3">
        <v>39508</v>
      </c>
      <c r="E2077" s="3">
        <v>38158</v>
      </c>
      <c r="F2077" s="3">
        <v>22857</v>
      </c>
      <c r="G2077" s="3">
        <v>28012</v>
      </c>
    </row>
    <row r="2078" spans="1:7" x14ac:dyDescent="0.2">
      <c r="A2078" t="s" s="0">
        <v>1919</v>
      </c>
      <c r="B2078" s="2">
        <v>1102706</v>
      </c>
      <c r="C2078" s="2">
        <v>26927</v>
      </c>
      <c r="D2078" s="2">
        <v>37598</v>
      </c>
      <c r="E2078" s="2">
        <v>38434</v>
      </c>
      <c r="F2078" s="2">
        <v>25654</v>
      </c>
      <c r="G2078" s="2">
        <v>24957</v>
      </c>
    </row>
    <row r="2079" spans="1:7" x14ac:dyDescent="0.2">
      <c r="A2079" t="s" s="0">
        <v>1918</v>
      </c>
      <c r="B2079" s="2">
        <v>1068088</v>
      </c>
      <c r="C2079" s="2">
        <v>34791</v>
      </c>
      <c r="D2079" s="2">
        <v>36599</v>
      </c>
      <c r="E2079" s="2">
        <v>38008</v>
      </c>
      <c r="F2079" s="2">
        <v>25672</v>
      </c>
      <c r="G2079" s="2">
        <v>24978</v>
      </c>
    </row>
    <row r="2080" spans="1:7" x14ac:dyDescent="0.2">
      <c r="A2080" t="s" s="0">
        <v>1917</v>
      </c>
      <c r="B2080" s="2">
        <v>1097786</v>
      </c>
      <c r="C2080" s="2">
        <v>45836</v>
      </c>
      <c r="D2080" s="2">
        <v>38256</v>
      </c>
      <c r="E2080" s="2">
        <v>38482</v>
      </c>
      <c r="F2080" s="2">
        <v>35982</v>
      </c>
      <c r="G2080" s="2">
        <v>26125</v>
      </c>
    </row>
    <row r="2081" spans="1:7" x14ac:dyDescent="0.2">
      <c r="A2081" t="s" s="0">
        <v>1916</v>
      </c>
      <c r="B2081" s="2">
        <v>1050326</v>
      </c>
      <c r="C2081" s="2">
        <v>40448</v>
      </c>
      <c r="D2081" s="2">
        <v>38796</v>
      </c>
      <c r="E2081" s="2">
        <v>38513</v>
      </c>
      <c r="F2081" s="2">
        <v>27125</v>
      </c>
      <c r="G2081" s="2">
        <v>24807</v>
      </c>
    </row>
    <row r="2082" spans="1:7" x14ac:dyDescent="0.2">
      <c r="A2082" t="s" s="0">
        <v>1915</v>
      </c>
      <c r="B2082" s="2">
        <v>1007243</v>
      </c>
      <c r="C2082" s="2">
        <v>40001</v>
      </c>
      <c r="D2082" s="2">
        <v>39670</v>
      </c>
      <c r="E2082" s="2">
        <v>38223</v>
      </c>
      <c r="F2082" s="2">
        <v>18693</v>
      </c>
      <c r="G2082" s="2">
        <v>24129</v>
      </c>
    </row>
    <row r="2083" spans="1:7" x14ac:dyDescent="0.2">
      <c r="A2083" t="s" s="0">
        <v>1914</v>
      </c>
      <c r="B2083" s="3">
        <v>1007243</v>
      </c>
      <c r="C2083" s="3">
        <v>40001</v>
      </c>
      <c r="D2083" s="3">
        <v>39670</v>
      </c>
      <c r="E2083" s="3">
        <v>38223</v>
      </c>
      <c r="F2083" s="3">
        <v>18693</v>
      </c>
      <c r="G2083" s="3">
        <v>24129</v>
      </c>
    </row>
    <row r="2084" spans="1:7" x14ac:dyDescent="0.2">
      <c r="A2084" t="s" s="0">
        <v>1913</v>
      </c>
      <c r="B2084" s="3">
        <v>1007243</v>
      </c>
      <c r="C2084" s="3">
        <v>40001</v>
      </c>
      <c r="D2084" s="3">
        <v>39670</v>
      </c>
      <c r="E2084" s="3">
        <v>38223</v>
      </c>
      <c r="F2084" s="3">
        <v>18693</v>
      </c>
      <c r="G2084" s="3">
        <v>24129</v>
      </c>
    </row>
    <row r="2085" spans="1:7" x14ac:dyDescent="0.2">
      <c r="A2085" t="s" s="0">
        <v>1912</v>
      </c>
      <c r="B2085" s="2">
        <v>963691</v>
      </c>
      <c r="C2085" s="2">
        <v>29302</v>
      </c>
      <c r="D2085" s="2">
        <v>41374</v>
      </c>
      <c r="E2085" s="2">
        <v>39087</v>
      </c>
      <c r="F2085" s="2">
        <v>20130</v>
      </c>
      <c r="G2085" s="2">
        <v>24478</v>
      </c>
    </row>
    <row r="2086" spans="1:7" x14ac:dyDescent="0.2">
      <c r="A2086" t="s" s="0">
        <v>1911</v>
      </c>
      <c r="B2086" s="2">
        <v>926320</v>
      </c>
      <c r="C2086" s="2">
        <v>32373</v>
      </c>
      <c r="D2086" s="2">
        <v>41669</v>
      </c>
      <c r="E2086" s="2">
        <v>38562</v>
      </c>
      <c r="F2086" s="2">
        <v>20031</v>
      </c>
      <c r="G2086" s="2">
        <v>23232</v>
      </c>
    </row>
    <row r="2087" spans="1:7" x14ac:dyDescent="0.2">
      <c r="A2087" t="s" s="0">
        <v>1910</v>
      </c>
      <c r="B2087" s="2">
        <v>892504</v>
      </c>
      <c r="C2087" s="2">
        <v>40783</v>
      </c>
      <c r="D2087" s="2">
        <v>40124</v>
      </c>
      <c r="E2087" s="2">
        <v>38559</v>
      </c>
      <c r="F2087" s="2">
        <v>9721</v>
      </c>
      <c r="G2087" s="2">
        <v>20376</v>
      </c>
    </row>
    <row r="2088" spans="1:7" x14ac:dyDescent="0.2">
      <c r="A2088" t="s" s="0">
        <v>1909</v>
      </c>
      <c r="B2088" s="2">
        <v>908414</v>
      </c>
      <c r="C2088" s="2">
        <v>39119</v>
      </c>
      <c r="D2088" s="2">
        <v>39219</v>
      </c>
      <c r="E2088" s="2">
        <v>38555</v>
      </c>
      <c r="F2088" s="2">
        <v>17868</v>
      </c>
      <c r="G2088" s="2">
        <v>21479</v>
      </c>
    </row>
    <row r="2089" spans="1:7" x14ac:dyDescent="0.2">
      <c r="A2089" t="s" s="0">
        <v>1908</v>
      </c>
      <c r="B2089" s="2">
        <v>899141</v>
      </c>
      <c r="C2089" s="2">
        <v>41282</v>
      </c>
      <c r="D2089" s="2">
        <v>38886</v>
      </c>
      <c r="E2089" s="2">
        <v>38558</v>
      </c>
      <c r="F2089" s="2">
        <v>22155</v>
      </c>
      <c r="G2089" s="2">
        <v>21278</v>
      </c>
    </row>
    <row r="2090" spans="1:7" x14ac:dyDescent="0.2">
      <c r="A2090" t="s" s="0">
        <v>1907</v>
      </c>
      <c r="B2090" s="3">
        <v>899141</v>
      </c>
      <c r="C2090" s="3">
        <v>41282</v>
      </c>
      <c r="D2090" s="3">
        <v>38886</v>
      </c>
      <c r="E2090" s="3">
        <v>38558</v>
      </c>
      <c r="F2090" s="3">
        <v>22155</v>
      </c>
      <c r="G2090" s="3">
        <v>21278</v>
      </c>
    </row>
    <row r="2091" spans="1:7" x14ac:dyDescent="0.2">
      <c r="A2091" t="s" s="0">
        <v>1906</v>
      </c>
      <c r="B2091" s="3">
        <v>899141</v>
      </c>
      <c r="C2091" s="3">
        <v>41282</v>
      </c>
      <c r="D2091" s="3">
        <v>38886</v>
      </c>
      <c r="E2091" s="3">
        <v>38558</v>
      </c>
      <c r="F2091" s="3">
        <v>22155</v>
      </c>
      <c r="G2091" s="3">
        <v>21278</v>
      </c>
    </row>
    <row r="2092" spans="1:7" x14ac:dyDescent="0.2">
      <c r="A2092" t="s" s="0">
        <v>1905</v>
      </c>
      <c r="B2092" s="2">
        <v>857970</v>
      </c>
      <c r="C2092" s="2">
        <v>21869</v>
      </c>
      <c r="D2092" s="2">
        <v>34917</v>
      </c>
      <c r="E2092" s="2">
        <v>38064</v>
      </c>
      <c r="F2092" s="2">
        <v>18525</v>
      </c>
      <c r="G2092" s="2">
        <v>22123</v>
      </c>
    </row>
    <row r="2093" spans="1:7" x14ac:dyDescent="0.2">
      <c r="A2093" t="s" s="0">
        <v>1904</v>
      </c>
      <c r="B2093" s="2">
        <v>1094125</v>
      </c>
      <c r="C2093" s="2">
        <v>27771</v>
      </c>
      <c r="D2093" s="2">
        <v>33548</v>
      </c>
      <c r="E2093" s="2">
        <v>37563</v>
      </c>
      <c r="F2093" s="2">
        <v>56232</v>
      </c>
      <c r="G2093" s="2">
        <v>31549</v>
      </c>
    </row>
    <row r="2094" spans="1:7" x14ac:dyDescent="0.2">
      <c r="A2094" t="s" s="0">
        <v>1903</v>
      </c>
      <c r="B2094" s="2">
        <v>1152569</v>
      </c>
      <c r="C2094" s="2">
        <v>39536</v>
      </c>
      <c r="D2094" s="2">
        <v>34792</v>
      </c>
      <c r="E2094" s="2">
        <v>37893</v>
      </c>
      <c r="F2094" s="2">
        <v>70510</v>
      </c>
      <c r="G2094" s="2">
        <v>33913</v>
      </c>
    </row>
    <row r="2095" spans="1:7" x14ac:dyDescent="0.2">
      <c r="A2095" t="s" s="0">
        <v>1902</v>
      </c>
      <c r="B2095" s="2">
        <v>1082095</v>
      </c>
      <c r="C2095" s="2">
        <v>34473</v>
      </c>
      <c r="D2095" s="2">
        <v>39841</v>
      </c>
      <c r="E2095" s="2">
        <v>39296</v>
      </c>
      <c r="F2095" s="2">
        <v>63219</v>
      </c>
      <c r="G2095" s="2">
        <v>32980</v>
      </c>
    </row>
    <row r="2096" spans="1:7" x14ac:dyDescent="0.2">
      <c r="A2096" t="s" s="0">
        <v>1901</v>
      </c>
      <c r="B2096" s="2">
        <v>1115533</v>
      </c>
      <c r="C2096" s="2">
        <v>28554</v>
      </c>
      <c r="D2096" s="2">
        <v>39164</v>
      </c>
      <c r="E2096" s="2">
        <v>39307</v>
      </c>
      <c r="F2096" s="2">
        <v>68929</v>
      </c>
      <c r="G2096" s="2">
        <v>33159</v>
      </c>
    </row>
    <row r="2097" spans="1:7" x14ac:dyDescent="0.2">
      <c r="A2097" t="s" s="0">
        <v>1900</v>
      </c>
      <c r="B2097" s="3">
        <v>1115533</v>
      </c>
      <c r="C2097" s="3">
        <v>28554</v>
      </c>
      <c r="D2097" s="3">
        <v>39164</v>
      </c>
      <c r="E2097" s="3">
        <v>39307</v>
      </c>
      <c r="F2097" s="3">
        <v>68929</v>
      </c>
      <c r="G2097" s="3">
        <v>33159</v>
      </c>
    </row>
    <row r="2098" spans="1:7" x14ac:dyDescent="0.2">
      <c r="A2098" t="s" s="0">
        <v>1899</v>
      </c>
      <c r="B2098" s="3">
        <v>1115533</v>
      </c>
      <c r="C2098" s="3">
        <v>28554</v>
      </c>
      <c r="D2098" s="3">
        <v>39164</v>
      </c>
      <c r="E2098" s="3">
        <v>39307</v>
      </c>
      <c r="F2098" s="3">
        <v>68929</v>
      </c>
      <c r="G2098" s="3">
        <v>33159</v>
      </c>
    </row>
    <row r="2099" spans="1:7" x14ac:dyDescent="0.2">
      <c r="A2099" t="s" s="0">
        <v>1898</v>
      </c>
      <c r="B2099" s="2">
        <v>1136433</v>
      </c>
      <c r="C2099" s="2">
        <v>15595</v>
      </c>
      <c r="D2099" s="2">
        <v>37960</v>
      </c>
      <c r="E2099" s="2">
        <v>37962</v>
      </c>
      <c r="F2099" s="2">
        <v>76593</v>
      </c>
      <c r="G2099" s="2">
        <v>35225</v>
      </c>
    </row>
    <row r="2100" spans="1:7" x14ac:dyDescent="0.2">
      <c r="A2100" t="s" s="0">
        <v>1897</v>
      </c>
      <c r="B2100" s="2">
        <v>1200924</v>
      </c>
      <c r="C2100" s="2">
        <v>22753</v>
      </c>
      <c r="D2100" s="2">
        <v>37243</v>
      </c>
      <c r="E2100" s="2">
        <v>37265</v>
      </c>
      <c r="F2100" s="2">
        <v>51353</v>
      </c>
      <c r="G2100" s="2">
        <v>38322</v>
      </c>
    </row>
    <row r="2101" spans="1:7" x14ac:dyDescent="0.2">
      <c r="A2101" t="s" s="0">
        <v>1896</v>
      </c>
      <c r="B2101" s="2">
        <v>1248608</v>
      </c>
      <c r="C2101" s="2">
        <v>33831</v>
      </c>
      <c r="D2101" s="2">
        <v>34999</v>
      </c>
      <c r="E2101" s="2">
        <v>37043</v>
      </c>
      <c r="F2101" s="2">
        <v>47613</v>
      </c>
      <c r="G2101" s="2">
        <v>40957</v>
      </c>
    </row>
    <row r="2102" spans="1:7" x14ac:dyDescent="0.2">
      <c r="A2102" t="s" s="0">
        <v>1895</v>
      </c>
      <c r="B2102" s="2">
        <v>1249063</v>
      </c>
      <c r="C2102" s="2">
        <v>25108</v>
      </c>
      <c r="D2102" s="2">
        <v>27949</v>
      </c>
      <c r="E2102" s="2">
        <v>36451</v>
      </c>
      <c r="F2102" s="2">
        <v>50695</v>
      </c>
      <c r="G2102" s="2">
        <v>39727</v>
      </c>
    </row>
    <row r="2103" spans="1:7" x14ac:dyDescent="0.2">
      <c r="A2103" t="s" s="0">
        <v>1894</v>
      </c>
      <c r="B2103" s="2">
        <v>1228684</v>
      </c>
      <c r="C2103" s="2">
        <v>35152</v>
      </c>
      <c r="D2103" s="2">
        <v>27750</v>
      </c>
      <c r="E2103" s="2">
        <v>36367</v>
      </c>
      <c r="F2103" s="2">
        <v>42809</v>
      </c>
      <c r="G2103" s="2">
        <v>38146</v>
      </c>
    </row>
    <row r="2104" spans="1:7" x14ac:dyDescent="0.2">
      <c r="A2104" t="s" s="0">
        <v>1893</v>
      </c>
      <c r="B2104" s="3">
        <v>1228684</v>
      </c>
      <c r="C2104" s="3">
        <v>35152</v>
      </c>
      <c r="D2104" s="3">
        <v>27750</v>
      </c>
      <c r="E2104" s="3">
        <v>36367</v>
      </c>
      <c r="F2104" s="3">
        <v>42809</v>
      </c>
      <c r="G2104" s="3">
        <v>38146</v>
      </c>
    </row>
    <row r="2105" spans="1:7" x14ac:dyDescent="0.2">
      <c r="A2105" t="s" s="0">
        <v>1892</v>
      </c>
      <c r="B2105" s="3">
        <v>1228684</v>
      </c>
      <c r="C2105" s="3">
        <v>35152</v>
      </c>
      <c r="D2105" s="3">
        <v>27750</v>
      </c>
      <c r="E2105" s="3">
        <v>36367</v>
      </c>
      <c r="F2105" s="3">
        <v>42809</v>
      </c>
      <c r="G2105" s="3">
        <v>38146</v>
      </c>
    </row>
    <row r="2106" spans="1:7" x14ac:dyDescent="0.2">
      <c r="A2106" t="s" s="0">
        <v>1891</v>
      </c>
      <c r="B2106" s="2">
        <v>1257539</v>
      </c>
      <c r="C2106" s="2">
        <v>16961</v>
      </c>
      <c r="D2106" s="2">
        <v>26861</v>
      </c>
      <c r="E2106" s="2">
        <v>35278</v>
      </c>
      <c r="F2106" s="2">
        <v>43056</v>
      </c>
      <c r="G2106" s="2">
        <v>39576</v>
      </c>
    </row>
    <row r="2107" spans="1:7" x14ac:dyDescent="0.2">
      <c r="A2107" t="s" s="0">
        <v>1890</v>
      </c>
      <c r="B2107" s="2">
        <v>1315375</v>
      </c>
      <c r="C2107" s="2">
        <v>27106</v>
      </c>
      <c r="D2107" s="2">
        <v>27482</v>
      </c>
      <c r="E2107" s="2">
        <v>34986</v>
      </c>
      <c r="F2107" s="2">
        <v>42727</v>
      </c>
      <c r="G2107" s="2">
        <v>42586</v>
      </c>
    </row>
    <row r="2108" spans="1:7" x14ac:dyDescent="0.2">
      <c r="A2108" t="s" s="0">
        <v>1889</v>
      </c>
      <c r="B2108" s="2">
        <v>1280073</v>
      </c>
      <c r="C2108" s="2">
        <v>29956</v>
      </c>
      <c r="D2108" s="2">
        <v>27501</v>
      </c>
      <c r="E2108" s="2">
        <v>34354</v>
      </c>
      <c r="F2108" s="2">
        <v>31613</v>
      </c>
      <c r="G2108" s="2">
        <v>39864</v>
      </c>
    </row>
    <row r="2109" spans="1:7" x14ac:dyDescent="0.2">
      <c r="A2109" t="s" s="0">
        <v>1888</v>
      </c>
      <c r="B2109" s="2">
        <v>1256635</v>
      </c>
      <c r="C2109" s="2">
        <v>35061</v>
      </c>
      <c r="D2109" s="2">
        <v>29391</v>
      </c>
      <c r="E2109" s="2">
        <v>34100</v>
      </c>
      <c r="F2109" s="2">
        <v>30090</v>
      </c>
      <c r="G2109" s="2">
        <v>40468</v>
      </c>
    </row>
    <row r="2110" spans="1:7" x14ac:dyDescent="0.2">
      <c r="A2110" t="s" s="0">
        <v>1887</v>
      </c>
      <c r="B2110" s="2">
        <v>1248124</v>
      </c>
      <c r="C2110" s="2">
        <v>37816</v>
      </c>
      <c r="D2110" s="2">
        <v>32730</v>
      </c>
      <c r="E2110" s="2">
        <v>34633</v>
      </c>
      <c r="F2110" s="2">
        <v>35125</v>
      </c>
      <c r="G2110" s="2">
        <v>42254</v>
      </c>
    </row>
    <row r="2111" spans="1:7" x14ac:dyDescent="0.2">
      <c r="A2111" t="s" s="0">
        <v>1886</v>
      </c>
      <c r="B2111" s="3">
        <v>1248124</v>
      </c>
      <c r="C2111" s="3">
        <v>37816</v>
      </c>
      <c r="D2111" s="3">
        <v>32730</v>
      </c>
      <c r="E2111" s="3">
        <v>34633</v>
      </c>
      <c r="F2111" s="3">
        <v>35125</v>
      </c>
      <c r="G2111" s="3">
        <v>42254</v>
      </c>
    </row>
    <row r="2112" spans="1:7" x14ac:dyDescent="0.2">
      <c r="A2112" t="s" s="0">
        <v>1885</v>
      </c>
      <c r="B2112" s="3">
        <v>1248124</v>
      </c>
      <c r="C2112" s="3">
        <v>37816</v>
      </c>
      <c r="D2112" s="3">
        <v>32730</v>
      </c>
      <c r="E2112" s="3">
        <v>34633</v>
      </c>
      <c r="F2112" s="3">
        <v>35125</v>
      </c>
      <c r="G2112" s="3">
        <v>42254</v>
      </c>
    </row>
    <row r="2113" spans="1:7" x14ac:dyDescent="0.2">
      <c r="A2113" t="s" s="0">
        <v>1884</v>
      </c>
      <c r="B2113" s="2">
        <v>1314901</v>
      </c>
      <c r="C2113" s="2">
        <v>18773</v>
      </c>
      <c r="D2113" s="2">
        <v>32930</v>
      </c>
      <c r="E2113" s="2">
        <v>33167</v>
      </c>
      <c r="F2113" s="2">
        <v>40664</v>
      </c>
      <c r="G2113" s="2">
        <v>44709</v>
      </c>
    </row>
    <row r="2114" spans="1:7" x14ac:dyDescent="0.2">
      <c r="A2114" t="s" s="0">
        <v>1883</v>
      </c>
      <c r="B2114" s="2">
        <v>1276960</v>
      </c>
      <c r="C2114" s="2">
        <v>38034</v>
      </c>
      <c r="D2114" s="2">
        <v>34491</v>
      </c>
      <c r="E2114" s="2">
        <v>33191</v>
      </c>
      <c r="F2114" s="2">
        <v>28543</v>
      </c>
      <c r="G2114" s="2">
        <v>44713</v>
      </c>
    </row>
    <row r="2115" spans="1:7" x14ac:dyDescent="0.2">
      <c r="A2115" t="s" s="0">
        <v>1882</v>
      </c>
      <c r="B2115" s="2">
        <v>1220557</v>
      </c>
      <c r="C2115" s="2">
        <v>37143</v>
      </c>
      <c r="D2115" s="2">
        <v>38056</v>
      </c>
      <c r="E2115" s="2">
        <v>33837</v>
      </c>
      <c r="F2115" s="2">
        <v>29117</v>
      </c>
      <c r="G2115" s="2">
        <v>44713</v>
      </c>
    </row>
    <row r="2116" spans="1:7" x14ac:dyDescent="0.2">
      <c r="A2116" t="s" s="0">
        <v>1881</v>
      </c>
      <c r="B2116" s="2">
        <v>1280772</v>
      </c>
      <c r="C2116" s="2">
        <v>29765</v>
      </c>
      <c r="D2116" s="2">
        <v>36832</v>
      </c>
      <c r="E2116" s="2">
        <v>33503</v>
      </c>
      <c r="F2116" s="2">
        <v>39844</v>
      </c>
      <c r="G2116" s="2">
        <v>45962</v>
      </c>
    </row>
    <row r="2117" spans="1:7" x14ac:dyDescent="0.2">
      <c r="A2117" t="s" s="0">
        <v>1880</v>
      </c>
      <c r="B2117" s="2">
        <v>1263510</v>
      </c>
      <c r="C2117" s="2">
        <v>32113</v>
      </c>
      <c r="D2117" s="2">
        <v>33058</v>
      </c>
      <c r="E2117" s="2">
        <v>33176</v>
      </c>
      <c r="F2117" s="2">
        <v>34820</v>
      </c>
      <c r="G2117" s="2">
        <v>45421</v>
      </c>
    </row>
    <row r="2118" spans="1:7" x14ac:dyDescent="0.2">
      <c r="A2118" t="s" s="0">
        <v>1879</v>
      </c>
      <c r="B2118" s="3">
        <v>1263510</v>
      </c>
      <c r="C2118" s="3">
        <v>32113</v>
      </c>
      <c r="D2118" s="3">
        <v>33058</v>
      </c>
      <c r="E2118" s="3">
        <v>33176</v>
      </c>
      <c r="F2118" s="3">
        <v>34820</v>
      </c>
      <c r="G2118" s="3">
        <v>45421</v>
      </c>
    </row>
    <row r="2119" spans="1:7" x14ac:dyDescent="0.2">
      <c r="A2119" t="s" s="0">
        <v>1878</v>
      </c>
      <c r="B2119" s="3">
        <v>1263510</v>
      </c>
      <c r="C2119" s="3">
        <v>32113</v>
      </c>
      <c r="D2119" s="3">
        <v>33058</v>
      </c>
      <c r="E2119" s="3">
        <v>33176</v>
      </c>
      <c r="F2119" s="3">
        <v>34820</v>
      </c>
      <c r="G2119" s="3">
        <v>45421</v>
      </c>
    </row>
    <row r="2120" spans="1:7" x14ac:dyDescent="0.2">
      <c r="A2120" t="s" s="0">
        <v>1877</v>
      </c>
      <c r="B2120" s="2">
        <v>1362289</v>
      </c>
      <c r="C2120" s="2">
        <v>21143</v>
      </c>
      <c r="D2120" s="2">
        <v>35555</v>
      </c>
      <c r="E2120" s="2">
        <v>33326</v>
      </c>
      <c r="F2120" s="2">
        <v>41967</v>
      </c>
      <c r="G2120" s="2">
        <v>50570</v>
      </c>
    </row>
    <row r="2121" spans="1:7" x14ac:dyDescent="0.2">
      <c r="A2121" t="s" s="0">
        <v>1876</v>
      </c>
      <c r="B2121" s="2">
        <v>1377826</v>
      </c>
      <c r="C2121" s="2">
        <v>29545</v>
      </c>
      <c r="D2121" s="2">
        <v>35040</v>
      </c>
      <c r="E2121" s="2">
        <v>33564</v>
      </c>
      <c r="F2121" s="2">
        <v>49091</v>
      </c>
      <c r="G2121" s="2">
        <v>42928</v>
      </c>
    </row>
    <row r="2122" spans="1:7" x14ac:dyDescent="0.2">
      <c r="A2122" t="s" s="0">
        <v>1875</v>
      </c>
      <c r="B2122" s="2">
        <v>1412606</v>
      </c>
      <c r="C2122" s="2">
        <v>28912</v>
      </c>
      <c r="D2122" s="2">
        <v>30760</v>
      </c>
      <c r="E2122" s="2">
        <v>32829</v>
      </c>
      <c r="F2122" s="2">
        <v>57679</v>
      </c>
      <c r="G2122" s="2">
        <v>41506</v>
      </c>
    </row>
    <row r="2123" spans="1:7" x14ac:dyDescent="0.2">
      <c r="A2123" t="s" s="0">
        <v>1874</v>
      </c>
      <c r="B2123" s="2">
        <v>1368399</v>
      </c>
      <c r="C2123" s="2">
        <v>44093</v>
      </c>
      <c r="D2123" s="2">
        <v>32806</v>
      </c>
      <c r="E2123" s="2">
        <v>31744</v>
      </c>
      <c r="F2123" s="2">
        <v>44808</v>
      </c>
      <c r="G2123" s="2">
        <v>41359</v>
      </c>
    </row>
    <row r="2124" spans="1:7" x14ac:dyDescent="0.2">
      <c r="A2124" t="s" s="0">
        <v>1873</v>
      </c>
      <c r="B2124" s="2">
        <v>1334787</v>
      </c>
      <c r="C2124" s="2">
        <v>33612</v>
      </c>
      <c r="D2124" s="2">
        <v>33020</v>
      </c>
      <c r="E2124" s="2">
        <v>31640</v>
      </c>
      <c r="F2124" s="2">
        <v>42686</v>
      </c>
      <c r="G2124" s="2">
        <v>38860</v>
      </c>
    </row>
    <row r="2125" spans="1:7" x14ac:dyDescent="0.2">
      <c r="A2125" t="s" s="0">
        <v>1872</v>
      </c>
      <c r="B2125" s="3">
        <v>1334787</v>
      </c>
      <c r="C2125" s="3">
        <v>33612</v>
      </c>
      <c r="D2125" s="3">
        <v>33020</v>
      </c>
      <c r="E2125" s="3">
        <v>31640</v>
      </c>
      <c r="F2125" s="3">
        <v>42686</v>
      </c>
      <c r="G2125" s="3">
        <v>38860</v>
      </c>
    </row>
    <row r="2126" spans="1:7" x14ac:dyDescent="0.2">
      <c r="A2126" t="s" s="0">
        <v>1871</v>
      </c>
      <c r="B2126" s="3">
        <v>1334787</v>
      </c>
      <c r="C2126" s="3">
        <v>33612</v>
      </c>
      <c r="D2126" s="3">
        <v>33020</v>
      </c>
      <c r="E2126" s="3">
        <v>31640</v>
      </c>
      <c r="F2126" s="3">
        <v>42686</v>
      </c>
      <c r="G2126" s="3">
        <v>38860</v>
      </c>
    </row>
    <row r="2127" spans="1:7" x14ac:dyDescent="0.2">
      <c r="A2127" t="s" s="0">
        <v>1870</v>
      </c>
      <c r="B2127" s="2">
        <v>1333291</v>
      </c>
      <c r="C2127" s="2">
        <v>20256</v>
      </c>
      <c r="D2127" s="2">
        <v>35657</v>
      </c>
      <c r="E2127" s="2">
        <v>32751</v>
      </c>
      <c r="F2127" s="2">
        <v>30998</v>
      </c>
      <c r="G2127" s="2">
        <v>39171</v>
      </c>
    </row>
    <row r="2128" spans="1:7" x14ac:dyDescent="0.2">
      <c r="A2128" t="s" s="0">
        <v>1869</v>
      </c>
      <c r="B2128" s="2">
        <v>1327741</v>
      </c>
      <c r="C2128" s="2">
        <v>34879</v>
      </c>
      <c r="D2128" s="2">
        <v>35721</v>
      </c>
      <c r="E2128" s="2">
        <v>33184</v>
      </c>
      <c r="F2128" s="2">
        <v>28050</v>
      </c>
      <c r="G2128" s="2">
        <v>37103</v>
      </c>
    </row>
    <row r="2129" spans="1:7" x14ac:dyDescent="0.2">
      <c r="A2129" t="s" s="0">
        <v>1868</v>
      </c>
      <c r="B2129" s="2">
        <v>1392175</v>
      </c>
      <c r="C2129" s="2">
        <v>44844</v>
      </c>
      <c r="D2129" s="2">
        <v>40136</v>
      </c>
      <c r="E2129" s="2">
        <v>34113</v>
      </c>
      <c r="F2129" s="2">
        <v>37061</v>
      </c>
      <c r="G2129" s="2">
        <v>38868</v>
      </c>
    </row>
    <row r="2130" spans="1:7" x14ac:dyDescent="0.2">
      <c r="A2130" t="s" s="0">
        <v>1867</v>
      </c>
      <c r="B2130" s="2">
        <v>1373024</v>
      </c>
      <c r="C2130" s="2">
        <v>39166</v>
      </c>
      <c r="D2130" s="2">
        <v>39432</v>
      </c>
      <c r="E2130" s="2">
        <v>34615</v>
      </c>
      <c r="F2130" s="2">
        <v>39936</v>
      </c>
      <c r="G2130" s="2">
        <v>38669</v>
      </c>
    </row>
    <row r="2131" spans="1:7" x14ac:dyDescent="0.2">
      <c r="A2131" t="s" s="0">
        <v>1866</v>
      </c>
      <c r="B2131" s="2">
        <v>1395231</v>
      </c>
      <c r="C2131" s="2">
        <v>39108</v>
      </c>
      <c r="D2131" s="2">
        <v>40217</v>
      </c>
      <c r="E2131" s="2">
        <v>34757</v>
      </c>
      <c r="F2131" s="2">
        <v>48496</v>
      </c>
      <c r="G2131" s="2">
        <v>40282</v>
      </c>
    </row>
    <row r="2132" spans="1:7" x14ac:dyDescent="0.2">
      <c r="A2132" t="s" s="0">
        <v>1865</v>
      </c>
      <c r="B2132" s="3">
        <v>1395231</v>
      </c>
      <c r="C2132" s="3">
        <v>39108</v>
      </c>
      <c r="D2132" s="3">
        <v>40217</v>
      </c>
      <c r="E2132" s="3">
        <v>34757</v>
      </c>
      <c r="F2132" s="3">
        <v>48496</v>
      </c>
      <c r="G2132" s="3">
        <v>40282</v>
      </c>
    </row>
    <row r="2133" spans="1:7" x14ac:dyDescent="0.2">
      <c r="A2133" t="s" s="0">
        <v>1864</v>
      </c>
      <c r="B2133" s="3">
        <v>1395231</v>
      </c>
      <c r="C2133" s="3">
        <v>39108</v>
      </c>
      <c r="D2133" s="3">
        <v>40217</v>
      </c>
      <c r="E2133" s="3">
        <v>34757</v>
      </c>
      <c r="F2133" s="3">
        <v>48496</v>
      </c>
      <c r="G2133" s="3">
        <v>40282</v>
      </c>
    </row>
    <row r="2134" spans="1:7" x14ac:dyDescent="0.2">
      <c r="A2134" t="s" s="0">
        <v>1863</v>
      </c>
      <c r="B2134" s="2">
        <v>1347984</v>
      </c>
      <c r="C2134" s="2">
        <v>27780</v>
      </c>
      <c r="D2134" s="2">
        <v>38977</v>
      </c>
      <c r="E2134" s="2">
        <v>35780</v>
      </c>
      <c r="F2134" s="2">
        <v>40719</v>
      </c>
      <c r="G2134" s="2">
        <v>38587</v>
      </c>
    </row>
    <row r="2135" spans="1:7" x14ac:dyDescent="0.2">
      <c r="A2135" t="s" s="0">
        <v>1862</v>
      </c>
      <c r="B2135" s="2">
        <v>1371759</v>
      </c>
      <c r="C2135" s="2">
        <v>46934</v>
      </c>
      <c r="D2135" s="2">
        <v>41310</v>
      </c>
      <c r="E2135" s="2">
        <v>36641</v>
      </c>
      <c r="F2135" s="2">
        <v>47242</v>
      </c>
      <c r="G2135" s="2">
        <v>38231</v>
      </c>
    </row>
    <row r="2136" spans="1:7" x14ac:dyDescent="0.2">
      <c r="A2136" t="s" s="0">
        <v>1861</v>
      </c>
      <c r="B2136" s="2">
        <v>1372910</v>
      </c>
      <c r="C2136" s="2">
        <v>48106</v>
      </c>
      <c r="D2136" s="2">
        <v>39775</v>
      </c>
      <c r="E2136" s="2">
        <v>37182</v>
      </c>
      <c r="F2136" s="2">
        <v>36778</v>
      </c>
      <c r="G2136" s="2">
        <v>40159</v>
      </c>
    </row>
    <row r="2137" spans="1:7" x14ac:dyDescent="0.2">
      <c r="A2137" t="s" s="0">
        <v>1860</v>
      </c>
      <c r="B2137" s="2">
        <v>1421674</v>
      </c>
      <c r="C2137" s="2">
        <v>37592</v>
      </c>
      <c r="D2137" s="2">
        <v>39512</v>
      </c>
      <c r="E2137" s="2">
        <v>37146</v>
      </c>
      <c r="F2137" s="2">
        <v>46218</v>
      </c>
      <c r="G2137" s="2">
        <v>42701</v>
      </c>
    </row>
    <row r="2138" spans="1:7" x14ac:dyDescent="0.2">
      <c r="A2138" t="s" s="0">
        <v>1859</v>
      </c>
      <c r="B2138" s="2">
        <v>1435620</v>
      </c>
      <c r="C2138" s="2">
        <v>46031</v>
      </c>
      <c r="D2138" s="2">
        <v>40501</v>
      </c>
      <c r="E2138" s="2">
        <v>36699</v>
      </c>
      <c r="F2138" s="2">
        <v>46227</v>
      </c>
      <c r="G2138" s="2">
        <v>43057</v>
      </c>
    </row>
    <row r="2139" spans="1:7" x14ac:dyDescent="0.2">
      <c r="A2139" t="s" s="0">
        <v>1858</v>
      </c>
      <c r="B2139" s="3">
        <v>1435620</v>
      </c>
      <c r="C2139" s="3">
        <v>46031</v>
      </c>
      <c r="D2139" s="3">
        <v>40501</v>
      </c>
      <c r="E2139" s="3">
        <v>36699</v>
      </c>
      <c r="F2139" s="3">
        <v>46227</v>
      </c>
      <c r="G2139" s="3">
        <v>43057</v>
      </c>
    </row>
    <row r="2140" spans="1:7" x14ac:dyDescent="0.2">
      <c r="A2140" t="s" s="0">
        <v>1857</v>
      </c>
      <c r="B2140" s="3">
        <v>1435620</v>
      </c>
      <c r="C2140" s="3">
        <v>46031</v>
      </c>
      <c r="D2140" s="3">
        <v>40501</v>
      </c>
      <c r="E2140" s="3">
        <v>36699</v>
      </c>
      <c r="F2140" s="3">
        <v>46227</v>
      </c>
      <c r="G2140" s="3">
        <v>43057</v>
      </c>
    </row>
    <row r="2141" spans="1:7" x14ac:dyDescent="0.2">
      <c r="A2141" t="s" s="0">
        <v>1856</v>
      </c>
      <c r="B2141" s="2">
        <v>1397733</v>
      </c>
      <c r="C2141" s="2">
        <v>25646</v>
      </c>
      <c r="D2141" s="2">
        <v>41632</v>
      </c>
      <c r="E2141" s="2">
        <v>37955</v>
      </c>
      <c r="F2141" s="2">
        <v>48663</v>
      </c>
      <c r="G2141" s="2">
        <v>40587</v>
      </c>
    </row>
    <row r="2142" spans="1:7" x14ac:dyDescent="0.2">
      <c r="A2142" t="s" s="0">
        <v>1855</v>
      </c>
      <c r="B2142" s="2">
        <v>1484684</v>
      </c>
      <c r="C2142" s="2">
        <v>43063</v>
      </c>
      <c r="D2142" s="2">
        <v>41895</v>
      </c>
      <c r="E2142" s="2">
        <v>38492</v>
      </c>
      <c r="F2142" s="2">
        <v>57951</v>
      </c>
      <c r="G2142" s="2">
        <v>45584</v>
      </c>
    </row>
    <row r="2143" spans="1:7" x14ac:dyDescent="0.2">
      <c r="A2143" t="s" s="0">
        <v>1854</v>
      </c>
      <c r="B2143" s="2">
        <v>1440920</v>
      </c>
      <c r="C2143" s="2">
        <v>44224</v>
      </c>
      <c r="D2143" s="2">
        <v>41197</v>
      </c>
      <c r="E2143" s="2">
        <v>37967</v>
      </c>
      <c r="F2143" s="2">
        <v>50784</v>
      </c>
      <c r="G2143" s="2">
        <v>45576</v>
      </c>
    </row>
    <row r="2144" spans="1:7" x14ac:dyDescent="0.2">
      <c r="A2144" t="s" s="0">
        <v>1853</v>
      </c>
      <c r="B2144" s="2">
        <v>1420283</v>
      </c>
      <c r="C2144" s="2">
        <v>39081</v>
      </c>
      <c r="D2144" s="2">
        <v>42231</v>
      </c>
      <c r="E2144" s="2">
        <v>38495</v>
      </c>
      <c r="F2144" s="2">
        <v>41903</v>
      </c>
      <c r="G2144" s="2">
        <v>43216</v>
      </c>
    </row>
    <row r="2145" spans="1:7" x14ac:dyDescent="0.2">
      <c r="A2145" t="s" s="0">
        <v>1852</v>
      </c>
      <c r="B2145" s="2">
        <v>1391456</v>
      </c>
      <c r="C2145" s="2">
        <v>50431</v>
      </c>
      <c r="D2145" s="2">
        <v>44432</v>
      </c>
      <c r="E2145" s="2">
        <v>39543</v>
      </c>
      <c r="F2145" s="2">
        <v>37994</v>
      </c>
      <c r="G2145" s="2">
        <v>43851</v>
      </c>
    </row>
    <row r="2146" spans="1:7" x14ac:dyDescent="0.2">
      <c r="A2146" t="s" s="0">
        <v>1851</v>
      </c>
      <c r="B2146" s="3">
        <v>1391456</v>
      </c>
      <c r="C2146" s="3">
        <v>50431</v>
      </c>
      <c r="D2146" s="3">
        <v>44432</v>
      </c>
      <c r="E2146" s="3">
        <v>39543</v>
      </c>
      <c r="F2146" s="3">
        <v>37994</v>
      </c>
      <c r="G2146" s="3">
        <v>43851</v>
      </c>
    </row>
    <row r="2147" spans="1:7" x14ac:dyDescent="0.2">
      <c r="A2147" t="s" s="0">
        <v>1850</v>
      </c>
      <c r="B2147" s="3">
        <v>1391456</v>
      </c>
      <c r="C2147" s="3">
        <v>50431</v>
      </c>
      <c r="D2147" s="3">
        <v>44432</v>
      </c>
      <c r="E2147" s="3">
        <v>39543</v>
      </c>
      <c r="F2147" s="3">
        <v>37994</v>
      </c>
      <c r="G2147" s="3">
        <v>43851</v>
      </c>
    </row>
    <row r="2148" spans="1:7" x14ac:dyDescent="0.2">
      <c r="A2148" t="s" s="0">
        <v>1849</v>
      </c>
      <c r="B2148" s="2">
        <v>1385472</v>
      </c>
      <c r="C2148" s="2">
        <v>24678</v>
      </c>
      <c r="D2148" s="2">
        <v>47324</v>
      </c>
      <c r="E2148" s="2">
        <v>40897</v>
      </c>
      <c r="F2148" s="2">
        <v>45475</v>
      </c>
      <c r="G2148" s="2">
        <v>41464</v>
      </c>
    </row>
    <row r="2149" spans="1:7" x14ac:dyDescent="0.2">
      <c r="A2149" t="s" s="0">
        <v>1848</v>
      </c>
      <c r="B2149" s="2">
        <v>1424261</v>
      </c>
      <c r="C2149" s="2">
        <v>46218</v>
      </c>
      <c r="D2149" s="2">
        <v>47062</v>
      </c>
      <c r="E2149" s="2">
        <v>41497</v>
      </c>
      <c r="F2149" s="2">
        <v>38333</v>
      </c>
      <c r="G2149" s="2">
        <v>42894</v>
      </c>
    </row>
    <row r="2150" spans="1:7" x14ac:dyDescent="0.2">
      <c r="A2150" t="s" s="0">
        <v>1847</v>
      </c>
      <c r="B2150" s="2">
        <v>1445187</v>
      </c>
      <c r="C2150" s="2">
        <v>42192</v>
      </c>
      <c r="D2150" s="2">
        <v>49200</v>
      </c>
      <c r="E2150" s="2">
        <v>42577</v>
      </c>
      <c r="F2150" s="2">
        <v>49653</v>
      </c>
      <c r="G2150" s="2">
        <v>43569</v>
      </c>
    </row>
    <row r="2151" spans="1:7" x14ac:dyDescent="0.2">
      <c r="A2151" t="s" s="0">
        <v>1846</v>
      </c>
      <c r="B2151" s="2">
        <v>1425455</v>
      </c>
      <c r="C2151" s="2">
        <v>46370</v>
      </c>
      <c r="D2151" s="2">
        <v>50004</v>
      </c>
      <c r="E2151" s="2">
        <v>42795</v>
      </c>
      <c r="F2151" s="2">
        <v>50586</v>
      </c>
      <c r="G2151" s="2">
        <v>44661</v>
      </c>
    </row>
    <row r="2152" spans="1:7" x14ac:dyDescent="0.2">
      <c r="A2152" t="s" s="0">
        <v>1845</v>
      </c>
      <c r="B2152" s="2">
        <v>1455653</v>
      </c>
      <c r="C2152" s="2">
        <v>47309</v>
      </c>
      <c r="D2152" s="2">
        <v>48354</v>
      </c>
      <c r="E2152" s="2">
        <v>43376</v>
      </c>
      <c r="F2152" s="2">
        <v>57369</v>
      </c>
      <c r="G2152" s="2">
        <v>47521</v>
      </c>
    </row>
    <row r="2153" spans="1:7" x14ac:dyDescent="0.2">
      <c r="A2153" t="s" s="0">
        <v>1844</v>
      </c>
      <c r="B2153" s="3">
        <v>1455653</v>
      </c>
      <c r="C2153" s="3">
        <v>47309</v>
      </c>
      <c r="D2153" s="3">
        <v>48354</v>
      </c>
      <c r="E2153" s="3">
        <v>43376</v>
      </c>
      <c r="F2153" s="3">
        <v>57369</v>
      </c>
      <c r="G2153" s="3">
        <v>47521</v>
      </c>
    </row>
    <row r="2154" spans="1:7" x14ac:dyDescent="0.2">
      <c r="A2154" t="s" s="0">
        <v>1843</v>
      </c>
      <c r="B2154" s="3">
        <v>1455653</v>
      </c>
      <c r="C2154" s="3">
        <v>47309</v>
      </c>
      <c r="D2154" s="3">
        <v>48354</v>
      </c>
      <c r="E2154" s="3">
        <v>43376</v>
      </c>
      <c r="F2154" s="3">
        <v>57369</v>
      </c>
      <c r="G2154" s="3">
        <v>47521</v>
      </c>
    </row>
    <row r="2155" spans="1:7" x14ac:dyDescent="0.2">
      <c r="A2155" t="s" s="0">
        <v>1842</v>
      </c>
      <c r="B2155" s="2">
        <v>1377908</v>
      </c>
      <c r="C2155" s="2">
        <v>28512</v>
      </c>
      <c r="D2155" s="2">
        <v>50865</v>
      </c>
      <c r="E2155" s="2">
        <v>44699</v>
      </c>
      <c r="F2155" s="2">
        <v>49628</v>
      </c>
      <c r="G2155" s="2">
        <v>46121</v>
      </c>
    </row>
    <row r="2156" spans="1:7" x14ac:dyDescent="0.2">
      <c r="A2156" t="s" s="0">
        <v>1841</v>
      </c>
      <c r="B2156" s="2">
        <v>1380763</v>
      </c>
      <c r="C2156" s="2">
        <v>32089</v>
      </c>
      <c r="D2156" s="2">
        <v>48132</v>
      </c>
      <c r="E2156" s="2">
        <v>44600</v>
      </c>
      <c r="F2156" s="2">
        <v>41762</v>
      </c>
      <c r="G2156" s="2">
        <v>46322</v>
      </c>
    </row>
    <row r="2157" spans="1:7" x14ac:dyDescent="0.2">
      <c r="A2157" t="s" s="0">
        <v>1840</v>
      </c>
      <c r="B2157" s="2">
        <v>1372572</v>
      </c>
      <c r="C2157" s="2">
        <v>48809</v>
      </c>
      <c r="D2157" s="2">
        <v>46649</v>
      </c>
      <c r="E2157" s="2">
        <v>44205</v>
      </c>
      <c r="F2157" s="2">
        <v>36185</v>
      </c>
      <c r="G2157" s="2">
        <v>43350</v>
      </c>
    </row>
    <row r="2158" spans="1:7" x14ac:dyDescent="0.2">
      <c r="A2158" t="s" s="0">
        <v>1839</v>
      </c>
      <c r="B2158" s="2">
        <v>1344302</v>
      </c>
      <c r="C2158" s="2">
        <v>45313</v>
      </c>
      <c r="D2158" s="2">
        <v>46439</v>
      </c>
      <c r="E2158" s="2">
        <v>44546</v>
      </c>
      <c r="F2158" s="2">
        <v>34755</v>
      </c>
      <c r="G2158" s="2">
        <v>43366</v>
      </c>
    </row>
    <row r="2159" spans="1:7" x14ac:dyDescent="0.2">
      <c r="A2159" t="s" s="0">
        <v>1838</v>
      </c>
      <c r="B2159" s="2">
        <v>1350423</v>
      </c>
      <c r="C2159" s="2">
        <v>50247</v>
      </c>
      <c r="D2159" s="2">
        <v>46490</v>
      </c>
      <c r="E2159" s="2">
        <v>44944</v>
      </c>
      <c r="F2159" s="2">
        <v>31367</v>
      </c>
      <c r="G2159" s="2">
        <v>43239</v>
      </c>
    </row>
    <row r="2160" spans="1:7" x14ac:dyDescent="0.2">
      <c r="A2160" t="s" s="0">
        <v>1837</v>
      </c>
      <c r="B2160" s="3">
        <v>1350423</v>
      </c>
      <c r="C2160" s="3">
        <v>50247</v>
      </c>
      <c r="D2160" s="3">
        <v>46490</v>
      </c>
      <c r="E2160" s="3">
        <v>44944</v>
      </c>
      <c r="F2160" s="3">
        <v>31367</v>
      </c>
      <c r="G2160" s="3">
        <v>43239</v>
      </c>
    </row>
    <row r="2161" spans="1:7" x14ac:dyDescent="0.2">
      <c r="A2161" t="s" s="0">
        <v>1836</v>
      </c>
      <c r="B2161" s="3">
        <v>1350423</v>
      </c>
      <c r="C2161" s="3">
        <v>50247</v>
      </c>
      <c r="D2161" s="3">
        <v>46490</v>
      </c>
      <c r="E2161" s="3">
        <v>44944</v>
      </c>
      <c r="F2161" s="3">
        <v>31367</v>
      </c>
      <c r="G2161" s="3">
        <v>43239</v>
      </c>
    </row>
    <row r="2162" spans="1:7" x14ac:dyDescent="0.2">
      <c r="A2162" t="s" s="0">
        <v>1835</v>
      </c>
      <c r="B2162" s="2">
        <v>1293615</v>
      </c>
      <c r="C2162" s="2">
        <v>30386</v>
      </c>
      <c r="D2162" s="2">
        <v>45630</v>
      </c>
      <c r="E2162" s="2">
        <v>46363</v>
      </c>
      <c r="F2162" s="2">
        <v>33141</v>
      </c>
      <c r="G2162" s="2">
        <v>44227</v>
      </c>
    </row>
    <row r="2163" spans="1:7" x14ac:dyDescent="0.2">
      <c r="A2163" t="s" s="0">
        <v>1834</v>
      </c>
      <c r="B2163" s="2">
        <v>1245226</v>
      </c>
      <c r="C2163" s="2">
        <v>43611</v>
      </c>
      <c r="D2163" s="2">
        <v>48063</v>
      </c>
      <c r="E2163" s="2">
        <v>46288</v>
      </c>
      <c r="F2163" s="2">
        <v>28253</v>
      </c>
      <c r="G2163" s="2">
        <v>41575</v>
      </c>
    </row>
    <row r="2164" spans="1:7" x14ac:dyDescent="0.2">
      <c r="A2164" t="s" s="0">
        <v>1833</v>
      </c>
      <c r="B2164" s="2">
        <v>1223026</v>
      </c>
      <c r="C2164" s="2">
        <v>55649</v>
      </c>
      <c r="D2164" s="2">
        <v>50032</v>
      </c>
      <c r="E2164" s="2">
        <v>46769</v>
      </c>
      <c r="F2164" s="2">
        <v>28226</v>
      </c>
      <c r="G2164" s="2">
        <v>41212</v>
      </c>
    </row>
    <row r="2165" spans="1:7" x14ac:dyDescent="0.2">
      <c r="A2165" t="s" s="0">
        <v>1832</v>
      </c>
      <c r="B2165" s="2">
        <v>1202039</v>
      </c>
      <c r="C2165" s="2">
        <v>46366</v>
      </c>
      <c r="D2165" s="2">
        <v>49696</v>
      </c>
      <c r="E2165" s="2">
        <v>47092</v>
      </c>
      <c r="F2165" s="2">
        <v>28877</v>
      </c>
      <c r="G2165" s="2">
        <v>39030</v>
      </c>
    </row>
    <row r="2166" spans="1:7" x14ac:dyDescent="0.2">
      <c r="A2166" t="s" s="0">
        <v>1831</v>
      </c>
      <c r="B2166" s="2">
        <v>1295285</v>
      </c>
      <c r="C2166" s="2">
        <v>52490</v>
      </c>
      <c r="D2166" s="2">
        <v>50016</v>
      </c>
      <c r="E2166" s="2">
        <v>47323</v>
      </c>
      <c r="F2166" s="2">
        <v>41644</v>
      </c>
      <c r="G2166" s="2">
        <v>42093</v>
      </c>
    </row>
    <row r="2167" spans="1:7" x14ac:dyDescent="0.2">
      <c r="A2167" t="s" s="0">
        <v>1830</v>
      </c>
      <c r="B2167" s="3">
        <v>1295285</v>
      </c>
      <c r="C2167" s="3">
        <v>52490</v>
      </c>
      <c r="D2167" s="3">
        <v>50016</v>
      </c>
      <c r="E2167" s="3">
        <v>47323</v>
      </c>
      <c r="F2167" s="3">
        <v>41644</v>
      </c>
      <c r="G2167" s="3">
        <v>42093</v>
      </c>
    </row>
    <row r="2168" spans="1:7" x14ac:dyDescent="0.2">
      <c r="A2168" t="s" s="0">
        <v>1829</v>
      </c>
      <c r="B2168" s="3">
        <v>1295285</v>
      </c>
      <c r="C2168" s="3">
        <v>52490</v>
      </c>
      <c r="D2168" s="3">
        <v>50016</v>
      </c>
      <c r="E2168" s="3">
        <v>47323</v>
      </c>
      <c r="F2168" s="3">
        <v>41644</v>
      </c>
      <c r="G2168" s="3">
        <v>42093</v>
      </c>
    </row>
    <row r="2169" spans="1:7" x14ac:dyDescent="0.2">
      <c r="A2169" t="s" s="0">
        <v>1828</v>
      </c>
      <c r="B2169" s="2">
        <v>1274086</v>
      </c>
      <c r="C2169" s="2">
        <v>28707</v>
      </c>
      <c r="D2169" s="2">
        <v>46790</v>
      </c>
      <c r="E2169" s="2">
        <v>47652</v>
      </c>
      <c r="F2169" s="2">
        <v>43862</v>
      </c>
      <c r="G2169" s="2">
        <v>43027</v>
      </c>
    </row>
    <row r="2170" spans="1:7" x14ac:dyDescent="0.2">
      <c r="A2170" t="s" s="0">
        <v>1827</v>
      </c>
      <c r="B2170" s="2">
        <v>1292366</v>
      </c>
      <c r="C2170" s="2">
        <v>48719</v>
      </c>
      <c r="D2170" s="2">
        <v>47161</v>
      </c>
      <c r="E2170" s="2">
        <v>47605</v>
      </c>
      <c r="F2170" s="2">
        <v>53757</v>
      </c>
      <c r="G2170" s="2">
        <v>40526</v>
      </c>
    </row>
    <row r="2171" spans="1:7" x14ac:dyDescent="0.2">
      <c r="A2171" t="s" s="0">
        <v>1826</v>
      </c>
      <c r="B2171" s="2">
        <v>1239790</v>
      </c>
      <c r="C2171" s="2">
        <v>53319</v>
      </c>
      <c r="D2171" s="2">
        <v>45837</v>
      </c>
      <c r="E2171" s="2">
        <v>47929</v>
      </c>
      <c r="F2171" s="2">
        <v>48068</v>
      </c>
      <c r="G2171" s="2">
        <v>40533</v>
      </c>
    </row>
    <row r="2172" spans="1:7" x14ac:dyDescent="0.2">
      <c r="A2172" t="s" s="0">
        <v>1825</v>
      </c>
      <c r="B2172" s="2">
        <v>1194071</v>
      </c>
      <c r="C2172" s="2">
        <v>43114</v>
      </c>
      <c r="D2172" s="2">
        <v>45372</v>
      </c>
      <c r="E2172" s="2">
        <v>47878</v>
      </c>
      <c r="F2172" s="2">
        <v>44065</v>
      </c>
      <c r="G2172" s="2">
        <v>39571</v>
      </c>
    </row>
    <row r="2173" spans="1:7" x14ac:dyDescent="0.2">
      <c r="A2173" t="s" s="0">
        <v>1824</v>
      </c>
      <c r="B2173" s="2">
        <v>1276824</v>
      </c>
      <c r="C2173" s="2">
        <v>42245</v>
      </c>
      <c r="D2173" s="2">
        <v>48194</v>
      </c>
      <c r="E2173" s="2">
        <v>48264</v>
      </c>
      <c r="F2173" s="2">
        <v>45388</v>
      </c>
      <c r="G2173" s="2">
        <v>43942</v>
      </c>
    </row>
    <row r="2174" spans="1:7" x14ac:dyDescent="0.2">
      <c r="A2174" t="s" s="0">
        <v>1823</v>
      </c>
      <c r="B2174" s="3">
        <v>1276824</v>
      </c>
      <c r="C2174" s="3">
        <v>42245</v>
      </c>
      <c r="D2174" s="3">
        <v>48194</v>
      </c>
      <c r="E2174" s="3">
        <v>48264</v>
      </c>
      <c r="F2174" s="3">
        <v>45388</v>
      </c>
      <c r="G2174" s="3">
        <v>43942</v>
      </c>
    </row>
    <row r="2175" spans="1:7" x14ac:dyDescent="0.2">
      <c r="A2175" t="s" s="0">
        <v>1822</v>
      </c>
      <c r="B2175" s="3">
        <v>1276824</v>
      </c>
      <c r="C2175" s="3">
        <v>42245</v>
      </c>
      <c r="D2175" s="3">
        <v>48194</v>
      </c>
      <c r="E2175" s="3">
        <v>48264</v>
      </c>
      <c r="F2175" s="3">
        <v>45388</v>
      </c>
      <c r="G2175" s="3">
        <v>43942</v>
      </c>
    </row>
    <row r="2176" spans="1:7" x14ac:dyDescent="0.2">
      <c r="A2176" t="s" s="0">
        <v>1821</v>
      </c>
      <c r="B2176" s="2">
        <v>1241995</v>
      </c>
      <c r="C2176" s="2">
        <v>29483</v>
      </c>
      <c r="D2176" s="2">
        <v>50733</v>
      </c>
      <c r="E2176" s="2">
        <v>48505</v>
      </c>
      <c r="F2176" s="2">
        <v>45980</v>
      </c>
      <c r="G2176" s="2">
        <v>43153</v>
      </c>
    </row>
    <row r="2177" spans="1:7" x14ac:dyDescent="0.2">
      <c r="A2177" t="s" s="0">
        <v>1820</v>
      </c>
      <c r="B2177" s="2">
        <v>1354129</v>
      </c>
      <c r="C2177" s="2">
        <v>53643</v>
      </c>
      <c r="D2177" s="2">
        <v>51723</v>
      </c>
      <c r="E2177" s="2">
        <v>48770</v>
      </c>
      <c r="F2177" s="2">
        <v>60378</v>
      </c>
      <c r="G2177" s="2">
        <v>46037</v>
      </c>
    </row>
    <row r="2178" spans="1:7" x14ac:dyDescent="0.2">
      <c r="A2178" t="s" s="0">
        <v>1819</v>
      </c>
      <c r="B2178" s="2">
        <v>1329885</v>
      </c>
      <c r="C2178" s="2">
        <v>54692</v>
      </c>
      <c r="D2178" s="2">
        <v>51919</v>
      </c>
      <c r="E2178" s="2">
        <v>48609</v>
      </c>
      <c r="F2178" s="2">
        <v>64664</v>
      </c>
      <c r="G2178" s="2">
        <v>44286</v>
      </c>
    </row>
    <row r="2179" spans="1:7" x14ac:dyDescent="0.2">
      <c r="A2179" t="s" s="0">
        <v>1818</v>
      </c>
      <c r="B2179" s="2">
        <v>1314348</v>
      </c>
      <c r="C2179" s="2">
        <v>50436</v>
      </c>
      <c r="D2179" s="2">
        <v>52965</v>
      </c>
      <c r="E2179" s="2">
        <v>48618</v>
      </c>
      <c r="F2179" s="2">
        <v>70081</v>
      </c>
      <c r="G2179" s="2">
        <v>44445</v>
      </c>
    </row>
    <row r="2180" spans="1:7" x14ac:dyDescent="0.2">
      <c r="A2180" t="s" s="0">
        <v>1817</v>
      </c>
      <c r="B2180" s="2">
        <v>1345080</v>
      </c>
      <c r="C2180" s="2">
        <v>54412</v>
      </c>
      <c r="D2180" s="2">
        <v>51696</v>
      </c>
      <c r="E2180" s="2">
        <v>49099</v>
      </c>
      <c r="F2180" s="2">
        <v>61381</v>
      </c>
      <c r="G2180" s="2">
        <v>44945</v>
      </c>
    </row>
    <row r="2181" spans="1:7" x14ac:dyDescent="0.2">
      <c r="A2181" t="s" s="0">
        <v>1816</v>
      </c>
      <c r="B2181" s="3">
        <v>1345080</v>
      </c>
      <c r="C2181" s="3">
        <v>54412</v>
      </c>
      <c r="D2181" s="3">
        <v>51696</v>
      </c>
      <c r="E2181" s="3">
        <v>49099</v>
      </c>
      <c r="F2181" s="3">
        <v>61381</v>
      </c>
      <c r="G2181" s="3">
        <v>44945</v>
      </c>
    </row>
    <row r="2182" spans="1:7" x14ac:dyDescent="0.2">
      <c r="A2182" t="s" s="0">
        <v>1815</v>
      </c>
      <c r="B2182" s="3">
        <v>1345080</v>
      </c>
      <c r="C2182" s="3">
        <v>54412</v>
      </c>
      <c r="D2182" s="3">
        <v>51696</v>
      </c>
      <c r="E2182" s="3">
        <v>49099</v>
      </c>
      <c r="F2182" s="3">
        <v>61381</v>
      </c>
      <c r="G2182" s="3">
        <v>44945</v>
      </c>
    </row>
    <row r="2183" spans="1:7" x14ac:dyDescent="0.2">
      <c r="A2183" t="s" s="0">
        <v>1814</v>
      </c>
      <c r="B2183" s="2">
        <v>1280896</v>
      </c>
      <c r="C2183" s="2">
        <v>27921</v>
      </c>
      <c r="D2183" s="2">
        <v>53457</v>
      </c>
      <c r="E2183" s="2">
        <v>49153</v>
      </c>
      <c r="F2183" s="2">
        <v>58948</v>
      </c>
      <c r="G2183" s="2">
        <v>45483</v>
      </c>
    </row>
    <row r="2184" spans="1:7" x14ac:dyDescent="0.2">
      <c r="A2184" t="s" s="0">
        <v>1813</v>
      </c>
      <c r="B2184" s="2">
        <v>1268525</v>
      </c>
      <c r="C2184" s="2">
        <v>52092</v>
      </c>
      <c r="D2184" s="2">
        <v>53949</v>
      </c>
      <c r="E2184" s="2">
        <v>50224</v>
      </c>
      <c r="F2184" s="2">
        <v>41653</v>
      </c>
      <c r="G2184" s="2">
        <v>46010</v>
      </c>
    </row>
    <row r="2185" spans="1:7" x14ac:dyDescent="0.2">
      <c r="A2185" t="s" s="0">
        <v>1812</v>
      </c>
      <c r="B2185" s="2">
        <v>1255613</v>
      </c>
      <c r="C2185" s="2">
        <v>53875</v>
      </c>
      <c r="D2185" s="2">
        <v>53832</v>
      </c>
      <c r="E2185" s="2">
        <v>50405</v>
      </c>
      <c r="F2185" s="2">
        <v>43112</v>
      </c>
      <c r="G2185" s="2">
        <v>46018</v>
      </c>
    </row>
    <row r="2186" spans="1:7" x14ac:dyDescent="0.2">
      <c r="A2186" t="s" s="0">
        <v>1811</v>
      </c>
      <c r="B2186" s="2">
        <v>1303026</v>
      </c>
      <c r="C2186" s="2">
        <v>46035</v>
      </c>
      <c r="D2186" s="2">
        <v>56211</v>
      </c>
      <c r="E2186" s="2">
        <v>51061</v>
      </c>
      <c r="F2186" s="2">
        <v>54483</v>
      </c>
      <c r="G2186" s="2">
        <v>49377</v>
      </c>
    </row>
    <row r="2187" spans="1:7" x14ac:dyDescent="0.2">
      <c r="A2187" t="s" s="0">
        <v>1810</v>
      </c>
      <c r="B2187" s="2">
        <v>1197749</v>
      </c>
      <c r="C2187" s="2">
        <v>49401</v>
      </c>
      <c r="D2187" s="2">
        <v>62210</v>
      </c>
      <c r="E2187" s="2">
        <v>53029</v>
      </c>
      <c r="F2187" s="2">
        <v>40998</v>
      </c>
      <c r="G2187" s="2">
        <v>47353</v>
      </c>
    </row>
    <row r="2188" spans="1:7" x14ac:dyDescent="0.2">
      <c r="A2188" t="s" s="0">
        <v>1809</v>
      </c>
      <c r="B2188" s="3">
        <v>1197749</v>
      </c>
      <c r="C2188" s="3">
        <v>49401</v>
      </c>
      <c r="D2188" s="3">
        <v>62210</v>
      </c>
      <c r="E2188" s="3">
        <v>53029</v>
      </c>
      <c r="F2188" s="3">
        <v>40998</v>
      </c>
      <c r="G2188" s="3">
        <v>47353</v>
      </c>
    </row>
    <row r="2189" spans="1:7" x14ac:dyDescent="0.2">
      <c r="A2189" t="s" s="0">
        <v>1808</v>
      </c>
      <c r="B2189" s="3">
        <v>1197749</v>
      </c>
      <c r="C2189" s="3">
        <v>49401</v>
      </c>
      <c r="D2189" s="3">
        <v>62210</v>
      </c>
      <c r="E2189" s="3">
        <v>53029</v>
      </c>
      <c r="F2189" s="3">
        <v>40998</v>
      </c>
      <c r="G2189" s="3">
        <v>47353</v>
      </c>
    </row>
    <row r="2190" spans="1:7" x14ac:dyDescent="0.2">
      <c r="A2190" t="s" s="0">
        <v>1807</v>
      </c>
      <c r="B2190" s="2">
        <v>1089583</v>
      </c>
      <c r="C2190" s="2">
        <v>33302</v>
      </c>
      <c r="D2190" s="2">
        <v>61043</v>
      </c>
      <c r="E2190" s="2">
        <v>53006</v>
      </c>
      <c r="F2190" s="2">
        <v>33547</v>
      </c>
      <c r="G2190" s="2">
        <v>45584</v>
      </c>
    </row>
    <row r="2191" spans="1:7" x14ac:dyDescent="0.2">
      <c r="A2191" t="s" s="0">
        <v>1806</v>
      </c>
      <c r="B2191" s="2">
        <v>1054334</v>
      </c>
      <c r="C2191" s="2">
        <v>59625</v>
      </c>
      <c r="D2191" s="2">
        <v>64256</v>
      </c>
      <c r="E2191" s="2">
        <v>54272</v>
      </c>
      <c r="F2191" s="2">
        <v>33491</v>
      </c>
      <c r="G2191" s="2">
        <v>47320</v>
      </c>
    </row>
    <row r="2192" spans="1:7" x14ac:dyDescent="0.2">
      <c r="A2192" t="s" s="0">
        <v>1805</v>
      </c>
      <c r="B2192" s="2">
        <v>1066393</v>
      </c>
      <c r="C2192" s="2">
        <v>53972</v>
      </c>
      <c r="D2192" s="2">
        <v>64269</v>
      </c>
      <c r="E2192" s="2">
        <v>53964</v>
      </c>
      <c r="F2192" s="2">
        <v>37122</v>
      </c>
      <c r="G2192" s="2">
        <v>48242</v>
      </c>
    </row>
    <row r="2193" spans="1:7" x14ac:dyDescent="0.2">
      <c r="A2193" t="s" s="0">
        <v>1804</v>
      </c>
      <c r="B2193" s="2">
        <v>1111396</v>
      </c>
      <c r="C2193" s="2">
        <v>54655</v>
      </c>
      <c r="D2193" s="2">
        <v>62494</v>
      </c>
      <c r="E2193" s="2">
        <v>54261</v>
      </c>
      <c r="F2193" s="2">
        <v>34896</v>
      </c>
      <c r="G2193" s="2">
        <v>50882</v>
      </c>
    </row>
    <row r="2194" spans="1:7" x14ac:dyDescent="0.2">
      <c r="A2194" t="s" s="0">
        <v>1803</v>
      </c>
      <c r="B2194" s="2">
        <v>1127201</v>
      </c>
      <c r="C2194" s="2">
        <v>59119</v>
      </c>
      <c r="D2194" s="2">
        <v>55888</v>
      </c>
      <c r="E2194" s="2">
        <v>54497</v>
      </c>
      <c r="F2194" s="2">
        <v>45600</v>
      </c>
      <c r="G2194" s="2">
        <v>48342</v>
      </c>
    </row>
    <row r="2195" spans="1:7" x14ac:dyDescent="0.2">
      <c r="A2195" t="s" s="0">
        <v>1802</v>
      </c>
      <c r="B2195" s="3">
        <v>1127201</v>
      </c>
      <c r="C2195" s="3">
        <v>59119</v>
      </c>
      <c r="D2195" s="3">
        <v>55888</v>
      </c>
      <c r="E2195" s="3">
        <v>54497</v>
      </c>
      <c r="F2195" s="3">
        <v>45600</v>
      </c>
      <c r="G2195" s="3">
        <v>48342</v>
      </c>
    </row>
    <row r="2196" spans="1:7" x14ac:dyDescent="0.2">
      <c r="A2196" t="s" s="0">
        <v>1801</v>
      </c>
      <c r="B2196" s="3">
        <v>1127201</v>
      </c>
      <c r="C2196" s="3">
        <v>59119</v>
      </c>
      <c r="D2196" s="3">
        <v>55888</v>
      </c>
      <c r="E2196" s="3">
        <v>54497</v>
      </c>
      <c r="F2196" s="3">
        <v>45600</v>
      </c>
      <c r="G2196" s="3">
        <v>48342</v>
      </c>
    </row>
    <row r="2197" spans="1:7" x14ac:dyDescent="0.2">
      <c r="A2197" t="s" s="0">
        <v>1800</v>
      </c>
      <c r="B2197" s="2">
        <v>1129003</v>
      </c>
      <c r="C2197" s="2">
        <v>29280</v>
      </c>
      <c r="D2197" s="2">
        <v>54202</v>
      </c>
      <c r="E2197" s="2">
        <v>54859</v>
      </c>
      <c r="F2197" s="2">
        <v>59623</v>
      </c>
      <c r="G2197" s="2">
        <v>49525</v>
      </c>
    </row>
    <row r="2198" spans="1:7" x14ac:dyDescent="0.2">
      <c r="A2198" t="s" s="0">
        <v>1799</v>
      </c>
      <c r="B2198" s="2">
        <v>1094999</v>
      </c>
      <c r="C2198" s="2">
        <v>49296</v>
      </c>
      <c r="D2198" s="2">
        <v>52310</v>
      </c>
      <c r="E2198" s="2">
        <v>55559</v>
      </c>
      <c r="F2198" s="2">
        <v>57909</v>
      </c>
      <c r="G2198" s="2">
        <v>48358</v>
      </c>
    </row>
    <row r="2199" spans="1:7" x14ac:dyDescent="0.2">
      <c r="A2199" t="s" s="0">
        <v>1798</v>
      </c>
      <c r="B2199" s="2">
        <v>1070693</v>
      </c>
      <c r="C2199" s="2">
        <v>54301</v>
      </c>
      <c r="D2199" s="2">
        <v>52357</v>
      </c>
      <c r="E2199" s="2">
        <v>55594</v>
      </c>
      <c r="F2199" s="2">
        <v>52798</v>
      </c>
      <c r="G2199" s="2">
        <v>49424</v>
      </c>
    </row>
    <row r="2200" spans="1:7" x14ac:dyDescent="0.2">
      <c r="A2200" t="s" s="0">
        <v>1797</v>
      </c>
      <c r="B2200" s="2">
        <v>1026457</v>
      </c>
      <c r="C2200" s="2">
        <v>44525</v>
      </c>
      <c r="D2200" s="2">
        <v>50909</v>
      </c>
      <c r="E2200" s="2">
        <v>55645</v>
      </c>
      <c r="F2200" s="2">
        <v>38668</v>
      </c>
      <c r="G2200" s="2">
        <v>49532</v>
      </c>
    </row>
    <row r="2201" spans="1:7" x14ac:dyDescent="0.2">
      <c r="A2201" t="s" s="0">
        <v>1796</v>
      </c>
      <c r="B2201" s="2">
        <v>1044995</v>
      </c>
      <c r="C2201" s="2">
        <v>49564</v>
      </c>
      <c r="D2201" s="2">
        <v>50974</v>
      </c>
      <c r="E2201" s="2">
        <v>55192</v>
      </c>
      <c r="F2201" s="2">
        <v>39167</v>
      </c>
      <c r="G2201" s="2">
        <v>46786</v>
      </c>
    </row>
    <row r="2202" spans="1:7" x14ac:dyDescent="0.2">
      <c r="A2202" t="s" s="0">
        <v>1795</v>
      </c>
      <c r="B2202" s="3">
        <v>1044995</v>
      </c>
      <c r="C2202" s="3">
        <v>49564</v>
      </c>
      <c r="D2202" s="3">
        <v>50974</v>
      </c>
      <c r="E2202" s="3">
        <v>55192</v>
      </c>
      <c r="F2202" s="3">
        <v>39167</v>
      </c>
      <c r="G2202" s="3">
        <v>46786</v>
      </c>
    </row>
    <row r="2203" spans="1:7" x14ac:dyDescent="0.2">
      <c r="A2203" t="s" s="0">
        <v>1794</v>
      </c>
      <c r="B2203" s="3">
        <v>1044995</v>
      </c>
      <c r="C2203" s="3">
        <v>49564</v>
      </c>
      <c r="D2203" s="3">
        <v>50974</v>
      </c>
      <c r="E2203" s="3">
        <v>55192</v>
      </c>
      <c r="F2203" s="3">
        <v>39167</v>
      </c>
      <c r="G2203" s="3">
        <v>46786</v>
      </c>
    </row>
    <row r="2204" spans="1:7" x14ac:dyDescent="0.2">
      <c r="A2204" t="s" s="0">
        <v>1793</v>
      </c>
      <c r="B2204" s="2">
        <v>1044687</v>
      </c>
      <c r="C2204" s="2">
        <v>25265</v>
      </c>
      <c r="D2204" s="2">
        <v>53560</v>
      </c>
      <c r="E2204" s="2">
        <v>55566</v>
      </c>
      <c r="F2204" s="2">
        <v>41452</v>
      </c>
      <c r="G2204" s="2">
        <v>48393</v>
      </c>
    </row>
    <row r="2205" spans="1:7" x14ac:dyDescent="0.2">
      <c r="A2205" t="s" s="0">
        <v>1792</v>
      </c>
      <c r="B2205" s="2">
        <v>1058904</v>
      </c>
      <c r="C2205" s="2">
        <v>45414</v>
      </c>
      <c r="D2205" s="2">
        <v>49858</v>
      </c>
      <c r="E2205" s="2">
        <v>55093</v>
      </c>
      <c r="F2205" s="2">
        <v>44639</v>
      </c>
      <c r="G2205" s="2">
        <v>44423</v>
      </c>
    </row>
    <row r="2206" spans="1:7" x14ac:dyDescent="0.2">
      <c r="A2206" t="s" s="0">
        <v>1791</v>
      </c>
      <c r="B2206" s="2">
        <v>1012403</v>
      </c>
      <c r="C2206" s="2">
        <v>50504</v>
      </c>
      <c r="D2206" s="2">
        <v>52133</v>
      </c>
      <c r="E2206" s="2">
        <v>55648</v>
      </c>
      <c r="F2206" s="2">
        <v>43708</v>
      </c>
      <c r="G2206" s="2">
        <v>44185</v>
      </c>
    </row>
    <row r="2207" spans="1:7" x14ac:dyDescent="0.2">
      <c r="A2207" t="s" s="0">
        <v>1790</v>
      </c>
      <c r="B2207" s="2">
        <v>1002690</v>
      </c>
      <c r="C2207" s="2">
        <v>49713</v>
      </c>
      <c r="D2207" s="2">
        <v>52874</v>
      </c>
      <c r="E2207" s="2">
        <v>55622</v>
      </c>
      <c r="F2207" s="2">
        <v>49422</v>
      </c>
      <c r="G2207" s="2">
        <v>44367</v>
      </c>
    </row>
    <row r="2208" spans="1:7" x14ac:dyDescent="0.2">
      <c r="A2208" t="s" s="0">
        <v>1789</v>
      </c>
      <c r="B2208" s="2">
        <v>1013369</v>
      </c>
      <c r="C2208" s="2">
        <v>48040</v>
      </c>
      <c r="D2208" s="2">
        <v>51226</v>
      </c>
      <c r="E2208" s="2">
        <v>55075</v>
      </c>
      <c r="F2208" s="2">
        <v>46652</v>
      </c>
      <c r="G2208" s="2">
        <v>43104</v>
      </c>
    </row>
    <row r="2209" spans="1:7" x14ac:dyDescent="0.2">
      <c r="A2209" t="s" s="0">
        <v>1788</v>
      </c>
      <c r="B2209" s="3">
        <v>1013369</v>
      </c>
      <c r="C2209" s="3">
        <v>48040</v>
      </c>
      <c r="D2209" s="3">
        <v>51226</v>
      </c>
      <c r="E2209" s="3">
        <v>55075</v>
      </c>
      <c r="F2209" s="3">
        <v>46652</v>
      </c>
      <c r="G2209" s="3">
        <v>43104</v>
      </c>
    </row>
    <row r="2210" spans="1:7" x14ac:dyDescent="0.2">
      <c r="A2210" t="s" s="0">
        <v>1787</v>
      </c>
      <c r="B2210" s="3">
        <v>1013369</v>
      </c>
      <c r="C2210" s="3">
        <v>48040</v>
      </c>
      <c r="D2210" s="3">
        <v>51226</v>
      </c>
      <c r="E2210" s="3">
        <v>55075</v>
      </c>
      <c r="F2210" s="3">
        <v>46652</v>
      </c>
      <c r="G2210" s="3">
        <v>43104</v>
      </c>
    </row>
    <row r="2211" spans="1:7" x14ac:dyDescent="0.2">
      <c r="A2211" t="s" s="0">
        <v>1786</v>
      </c>
      <c r="B2211" s="2">
        <v>1013732</v>
      </c>
      <c r="C2211" s="2">
        <v>30974</v>
      </c>
      <c r="D2211" s="2">
        <v>50244</v>
      </c>
      <c r="E2211" s="2">
        <v>54762</v>
      </c>
      <c r="F2211" s="2">
        <v>45764</v>
      </c>
      <c r="G2211" s="2">
        <v>45097</v>
      </c>
    </row>
    <row r="2212" spans="1:7" x14ac:dyDescent="0.2">
      <c r="A2212" t="s" s="0">
        <v>1785</v>
      </c>
      <c r="B2212" s="2">
        <v>1069649</v>
      </c>
      <c r="C2212" s="2">
        <v>46523</v>
      </c>
      <c r="D2212" s="2">
        <v>51430</v>
      </c>
      <c r="E2212" s="2">
        <v>54463</v>
      </c>
      <c r="F2212" s="2">
        <v>52907</v>
      </c>
      <c r="G2212" s="2">
        <v>47237</v>
      </c>
    </row>
    <row r="2213" spans="1:7" x14ac:dyDescent="0.2">
      <c r="A2213" t="s" s="0">
        <v>1784</v>
      </c>
      <c r="B2213" s="2">
        <v>1058791</v>
      </c>
      <c r="C2213" s="2">
        <v>52201</v>
      </c>
      <c r="D2213" s="2">
        <v>48849</v>
      </c>
      <c r="E2213" s="2">
        <v>54402</v>
      </c>
      <c r="F2213" s="2">
        <v>55403</v>
      </c>
      <c r="G2213" s="2">
        <v>47258</v>
      </c>
    </row>
    <row r="2214" spans="1:7" x14ac:dyDescent="0.2">
      <c r="A2214" t="s" s="0">
        <v>1783</v>
      </c>
      <c r="B2214" s="2">
        <v>1152486</v>
      </c>
      <c r="C2214" s="2">
        <v>47252</v>
      </c>
      <c r="D2214" s="2">
        <v>49212</v>
      </c>
      <c r="E2214" s="2">
        <v>53872</v>
      </c>
      <c r="F2214" s="2">
        <v>70539</v>
      </c>
      <c r="G2214" s="2">
        <v>48381</v>
      </c>
    </row>
    <row r="2215" spans="1:7" x14ac:dyDescent="0.2">
      <c r="A2215" t="s" s="0">
        <v>1782</v>
      </c>
      <c r="B2215" s="2">
        <v>1221529</v>
      </c>
      <c r="C2215" s="2">
        <v>49132</v>
      </c>
      <c r="D2215" s="2">
        <v>51468</v>
      </c>
      <c r="E2215" s="2">
        <v>52389</v>
      </c>
      <c r="F2215" s="2">
        <v>81133</v>
      </c>
      <c r="G2215" s="2">
        <v>53138</v>
      </c>
    </row>
    <row r="2216" spans="1:7" x14ac:dyDescent="0.2">
      <c r="A2216" t="s" s="0">
        <v>1781</v>
      </c>
      <c r="B2216" s="3">
        <v>1221529</v>
      </c>
      <c r="C2216" s="3">
        <v>49132</v>
      </c>
      <c r="D2216" s="3">
        <v>51468</v>
      </c>
      <c r="E2216" s="3">
        <v>52389</v>
      </c>
      <c r="F2216" s="3">
        <v>81133</v>
      </c>
      <c r="G2216" s="3">
        <v>53138</v>
      </c>
    </row>
    <row r="2217" spans="1:7" x14ac:dyDescent="0.2">
      <c r="A2217" t="s" s="0">
        <v>1780</v>
      </c>
      <c r="B2217" s="3">
        <v>1221529</v>
      </c>
      <c r="C2217" s="3">
        <v>49132</v>
      </c>
      <c r="D2217" s="3">
        <v>51468</v>
      </c>
      <c r="E2217" s="3">
        <v>52389</v>
      </c>
      <c r="F2217" s="3">
        <v>81133</v>
      </c>
      <c r="G2217" s="3">
        <v>53138</v>
      </c>
    </row>
    <row r="2218" spans="1:7" x14ac:dyDescent="0.2">
      <c r="A2218" t="s" s="0">
        <v>1779</v>
      </c>
      <c r="B2218" s="2">
        <v>1170067</v>
      </c>
      <c r="C2218" s="2">
        <v>33318</v>
      </c>
      <c r="D2218" s="2">
        <v>50784</v>
      </c>
      <c r="E2218" s="2">
        <v>52197</v>
      </c>
      <c r="F2218" s="2">
        <v>73045</v>
      </c>
      <c r="G2218" s="2">
        <v>54971</v>
      </c>
    </row>
    <row r="2219" spans="1:7" x14ac:dyDescent="0.2">
      <c r="A2219" t="s" s="0">
        <v>1778</v>
      </c>
      <c r="B2219" s="2">
        <v>1123999</v>
      </c>
      <c r="C2219" s="2">
        <v>41146</v>
      </c>
      <c r="D2219" s="2">
        <v>49677</v>
      </c>
      <c r="E2219" s="2">
        <v>50819</v>
      </c>
      <c r="F2219" s="2">
        <v>57315</v>
      </c>
      <c r="G2219" s="2">
        <v>53192</v>
      </c>
    </row>
    <row r="2220" spans="1:7" x14ac:dyDescent="0.2">
      <c r="A2220" t="s" s="0">
        <v>1777</v>
      </c>
      <c r="B2220" s="2">
        <v>1097043</v>
      </c>
      <c r="C2220" s="2">
        <v>53872</v>
      </c>
      <c r="D2220" s="2">
        <v>51509</v>
      </c>
      <c r="E2220" s="2">
        <v>51212</v>
      </c>
      <c r="F2220" s="2">
        <v>56855</v>
      </c>
      <c r="G2220" s="2">
        <v>52191</v>
      </c>
    </row>
    <row r="2221" spans="1:7" x14ac:dyDescent="0.2">
      <c r="A2221" t="s" s="0">
        <v>1776</v>
      </c>
      <c r="B2221" s="2">
        <v>1036729</v>
      </c>
      <c r="C2221" s="2">
        <v>52737</v>
      </c>
      <c r="D2221" s="2">
        <v>52138</v>
      </c>
      <c r="E2221" s="2">
        <v>51283</v>
      </c>
      <c r="F2221" s="2">
        <v>35483</v>
      </c>
      <c r="G2221" s="2">
        <v>48528</v>
      </c>
    </row>
    <row r="2222" spans="1:7" x14ac:dyDescent="0.2">
      <c r="A2222" t="s" s="0">
        <v>1775</v>
      </c>
      <c r="B2222" s="2">
        <v>1087824</v>
      </c>
      <c r="C2222" s="2">
        <v>46877</v>
      </c>
      <c r="D2222" s="2">
        <v>52574</v>
      </c>
      <c r="E2222" s="2">
        <v>51561</v>
      </c>
      <c r="F2222" s="2">
        <v>33355</v>
      </c>
      <c r="G2222" s="2">
        <v>50077</v>
      </c>
    </row>
    <row r="2223" spans="1:7" x14ac:dyDescent="0.2">
      <c r="A2223" t="s" s="0">
        <v>1774</v>
      </c>
      <c r="B2223" s="3">
        <v>1087824</v>
      </c>
      <c r="C2223" s="3">
        <v>46877</v>
      </c>
      <c r="D2223" s="3">
        <v>52574</v>
      </c>
      <c r="E2223" s="3">
        <v>51561</v>
      </c>
      <c r="F2223" s="3">
        <v>33355</v>
      </c>
      <c r="G2223" s="3">
        <v>50077</v>
      </c>
    </row>
    <row r="2224" spans="1:7" x14ac:dyDescent="0.2">
      <c r="A2224" t="s" s="0">
        <v>1773</v>
      </c>
      <c r="B2224" s="3">
        <v>1087824</v>
      </c>
      <c r="C2224" s="3">
        <v>46877</v>
      </c>
      <c r="D2224" s="3">
        <v>52574</v>
      </c>
      <c r="E2224" s="3">
        <v>51561</v>
      </c>
      <c r="F2224" s="3">
        <v>33355</v>
      </c>
      <c r="G2224" s="3">
        <v>50077</v>
      </c>
    </row>
    <row r="2225" spans="1:7" x14ac:dyDescent="0.2">
      <c r="A2225" t="s" s="0">
        <v>1772</v>
      </c>
      <c r="B2225" s="2">
        <v>1014000</v>
      </c>
      <c r="C2225" s="2">
        <v>30449</v>
      </c>
      <c r="D2225" s="2">
        <v>49729</v>
      </c>
      <c r="E2225" s="2">
        <v>51079</v>
      </c>
      <c r="F2225" s="2">
        <v>27344</v>
      </c>
      <c r="G2225" s="2">
        <v>46901</v>
      </c>
    </row>
    <row r="2226" spans="1:7" x14ac:dyDescent="0.2">
      <c r="A2226" t="s" s="0">
        <v>1771</v>
      </c>
      <c r="B2226" s="2">
        <v>1063152</v>
      </c>
      <c r="C2226" s="2">
        <v>51383</v>
      </c>
      <c r="D2226" s="2">
        <v>51933</v>
      </c>
      <c r="E2226" s="2">
        <v>50725</v>
      </c>
      <c r="F2226" s="2">
        <v>43205</v>
      </c>
      <c r="G2226" s="2">
        <v>49516</v>
      </c>
    </row>
    <row r="2227" spans="1:7" x14ac:dyDescent="0.2">
      <c r="A2227" t="s" s="0">
        <v>1770</v>
      </c>
      <c r="B2227" s="2">
        <v>1013686</v>
      </c>
      <c r="C2227" s="2">
        <v>47983</v>
      </c>
      <c r="D2227" s="2">
        <v>53357</v>
      </c>
      <c r="E2227" s="2">
        <v>51462</v>
      </c>
      <c r="F2227" s="2">
        <v>41409</v>
      </c>
      <c r="G2227" s="2">
        <v>49344</v>
      </c>
    </row>
    <row r="2228" spans="1:7" x14ac:dyDescent="0.2">
      <c r="A2228" t="s" s="0">
        <v>1769</v>
      </c>
      <c r="B2228" s="2">
        <v>968325</v>
      </c>
      <c r="C2228" s="2">
        <v>52882</v>
      </c>
      <c r="D2228" s="2">
        <v>53390</v>
      </c>
      <c r="E2228" s="2">
        <v>51904</v>
      </c>
      <c r="F2228" s="2">
        <v>43578</v>
      </c>
      <c r="G2228" s="2">
        <v>49756</v>
      </c>
    </row>
    <row r="2229" spans="1:7" x14ac:dyDescent="0.2">
      <c r="A2229" t="s" s="0">
        <v>1768</v>
      </c>
      <c r="B2229" s="2">
        <v>1061705</v>
      </c>
      <c r="C2229" s="2">
        <v>48249</v>
      </c>
      <c r="D2229" s="2">
        <v>50728</v>
      </c>
      <c r="E2229" s="2">
        <v>51499</v>
      </c>
      <c r="F2229" s="2">
        <v>46956</v>
      </c>
      <c r="G2229" s="2">
        <v>52024</v>
      </c>
    </row>
    <row r="2230" spans="1:7" x14ac:dyDescent="0.2">
      <c r="A2230" t="s" s="0">
        <v>1767</v>
      </c>
      <c r="B2230" s="3">
        <v>1061705</v>
      </c>
      <c r="C2230" s="3">
        <v>48249</v>
      </c>
      <c r="D2230" s="3">
        <v>50728</v>
      </c>
      <c r="E2230" s="3">
        <v>51499</v>
      </c>
      <c r="F2230" s="3">
        <v>46956</v>
      </c>
      <c r="G2230" s="3">
        <v>52024</v>
      </c>
    </row>
    <row r="2231" spans="1:7" x14ac:dyDescent="0.2">
      <c r="A2231" t="s" s="0">
        <v>1766</v>
      </c>
      <c r="B2231" s="3">
        <v>1061705</v>
      </c>
      <c r="C2231" s="3">
        <v>48249</v>
      </c>
      <c r="D2231" s="3">
        <v>50728</v>
      </c>
      <c r="E2231" s="3">
        <v>51499</v>
      </c>
      <c r="F2231" s="3">
        <v>46956</v>
      </c>
      <c r="G2231" s="3">
        <v>52024</v>
      </c>
    </row>
    <row r="2232" spans="1:7" x14ac:dyDescent="0.2">
      <c r="A2232" t="s" s="0">
        <v>1765</v>
      </c>
      <c r="B2232" s="2">
        <v>1103119</v>
      </c>
      <c r="C2232" s="2">
        <v>27917</v>
      </c>
      <c r="D2232" s="2">
        <v>51396</v>
      </c>
      <c r="E2232" s="2">
        <v>50538</v>
      </c>
      <c r="F2232" s="2">
        <v>64059</v>
      </c>
      <c r="G2232" s="2">
        <v>52553</v>
      </c>
    </row>
    <row r="2233" spans="1:7" x14ac:dyDescent="0.2">
      <c r="A2233" t="s" s="0">
        <v>1764</v>
      </c>
      <c r="B2233" s="2">
        <v>1080804</v>
      </c>
      <c r="C2233" s="2">
        <v>46302</v>
      </c>
      <c r="D2233" s="2">
        <v>49951</v>
      </c>
      <c r="E2233" s="2">
        <v>50748</v>
      </c>
      <c r="F2233" s="2">
        <v>52404</v>
      </c>
      <c r="G2233" s="2">
        <v>51458</v>
      </c>
    </row>
    <row r="2234" spans="1:7" x14ac:dyDescent="0.2">
      <c r="A2234" t="s" s="0">
        <v>1763</v>
      </c>
      <c r="B2234" s="2">
        <v>1117375</v>
      </c>
      <c r="C2234" s="2">
        <v>49087</v>
      </c>
      <c r="D2234" s="2">
        <v>48399</v>
      </c>
      <c r="E2234" s="2">
        <v>50528</v>
      </c>
      <c r="F2234" s="2">
        <v>63111</v>
      </c>
      <c r="G2234" s="2">
        <v>54195</v>
      </c>
    </row>
    <row r="2235" spans="1:7" x14ac:dyDescent="0.2">
      <c r="A2235" t="s" s="0">
        <v>1762</v>
      </c>
      <c r="B2235" s="2">
        <v>1114054</v>
      </c>
      <c r="C2235" s="2">
        <v>53300</v>
      </c>
      <c r="D2235" s="2">
        <v>47886</v>
      </c>
      <c r="E2235" s="2">
        <v>50657</v>
      </c>
      <c r="F2235" s="2">
        <v>68604</v>
      </c>
      <c r="G2235" s="2">
        <v>54551</v>
      </c>
    </row>
    <row r="2236" spans="1:7" x14ac:dyDescent="0.2">
      <c r="A2236" t="s" s="0">
        <v>1761</v>
      </c>
      <c r="B2236" s="2">
        <v>1112773</v>
      </c>
      <c r="C2236" s="2">
        <v>54245</v>
      </c>
      <c r="D2236" s="2">
        <v>50455</v>
      </c>
      <c r="E2236" s="2">
        <v>51306</v>
      </c>
      <c r="F2236" s="2">
        <v>57650</v>
      </c>
      <c r="G2236" s="2">
        <v>54774</v>
      </c>
    </row>
    <row r="2237" spans="1:7" x14ac:dyDescent="0.2">
      <c r="A2237" t="s" s="0">
        <v>1760</v>
      </c>
      <c r="B2237" s="3">
        <v>1112773</v>
      </c>
      <c r="C2237" s="3">
        <v>54245</v>
      </c>
      <c r="D2237" s="3">
        <v>50455</v>
      </c>
      <c r="E2237" s="3">
        <v>51306</v>
      </c>
      <c r="F2237" s="3">
        <v>57650</v>
      </c>
      <c r="G2237" s="3">
        <v>54774</v>
      </c>
    </row>
    <row r="2238" spans="1:7" x14ac:dyDescent="0.2">
      <c r="A2238" t="s" s="0">
        <v>1759</v>
      </c>
      <c r="B2238" s="3">
        <v>1112773</v>
      </c>
      <c r="C2238" s="3">
        <v>54245</v>
      </c>
      <c r="D2238" s="3">
        <v>50455</v>
      </c>
      <c r="E2238" s="3">
        <v>51306</v>
      </c>
      <c r="F2238" s="3">
        <v>57650</v>
      </c>
      <c r="G2238" s="3">
        <v>54774</v>
      </c>
    </row>
    <row r="2239" spans="1:7" x14ac:dyDescent="0.2">
      <c r="A2239" t="s" s="0">
        <v>1758</v>
      </c>
      <c r="B2239" s="2">
        <v>1041768</v>
      </c>
      <c r="C2239" s="2">
        <v>30857</v>
      </c>
      <c r="D2239" s="2">
        <v>53115</v>
      </c>
      <c r="E2239" s="2">
        <v>51256</v>
      </c>
      <c r="F2239" s="2">
        <v>44250</v>
      </c>
      <c r="G2239" s="2">
        <v>52174</v>
      </c>
    </row>
    <row r="2240" spans="1:7" x14ac:dyDescent="0.2">
      <c r="A2240" t="s" s="0">
        <v>1757</v>
      </c>
      <c r="B2240" s="2">
        <v>1003644</v>
      </c>
      <c r="C2240" s="2">
        <v>52624</v>
      </c>
      <c r="D2240" s="2">
        <v>53307</v>
      </c>
      <c r="E2240" s="2">
        <v>51217</v>
      </c>
      <c r="F2240" s="2">
        <v>42184</v>
      </c>
      <c r="G2240" s="2">
        <v>48777</v>
      </c>
    </row>
    <row r="2241" spans="1:7" x14ac:dyDescent="0.2">
      <c r="A2241" t="s" s="0">
        <v>1756</v>
      </c>
      <c r="B2241" s="2">
        <v>959249</v>
      </c>
      <c r="C2241" s="2">
        <v>50437</v>
      </c>
      <c r="D2241" s="2">
        <v>52070</v>
      </c>
      <c r="E2241" s="2">
        <v>51334</v>
      </c>
      <c r="F2241" s="2">
        <v>29306</v>
      </c>
      <c r="G2241" s="2">
        <v>47670</v>
      </c>
    </row>
    <row r="2242" spans="1:7" x14ac:dyDescent="0.2">
      <c r="A2242" t="s" s="0">
        <v>1755</v>
      </c>
      <c r="B2242" s="2">
        <v>1050593</v>
      </c>
      <c r="C2242" s="2">
        <v>48772</v>
      </c>
      <c r="D2242" s="2">
        <v>52122</v>
      </c>
      <c r="E2242" s="2">
        <v>51384</v>
      </c>
      <c r="F2242" s="2">
        <v>42882</v>
      </c>
      <c r="G2242" s="2">
        <v>47637</v>
      </c>
    </row>
    <row r="2243" spans="1:7" x14ac:dyDescent="0.2">
      <c r="A2243" t="s" s="0">
        <v>1754</v>
      </c>
      <c r="B2243" s="2">
        <v>1001415</v>
      </c>
      <c r="C2243" s="2">
        <v>48885</v>
      </c>
      <c r="D2243" s="2">
        <v>49644</v>
      </c>
      <c r="E2243" s="2">
        <v>50850</v>
      </c>
      <c r="F2243" s="2">
        <v>33561</v>
      </c>
      <c r="G2243" s="2">
        <v>42881</v>
      </c>
    </row>
    <row r="2244" spans="1:7" x14ac:dyDescent="0.2">
      <c r="A2244" t="s" s="0">
        <v>1753</v>
      </c>
      <c r="B2244" s="3">
        <v>1001415</v>
      </c>
      <c r="C2244" s="3">
        <v>48885</v>
      </c>
      <c r="D2244" s="3">
        <v>49644</v>
      </c>
      <c r="E2244" s="3">
        <v>50850</v>
      </c>
      <c r="F2244" s="3">
        <v>33561</v>
      </c>
      <c r="G2244" s="3">
        <v>42881</v>
      </c>
    </row>
    <row r="2245" spans="1:7" x14ac:dyDescent="0.2">
      <c r="A2245" t="s" s="0">
        <v>1752</v>
      </c>
      <c r="B2245" s="3">
        <v>1001415</v>
      </c>
      <c r="C2245" s="3">
        <v>48885</v>
      </c>
      <c r="D2245" s="3">
        <v>49644</v>
      </c>
      <c r="E2245" s="3">
        <v>50850</v>
      </c>
      <c r="F2245" s="3">
        <v>33561</v>
      </c>
      <c r="G2245" s="3">
        <v>42881</v>
      </c>
    </row>
    <row r="2246" spans="1:7" x14ac:dyDescent="0.2">
      <c r="A2246" t="s" s="0">
        <v>1751</v>
      </c>
      <c r="B2246" s="2">
        <v>972625</v>
      </c>
      <c r="C2246" s="2">
        <v>32031</v>
      </c>
      <c r="D2246" s="2">
        <v>46356</v>
      </c>
      <c r="E2246" s="2">
        <v>50149</v>
      </c>
      <c r="F2246" s="2">
        <v>36304</v>
      </c>
      <c r="G2246" s="2">
        <v>42989</v>
      </c>
    </row>
    <row r="2247" spans="1:7" x14ac:dyDescent="0.2">
      <c r="A2247" t="s" s="0">
        <v>1750</v>
      </c>
      <c r="B2247" s="2">
        <v>917317</v>
      </c>
      <c r="C2247" s="2">
        <v>46077</v>
      </c>
      <c r="D2247" s="2">
        <v>46135</v>
      </c>
      <c r="E2247" s="2">
        <v>50332</v>
      </c>
      <c r="F2247" s="2">
        <v>33628</v>
      </c>
      <c r="G2247" s="2">
        <v>42855</v>
      </c>
    </row>
    <row r="2248" spans="1:7" x14ac:dyDescent="0.2">
      <c r="A2248" t="s" s="0">
        <v>1749</v>
      </c>
      <c r="B2248" s="2">
        <v>981006</v>
      </c>
      <c r="C2248" s="2">
        <v>48075</v>
      </c>
      <c r="D2248" s="2">
        <v>45086</v>
      </c>
      <c r="E2248" s="2">
        <v>49728</v>
      </c>
      <c r="F2248" s="2">
        <v>48103</v>
      </c>
      <c r="G2248" s="2">
        <v>45482</v>
      </c>
    </row>
    <row r="2249" spans="1:7" x14ac:dyDescent="0.2">
      <c r="A2249" t="s" s="0">
        <v>1748</v>
      </c>
      <c r="B2249" s="2">
        <v>1031067</v>
      </c>
      <c r="C2249" s="2">
        <v>39929</v>
      </c>
      <c r="D2249" s="2">
        <v>43123</v>
      </c>
      <c r="E2249" s="2">
        <v>49130</v>
      </c>
      <c r="F2249" s="2">
        <v>40243</v>
      </c>
      <c r="G2249" s="2">
        <v>48827</v>
      </c>
    </row>
    <row r="2250" spans="1:7" x14ac:dyDescent="0.2">
      <c r="A2250" t="s" s="0">
        <v>1747</v>
      </c>
      <c r="B2250" s="2">
        <v>1109602</v>
      </c>
      <c r="C2250" s="2">
        <v>44392</v>
      </c>
      <c r="D2250" s="2">
        <v>43456</v>
      </c>
      <c r="E2250" s="2">
        <v>48571</v>
      </c>
      <c r="F2250" s="2">
        <v>58820</v>
      </c>
      <c r="G2250" s="2">
        <v>49247</v>
      </c>
    </row>
    <row r="2251" spans="1:7" x14ac:dyDescent="0.2">
      <c r="A2251" t="s" s="0">
        <v>1746</v>
      </c>
      <c r="B2251" s="3">
        <v>1109602</v>
      </c>
      <c r="C2251" s="3">
        <v>44392</v>
      </c>
      <c r="D2251" s="3">
        <v>43456</v>
      </c>
      <c r="E2251" s="3">
        <v>48571</v>
      </c>
      <c r="F2251" s="3">
        <v>58820</v>
      </c>
      <c r="G2251" s="3">
        <v>49247</v>
      </c>
    </row>
    <row r="2252" spans="1:7" x14ac:dyDescent="0.2">
      <c r="A2252" t="s" s="0">
        <v>1745</v>
      </c>
      <c r="B2252" s="3">
        <v>1109602</v>
      </c>
      <c r="C2252" s="3">
        <v>44392</v>
      </c>
      <c r="D2252" s="3">
        <v>43456</v>
      </c>
      <c r="E2252" s="3">
        <v>48571</v>
      </c>
      <c r="F2252" s="3">
        <v>58820</v>
      </c>
      <c r="G2252" s="3">
        <v>49247</v>
      </c>
    </row>
    <row r="2253" spans="1:7" x14ac:dyDescent="0.2">
      <c r="A2253" t="s" s="0">
        <v>1744</v>
      </c>
      <c r="B2253" s="2">
        <v>1028315</v>
      </c>
      <c r="C2253" s="2">
        <v>27571</v>
      </c>
      <c r="D2253" s="2">
        <v>46538</v>
      </c>
      <c r="E2253" s="2">
        <v>49351</v>
      </c>
      <c r="F2253" s="2">
        <v>54403</v>
      </c>
      <c r="G2253" s="2">
        <v>49754</v>
      </c>
    </row>
    <row r="2254" spans="1:7" x14ac:dyDescent="0.2">
      <c r="A2254" t="s" s="0">
        <v>1743</v>
      </c>
      <c r="B2254" s="2">
        <v>1009050</v>
      </c>
      <c r="C2254" s="2">
        <v>44443</v>
      </c>
      <c r="D2254" s="2">
        <v>45590</v>
      </c>
      <c r="E2254" s="2">
        <v>48746</v>
      </c>
      <c r="F2254" s="2">
        <v>58584</v>
      </c>
      <c r="G2254" s="2">
        <v>46700</v>
      </c>
    </row>
    <row r="2255" spans="1:7" x14ac:dyDescent="0.2">
      <c r="A2255" t="s" s="0">
        <v>1742</v>
      </c>
      <c r="B2255" s="2">
        <v>938687</v>
      </c>
      <c r="C2255" s="2">
        <v>46776</v>
      </c>
      <c r="D2255" s="2">
        <v>48980</v>
      </c>
      <c r="E2255" s="2">
        <v>48634</v>
      </c>
      <c r="F2255" s="2">
        <v>42836</v>
      </c>
      <c r="G2255" s="2">
        <v>45839</v>
      </c>
    </row>
    <row r="2256" spans="1:7" x14ac:dyDescent="0.2">
      <c r="A2256" t="s" s="0">
        <v>1741</v>
      </c>
      <c r="B2256" s="2">
        <v>946301</v>
      </c>
      <c r="C2256" s="2">
        <v>42386</v>
      </c>
      <c r="D2256" s="2">
        <v>49331</v>
      </c>
      <c r="E2256" s="2">
        <v>48116</v>
      </c>
      <c r="F2256" s="2">
        <v>37123</v>
      </c>
      <c r="G2256" s="2">
        <v>47213</v>
      </c>
    </row>
    <row r="2257" spans="1:7" x14ac:dyDescent="0.2">
      <c r="A2257" t="s" s="0">
        <v>1740</v>
      </c>
      <c r="B2257" s="2">
        <v>965951</v>
      </c>
      <c r="C2257" s="2">
        <v>50024</v>
      </c>
      <c r="D2257" s="2">
        <v>50590</v>
      </c>
      <c r="E2257" s="2">
        <v>48536</v>
      </c>
      <c r="F2257" s="2">
        <v>29970</v>
      </c>
      <c r="G2257" s="2">
        <v>45000</v>
      </c>
    </row>
    <row r="2258" spans="1:7" x14ac:dyDescent="0.2">
      <c r="A2258" t="s" s="0">
        <v>1739</v>
      </c>
      <c r="B2258" s="3">
        <v>965951</v>
      </c>
      <c r="C2258" s="3">
        <v>50024</v>
      </c>
      <c r="D2258" s="3">
        <v>50590</v>
      </c>
      <c r="E2258" s="3">
        <v>48536</v>
      </c>
      <c r="F2258" s="3">
        <v>29970</v>
      </c>
      <c r="G2258" s="3">
        <v>45000</v>
      </c>
    </row>
    <row r="2259" spans="1:7" x14ac:dyDescent="0.2">
      <c r="A2259" t="s" s="0">
        <v>1738</v>
      </c>
      <c r="B2259" s="3">
        <v>965951</v>
      </c>
      <c r="C2259" s="3">
        <v>50024</v>
      </c>
      <c r="D2259" s="3">
        <v>50590</v>
      </c>
      <c r="E2259" s="3">
        <v>48536</v>
      </c>
      <c r="F2259" s="3">
        <v>29970</v>
      </c>
      <c r="G2259" s="3">
        <v>45000</v>
      </c>
    </row>
    <row r="2260" spans="1:7" x14ac:dyDescent="0.2">
      <c r="A2260" t="s" s="0">
        <v>1737</v>
      </c>
      <c r="B2260" s="2">
        <v>1136871</v>
      </c>
      <c r="C2260" s="2">
        <v>30314</v>
      </c>
      <c r="D2260" s="2">
        <v>48597</v>
      </c>
      <c r="E2260" s="2">
        <v>48651</v>
      </c>
      <c r="F2260" s="2">
        <v>64006</v>
      </c>
      <c r="G2260" s="2">
        <v>49741</v>
      </c>
    </row>
    <row r="2261" spans="1:7" x14ac:dyDescent="0.2">
      <c r="A2261" t="s" s="0">
        <v>1736</v>
      </c>
      <c r="B2261" s="2">
        <v>1163811</v>
      </c>
      <c r="C2261" s="2">
        <v>37895</v>
      </c>
      <c r="D2261" s="2">
        <v>49053</v>
      </c>
      <c r="E2261" s="2">
        <v>48522</v>
      </c>
      <c r="F2261" s="2">
        <v>71083</v>
      </c>
      <c r="G2261" s="2">
        <v>51370</v>
      </c>
    </row>
    <row r="2262" spans="1:7" x14ac:dyDescent="0.2">
      <c r="A2262" t="s" s="0">
        <v>1735</v>
      </c>
      <c r="B2262" s="2">
        <v>1119682</v>
      </c>
      <c r="C2262" s="2">
        <v>42159</v>
      </c>
      <c r="D2262" s="2">
        <v>45277</v>
      </c>
      <c r="E2262" s="2">
        <v>47853</v>
      </c>
      <c r="F2262" s="2">
        <v>70934</v>
      </c>
      <c r="G2262" s="2">
        <v>47795</v>
      </c>
    </row>
    <row r="2263" spans="1:7" x14ac:dyDescent="0.2">
      <c r="A2263" t="s" s="0">
        <v>1734</v>
      </c>
      <c r="B2263" s="2">
        <v>1147030</v>
      </c>
      <c r="C2263" s="2">
        <v>51919</v>
      </c>
      <c r="D2263" s="2">
        <v>47354</v>
      </c>
      <c r="E2263" s="2">
        <v>47982</v>
      </c>
      <c r="F2263" s="2">
        <v>75829</v>
      </c>
      <c r="G2263" s="2">
        <v>49019</v>
      </c>
    </row>
    <row r="2264" spans="1:7" x14ac:dyDescent="0.2">
      <c r="A2264" t="s" s="0">
        <v>1733</v>
      </c>
      <c r="B2264" s="2">
        <v>1170771</v>
      </c>
      <c r="C2264" s="2">
        <v>46126</v>
      </c>
      <c r="D2264" s="2">
        <v>46090</v>
      </c>
      <c r="E2264" s="2">
        <v>47445</v>
      </c>
      <c r="F2264" s="2">
        <v>75150</v>
      </c>
      <c r="G2264" s="2">
        <v>49375</v>
      </c>
    </row>
    <row r="2265" spans="1:7" x14ac:dyDescent="0.2">
      <c r="A2265" t="s" s="0">
        <v>1732</v>
      </c>
      <c r="B2265" s="3">
        <v>1170771</v>
      </c>
      <c r="C2265" s="3">
        <v>46126</v>
      </c>
      <c r="D2265" s="3">
        <v>46090</v>
      </c>
      <c r="E2265" s="3">
        <v>47445</v>
      </c>
      <c r="F2265" s="3">
        <v>75150</v>
      </c>
      <c r="G2265" s="3">
        <v>49375</v>
      </c>
    </row>
    <row r="2266" spans="1:7" x14ac:dyDescent="0.2">
      <c r="A2266" t="s" s="0">
        <v>1731</v>
      </c>
      <c r="B2266" s="3">
        <v>1170771</v>
      </c>
      <c r="C2266" s="3">
        <v>46126</v>
      </c>
      <c r="D2266" s="3">
        <v>46090</v>
      </c>
      <c r="E2266" s="3">
        <v>47445</v>
      </c>
      <c r="F2266" s="3">
        <v>75150</v>
      </c>
      <c r="G2266" s="3">
        <v>49375</v>
      </c>
    </row>
    <row r="2267" spans="1:7" x14ac:dyDescent="0.2">
      <c r="A2267" t="s" s="0">
        <v>1730</v>
      </c>
      <c r="B2267" s="2">
        <v>1132957</v>
      </c>
      <c r="C2267" s="2">
        <v>24209</v>
      </c>
      <c r="D2267" s="2">
        <v>44131</v>
      </c>
      <c r="E2267" s="2">
        <v>46405</v>
      </c>
      <c r="F2267" s="2">
        <v>43372</v>
      </c>
      <c r="G2267" s="2">
        <v>49521</v>
      </c>
    </row>
    <row r="2268" spans="1:7" x14ac:dyDescent="0.2">
      <c r="A2268" t="s" s="0">
        <v>1729</v>
      </c>
      <c r="B2268" s="2">
        <v>1083453</v>
      </c>
      <c r="C2268" s="2">
        <v>38674</v>
      </c>
      <c r="D2268" s="2">
        <v>44288</v>
      </c>
      <c r="E2268" s="2">
        <v>46267</v>
      </c>
      <c r="F2268" s="2">
        <v>31990</v>
      </c>
      <c r="G2268" s="2">
        <v>48822</v>
      </c>
    </row>
    <row r="2269" spans="1:7" x14ac:dyDescent="0.2">
      <c r="A2269" t="s" s="0">
        <v>1728</v>
      </c>
      <c r="B2269" s="2">
        <v>1072895</v>
      </c>
      <c r="C2269" s="2">
        <v>40466</v>
      </c>
      <c r="D2269" s="2">
        <v>46583</v>
      </c>
      <c r="E2269" s="2">
        <v>46482</v>
      </c>
      <c r="F2269" s="2">
        <v>39282</v>
      </c>
      <c r="G2269" s="2">
        <v>50289</v>
      </c>
    </row>
    <row r="2270" spans="1:7" x14ac:dyDescent="0.2">
      <c r="A2270" t="s" s="0">
        <v>1727</v>
      </c>
      <c r="B2270" s="2">
        <v>1112327</v>
      </c>
      <c r="C2270" s="2">
        <v>50557</v>
      </c>
      <c r="D2270" s="2">
        <v>45674</v>
      </c>
      <c r="E2270" s="2">
        <v>46371</v>
      </c>
      <c r="F2270" s="2">
        <v>40099</v>
      </c>
      <c r="G2270" s="2">
        <v>48324</v>
      </c>
    </row>
    <row r="2271" spans="1:7" x14ac:dyDescent="0.2">
      <c r="A2271" t="s" s="0">
        <v>1726</v>
      </c>
      <c r="B2271" s="2">
        <v>1239567</v>
      </c>
      <c r="C2271" s="2">
        <v>47523</v>
      </c>
      <c r="D2271" s="2">
        <v>45152</v>
      </c>
      <c r="E2271" s="2">
        <v>46322</v>
      </c>
      <c r="F2271" s="2">
        <v>53395</v>
      </c>
      <c r="G2271" s="2">
        <v>54334</v>
      </c>
    </row>
    <row r="2272" spans="1:7" x14ac:dyDescent="0.2">
      <c r="A2272" t="s" s="0">
        <v>1725</v>
      </c>
      <c r="B2272" s="3">
        <v>1239567</v>
      </c>
      <c r="C2272" s="3">
        <v>47523</v>
      </c>
      <c r="D2272" s="3">
        <v>45152</v>
      </c>
      <c r="E2272" s="3">
        <v>46322</v>
      </c>
      <c r="F2272" s="3">
        <v>53395</v>
      </c>
      <c r="G2272" s="3">
        <v>54334</v>
      </c>
    </row>
    <row r="2273" spans="1:7" x14ac:dyDescent="0.2">
      <c r="A2273" t="s" s="0">
        <v>1724</v>
      </c>
      <c r="B2273" s="3">
        <v>1239567</v>
      </c>
      <c r="C2273" s="3">
        <v>47523</v>
      </c>
      <c r="D2273" s="3">
        <v>45152</v>
      </c>
      <c r="E2273" s="3">
        <v>46322</v>
      </c>
      <c r="F2273" s="3">
        <v>53395</v>
      </c>
      <c r="G2273" s="3">
        <v>54334</v>
      </c>
    </row>
    <row r="2274" spans="1:7" x14ac:dyDescent="0.2">
      <c r="A2274" t="s" s="0">
        <v>1723</v>
      </c>
      <c r="B2274" s="2">
        <v>1115829</v>
      </c>
      <c r="C2274" s="2">
        <v>29174</v>
      </c>
      <c r="D2274" s="2">
        <v>51003</v>
      </c>
      <c r="E2274" s="2">
        <v>47567</v>
      </c>
      <c r="F2274" s="2">
        <v>46971</v>
      </c>
      <c r="G2274" s="2">
        <v>52188</v>
      </c>
    </row>
    <row r="2275" spans="1:7" x14ac:dyDescent="0.2">
      <c r="A2275" t="s" s="0">
        <v>1722</v>
      </c>
      <c r="B2275" s="2">
        <v>1074345</v>
      </c>
      <c r="C2275" s="2">
        <v>42835</v>
      </c>
      <c r="D2275" s="2">
        <v>50874</v>
      </c>
      <c r="E2275" s="2">
        <v>47451</v>
      </c>
      <c r="F2275" s="2">
        <v>47695</v>
      </c>
      <c r="G2275" s="2">
        <v>52338</v>
      </c>
    </row>
    <row r="2276" spans="1:7" x14ac:dyDescent="0.2">
      <c r="A2276" t="s" s="0">
        <v>1721</v>
      </c>
      <c r="B2276" s="2">
        <v>1166074</v>
      </c>
      <c r="C2276" s="2">
        <v>47067</v>
      </c>
      <c r="D2276" s="2">
        <v>50249</v>
      </c>
      <c r="E2276" s="2">
        <v>47773</v>
      </c>
      <c r="F2276" s="2">
        <v>61683</v>
      </c>
      <c r="G2276" s="2">
        <v>53684</v>
      </c>
    </row>
    <row r="2277" spans="1:7" x14ac:dyDescent="0.2">
      <c r="A2277" t="s" s="0">
        <v>1720</v>
      </c>
      <c r="B2277" s="2">
        <v>1140013</v>
      </c>
      <c r="C2277" s="2">
        <v>48053</v>
      </c>
      <c r="D2277" s="2">
        <v>52464</v>
      </c>
      <c r="E2277" s="2">
        <v>48706</v>
      </c>
      <c r="F2277" s="2">
        <v>54541</v>
      </c>
      <c r="G2277" s="2">
        <v>51898</v>
      </c>
    </row>
    <row r="2278" spans="1:7" x14ac:dyDescent="0.2">
      <c r="A2278" t="s" s="0">
        <v>1719</v>
      </c>
      <c r="B2278" s="2">
        <v>1104741</v>
      </c>
      <c r="C2278" s="2">
        <v>45796</v>
      </c>
      <c r="D2278" s="2">
        <v>52958</v>
      </c>
      <c r="E2278" s="2">
        <v>48698</v>
      </c>
      <c r="F2278" s="2">
        <v>31978</v>
      </c>
      <c r="G2278" s="2">
        <v>47623</v>
      </c>
    </row>
    <row r="2279" spans="1:7" x14ac:dyDescent="0.2">
      <c r="A2279" t="s" s="0">
        <v>1718</v>
      </c>
      <c r="B2279" s="3">
        <v>1104741</v>
      </c>
      <c r="C2279" s="3">
        <v>45796</v>
      </c>
      <c r="D2279" s="3">
        <v>52958</v>
      </c>
      <c r="E2279" s="3">
        <v>48698</v>
      </c>
      <c r="F2279" s="3">
        <v>31978</v>
      </c>
      <c r="G2279" s="3">
        <v>47623</v>
      </c>
    </row>
    <row r="2280" spans="1:7" x14ac:dyDescent="0.2">
      <c r="A2280" t="s" s="0">
        <v>1717</v>
      </c>
      <c r="B2280" s="3">
        <v>1104741</v>
      </c>
      <c r="C2280" s="3">
        <v>45796</v>
      </c>
      <c r="D2280" s="3">
        <v>52958</v>
      </c>
      <c r="E2280" s="3">
        <v>48698</v>
      </c>
      <c r="F2280" s="3">
        <v>31978</v>
      </c>
      <c r="G2280" s="3">
        <v>47623</v>
      </c>
    </row>
    <row r="2281" spans="1:7" x14ac:dyDescent="0.2">
      <c r="A2281" t="s" s="0">
        <v>1716</v>
      </c>
      <c r="B2281" s="2">
        <v>1173488</v>
      </c>
      <c r="C2281" s="2">
        <v>29615</v>
      </c>
      <c r="D2281" s="2">
        <v>47487</v>
      </c>
      <c r="E2281" s="2">
        <v>47804</v>
      </c>
      <c r="F2281" s="2">
        <v>54004</v>
      </c>
      <c r="G2281" s="2">
        <v>52088</v>
      </c>
    </row>
    <row r="2282" spans="1:7" x14ac:dyDescent="0.2">
      <c r="A2282" t="s" s="0">
        <v>1715</v>
      </c>
      <c r="B2282" s="2">
        <v>1155049</v>
      </c>
      <c r="C2282" s="2">
        <v>45033</v>
      </c>
      <c r="D2282" s="2">
        <v>47087</v>
      </c>
      <c r="E2282" s="2">
        <v>47826</v>
      </c>
      <c r="F2282" s="2">
        <v>56940</v>
      </c>
      <c r="G2282" s="2">
        <v>51927</v>
      </c>
    </row>
    <row r="2283" spans="1:7" x14ac:dyDescent="0.2">
      <c r="A2283" t="s" s="0">
        <v>1714</v>
      </c>
      <c r="B2283" s="2">
        <v>1108301</v>
      </c>
      <c r="C2283" s="2">
        <v>42651</v>
      </c>
      <c r="D2283" s="2">
        <v>47147</v>
      </c>
      <c r="E2283" s="2">
        <v>47314</v>
      </c>
      <c r="F2283" s="2">
        <v>37217</v>
      </c>
      <c r="G2283" s="2">
        <v>52279</v>
      </c>
    </row>
    <row r="2284" spans="1:7" x14ac:dyDescent="0.2">
      <c r="A2284" t="s" s="0">
        <v>1713</v>
      </c>
      <c r="B2284" s="2">
        <v>1066893</v>
      </c>
      <c r="C2284" s="2">
        <v>42270</v>
      </c>
      <c r="D2284" s="2">
        <v>43748</v>
      </c>
      <c r="E2284" s="2">
        <v>47310</v>
      </c>
      <c r="F2284" s="2">
        <v>31503</v>
      </c>
      <c r="G2284" s="2">
        <v>50493</v>
      </c>
    </row>
    <row r="2285" spans="1:7" x14ac:dyDescent="0.2">
      <c r="A2285" t="s" s="0">
        <v>1712</v>
      </c>
      <c r="B2285" s="2">
        <v>1175232</v>
      </c>
      <c r="C2285" s="2">
        <v>43110</v>
      </c>
      <c r="D2285" s="2">
        <v>42623</v>
      </c>
      <c r="E2285" s="2">
        <v>46706</v>
      </c>
      <c r="F2285" s="2">
        <v>50287</v>
      </c>
      <c r="G2285" s="2">
        <v>52702</v>
      </c>
    </row>
    <row r="2286" spans="1:7" x14ac:dyDescent="0.2">
      <c r="A2286" t="s" s="0">
        <v>1711</v>
      </c>
      <c r="B2286" s="3">
        <v>1175232</v>
      </c>
      <c r="C2286" s="3">
        <v>43110</v>
      </c>
      <c r="D2286" s="3">
        <v>42623</v>
      </c>
      <c r="E2286" s="3">
        <v>46706</v>
      </c>
      <c r="F2286" s="3">
        <v>50287</v>
      </c>
      <c r="G2286" s="3">
        <v>52702</v>
      </c>
    </row>
    <row r="2287" spans="1:7" x14ac:dyDescent="0.2">
      <c r="A2287" t="s" s="0">
        <v>1710</v>
      </c>
      <c r="B2287" s="3">
        <v>1175232</v>
      </c>
      <c r="C2287" s="3">
        <v>43110</v>
      </c>
      <c r="D2287" s="3">
        <v>42623</v>
      </c>
      <c r="E2287" s="3">
        <v>46706</v>
      </c>
      <c r="F2287" s="3">
        <v>50287</v>
      </c>
      <c r="G2287" s="3">
        <v>52702</v>
      </c>
    </row>
    <row r="2288" spans="1:7" x14ac:dyDescent="0.2">
      <c r="A2288" t="s" s="0">
        <v>1709</v>
      </c>
      <c r="B2288" s="2">
        <v>1054714</v>
      </c>
      <c r="C2288" s="2">
        <v>29174</v>
      </c>
      <c r="D2288" s="2">
        <v>44061</v>
      </c>
      <c r="E2288" s="2">
        <v>46670</v>
      </c>
      <c r="F2288" s="2">
        <v>24686</v>
      </c>
      <c r="G2288" s="2">
        <v>42258</v>
      </c>
    </row>
    <row r="2289" spans="1:7" x14ac:dyDescent="0.2">
      <c r="A2289" t="s" s="0">
        <v>1708</v>
      </c>
      <c r="B2289" s="2">
        <v>1022549</v>
      </c>
      <c r="C2289" s="2">
        <v>48301</v>
      </c>
      <c r="D2289" s="2">
        <v>47066</v>
      </c>
      <c r="E2289" s="2">
        <v>47329</v>
      </c>
      <c r="F2289" s="2">
        <v>25325</v>
      </c>
      <c r="G2289" s="2">
        <v>40488</v>
      </c>
    </row>
    <row r="2290" spans="1:7" x14ac:dyDescent="0.2">
      <c r="A2290" t="s" s="0">
        <v>1707</v>
      </c>
      <c r="B2290" s="2">
        <v>1078343</v>
      </c>
      <c r="C2290" s="2">
        <v>48971</v>
      </c>
      <c r="D2290" s="2">
        <v>46316</v>
      </c>
      <c r="E2290" s="2">
        <v>47574</v>
      </c>
      <c r="F2290" s="2">
        <v>39225</v>
      </c>
      <c r="G2290" s="2">
        <v>44352</v>
      </c>
    </row>
    <row r="2291" spans="1:7" x14ac:dyDescent="0.2">
      <c r="A2291" t="s" s="0">
        <v>1706</v>
      </c>
      <c r="B2291" s="2">
        <v>1056888</v>
      </c>
      <c r="C2291" s="2">
        <v>40569</v>
      </c>
      <c r="D2291" s="2">
        <v>46780</v>
      </c>
      <c r="E2291" s="2">
        <v>47167</v>
      </c>
      <c r="F2291" s="2">
        <v>42662</v>
      </c>
      <c r="G2291" s="2">
        <v>42201</v>
      </c>
    </row>
    <row r="2292" spans="1:7" x14ac:dyDescent="0.2">
      <c r="A2292" t="s" s="0">
        <v>1705</v>
      </c>
      <c r="B2292" s="2">
        <v>1068905</v>
      </c>
      <c r="C2292" s="2">
        <v>49900</v>
      </c>
      <c r="D2292" s="2">
        <v>47750</v>
      </c>
      <c r="E2292" s="2">
        <v>47121</v>
      </c>
      <c r="F2292" s="2">
        <v>31016</v>
      </c>
      <c r="G2292" s="2">
        <v>41669</v>
      </c>
    </row>
    <row r="2293" spans="1:7" x14ac:dyDescent="0.2">
      <c r="A2293" t="s" s="0">
        <v>1704</v>
      </c>
      <c r="B2293" s="3">
        <v>1068905</v>
      </c>
      <c r="C2293" s="3">
        <v>49900</v>
      </c>
      <c r="D2293" s="3">
        <v>47750</v>
      </c>
      <c r="E2293" s="3">
        <v>47121</v>
      </c>
      <c r="F2293" s="3">
        <v>31016</v>
      </c>
      <c r="G2293" s="3">
        <v>41669</v>
      </c>
    </row>
    <row r="2294" spans="1:7" x14ac:dyDescent="0.2">
      <c r="A2294" t="s" s="0">
        <v>1703</v>
      </c>
      <c r="B2294" s="3">
        <v>1068905</v>
      </c>
      <c r="C2294" s="3">
        <v>49900</v>
      </c>
      <c r="D2294" s="3">
        <v>47750</v>
      </c>
      <c r="E2294" s="3">
        <v>47121</v>
      </c>
      <c r="F2294" s="3">
        <v>31016</v>
      </c>
      <c r="G2294" s="3">
        <v>41669</v>
      </c>
    </row>
    <row r="2295" spans="1:7" x14ac:dyDescent="0.2">
      <c r="A2295" t="s" s="0">
        <v>1702</v>
      </c>
      <c r="B2295" s="2">
        <v>1060792</v>
      </c>
      <c r="C2295" s="2">
        <v>27737</v>
      </c>
      <c r="D2295" s="2">
        <v>48108</v>
      </c>
      <c r="E2295" s="2">
        <v>47665</v>
      </c>
      <c r="F2295" s="2">
        <v>47357</v>
      </c>
      <c r="G2295" s="2">
        <v>43255</v>
      </c>
    </row>
    <row r="2296" spans="1:7" x14ac:dyDescent="0.2">
      <c r="A2296" t="s" s="0">
        <v>1701</v>
      </c>
      <c r="B2296" s="2">
        <v>1076408</v>
      </c>
      <c r="C2296" s="2">
        <v>42135</v>
      </c>
      <c r="D2296" s="2">
        <v>45403</v>
      </c>
      <c r="E2296" s="2">
        <v>47608</v>
      </c>
      <c r="F2296" s="2">
        <v>52251</v>
      </c>
      <c r="G2296" s="2">
        <v>45553</v>
      </c>
    </row>
    <row r="2297" spans="1:7" x14ac:dyDescent="0.2">
      <c r="A2297" t="s" s="0">
        <v>1700</v>
      </c>
      <c r="B2297" s="2">
        <v>1105481</v>
      </c>
      <c r="C2297" s="2">
        <v>51421</v>
      </c>
      <c r="D2297" s="2">
        <v>45291</v>
      </c>
      <c r="E2297" s="2">
        <v>47251</v>
      </c>
      <c r="F2297" s="2">
        <v>48245</v>
      </c>
      <c r="G2297" s="2">
        <v>46592</v>
      </c>
    </row>
    <row r="2298" spans="1:7" x14ac:dyDescent="0.2">
      <c r="A2298" t="s" s="0">
        <v>1699</v>
      </c>
      <c r="B2298" s="2">
        <v>1048131</v>
      </c>
      <c r="C2298" s="2">
        <v>47107</v>
      </c>
      <c r="D2298" s="2">
        <v>46982</v>
      </c>
      <c r="E2298" s="2">
        <v>47493</v>
      </c>
      <c r="F2298" s="2">
        <v>44808</v>
      </c>
      <c r="G2298" s="2">
        <v>43379</v>
      </c>
    </row>
    <row r="2299" spans="1:7" x14ac:dyDescent="0.2">
      <c r="A2299" t="s" s="0">
        <v>1698</v>
      </c>
      <c r="B2299" s="2">
        <v>1020975</v>
      </c>
      <c r="C2299" s="2">
        <v>43472</v>
      </c>
      <c r="D2299" s="2">
        <v>48992</v>
      </c>
      <c r="E2299" s="2">
        <v>48081</v>
      </c>
      <c r="F2299" s="2">
        <v>41259</v>
      </c>
      <c r="G2299" s="2">
        <v>38635</v>
      </c>
    </row>
    <row r="2300" spans="1:7" x14ac:dyDescent="0.2">
      <c r="A2300" t="s" s="0">
        <v>1697</v>
      </c>
      <c r="B2300" s="3">
        <v>1020975</v>
      </c>
      <c r="C2300" s="3">
        <v>43472</v>
      </c>
      <c r="D2300" s="3">
        <v>48992</v>
      </c>
      <c r="E2300" s="3">
        <v>48081</v>
      </c>
      <c r="F2300" s="3">
        <v>41259</v>
      </c>
      <c r="G2300" s="3">
        <v>38635</v>
      </c>
    </row>
    <row r="2301" spans="1:7" x14ac:dyDescent="0.2">
      <c r="A2301" t="s" s="0">
        <v>1696</v>
      </c>
      <c r="B2301" s="3">
        <v>1020975</v>
      </c>
      <c r="C2301" s="3">
        <v>43472</v>
      </c>
      <c r="D2301" s="3">
        <v>48992</v>
      </c>
      <c r="E2301" s="3">
        <v>48081</v>
      </c>
      <c r="F2301" s="3">
        <v>41259</v>
      </c>
      <c r="G2301" s="3">
        <v>38635</v>
      </c>
    </row>
    <row r="2302" spans="1:7" x14ac:dyDescent="0.2">
      <c r="A2302" t="s" s="0">
        <v>1695</v>
      </c>
      <c r="B2302" s="2">
        <v>1065537</v>
      </c>
      <c r="C2302" s="2">
        <v>25251</v>
      </c>
      <c r="D2302" s="2">
        <v>49312</v>
      </c>
      <c r="E2302" s="2">
        <v>47242</v>
      </c>
      <c r="F2302" s="2">
        <v>49177</v>
      </c>
      <c r="G2302" s="2">
        <v>43806</v>
      </c>
    </row>
    <row r="2303" spans="1:7" x14ac:dyDescent="0.2">
      <c r="A2303" t="s" s="0">
        <v>1694</v>
      </c>
      <c r="B2303" s="2">
        <v>1106317</v>
      </c>
      <c r="C2303" s="2">
        <v>39539</v>
      </c>
      <c r="D2303" s="2">
        <v>48227</v>
      </c>
      <c r="E2303" s="2">
        <v>46946</v>
      </c>
      <c r="F2303" s="2">
        <v>51724</v>
      </c>
      <c r="G2303" s="2">
        <v>46560</v>
      </c>
    </row>
    <row r="2304" spans="1:7" x14ac:dyDescent="0.2">
      <c r="A2304" t="s" s="0">
        <v>1693</v>
      </c>
      <c r="B2304" s="2">
        <v>1118575</v>
      </c>
      <c r="C2304" s="2">
        <v>49395</v>
      </c>
      <c r="D2304" s="2">
        <v>47932</v>
      </c>
      <c r="E2304" s="2">
        <v>46672</v>
      </c>
      <c r="F2304" s="2">
        <v>49104</v>
      </c>
      <c r="G2304" s="2">
        <v>43448</v>
      </c>
    </row>
    <row r="2305" spans="1:7" x14ac:dyDescent="0.2">
      <c r="A2305" t="s" s="0">
        <v>1692</v>
      </c>
      <c r="B2305" s="2">
        <v>1158480</v>
      </c>
      <c r="C2305" s="2">
        <v>40062</v>
      </c>
      <c r="D2305" s="2">
        <v>45463</v>
      </c>
      <c r="E2305" s="2">
        <v>45743</v>
      </c>
      <c r="F2305" s="2">
        <v>60477</v>
      </c>
      <c r="G2305" s="2">
        <v>44862</v>
      </c>
    </row>
    <row r="2306" spans="1:7" x14ac:dyDescent="0.2">
      <c r="A2306" t="s" s="0">
        <v>1691</v>
      </c>
      <c r="B2306" s="2">
        <v>1114116</v>
      </c>
      <c r="C2306" s="2">
        <v>46292</v>
      </c>
      <c r="D2306" s="2">
        <v>42937</v>
      </c>
      <c r="E2306" s="2">
        <v>45576</v>
      </c>
      <c r="F2306" s="2">
        <v>55454</v>
      </c>
      <c r="G2306" s="2">
        <v>44504</v>
      </c>
    </row>
    <row r="2307" spans="1:7" x14ac:dyDescent="0.2">
      <c r="A2307" t="s" s="0">
        <v>1690</v>
      </c>
      <c r="B2307" s="3">
        <v>1114116</v>
      </c>
      <c r="C2307" s="3">
        <v>46292</v>
      </c>
      <c r="D2307" s="3">
        <v>42937</v>
      </c>
      <c r="E2307" s="3">
        <v>45576</v>
      </c>
      <c r="F2307" s="3">
        <v>55454</v>
      </c>
      <c r="G2307" s="3">
        <v>44504</v>
      </c>
    </row>
    <row r="2308" spans="1:7" x14ac:dyDescent="0.2">
      <c r="A2308" t="s" s="0">
        <v>1689</v>
      </c>
      <c r="B2308" s="3">
        <v>1114116</v>
      </c>
      <c r="C2308" s="3">
        <v>46292</v>
      </c>
      <c r="D2308" s="3">
        <v>42937</v>
      </c>
      <c r="E2308" s="3">
        <v>45576</v>
      </c>
      <c r="F2308" s="3">
        <v>55454</v>
      </c>
      <c r="G2308" s="3">
        <v>44504</v>
      </c>
    </row>
    <row r="2309" spans="1:7" x14ac:dyDescent="0.2">
      <c r="A2309" t="s" s="0">
        <v>1688</v>
      </c>
      <c r="B2309" s="2">
        <v>1151197</v>
      </c>
      <c r="C2309" s="2">
        <v>27978</v>
      </c>
      <c r="D2309" s="2">
        <v>40621</v>
      </c>
      <c r="E2309" s="2">
        <v>45525</v>
      </c>
      <c r="F2309" s="2">
        <v>52070</v>
      </c>
      <c r="G2309" s="2">
        <v>43323</v>
      </c>
    </row>
    <row r="2310" spans="1:7" x14ac:dyDescent="0.2">
      <c r="A2310" t="s" s="0">
        <v>1687</v>
      </c>
      <c r="B2310" s="2">
        <v>1239067</v>
      </c>
      <c r="C2310" s="2">
        <v>35378</v>
      </c>
      <c r="D2310" s="2">
        <v>40740</v>
      </c>
      <c r="E2310" s="2">
        <v>45359</v>
      </c>
      <c r="F2310" s="2">
        <v>58945</v>
      </c>
      <c r="G2310" s="2">
        <v>47062</v>
      </c>
    </row>
    <row r="2311" spans="1:7" x14ac:dyDescent="0.2">
      <c r="A2311" t="s" s="0">
        <v>1686</v>
      </c>
      <c r="B2311" s="2">
        <v>1189293</v>
      </c>
      <c r="C2311" s="2">
        <v>43784</v>
      </c>
      <c r="D2311" s="2">
        <v>39938</v>
      </c>
      <c r="E2311" s="2">
        <v>44869</v>
      </c>
      <c r="F2311" s="2">
        <v>49282</v>
      </c>
      <c r="G2311" s="2">
        <v>46464</v>
      </c>
    </row>
    <row r="2312" spans="1:7" x14ac:dyDescent="0.2">
      <c r="A2312" t="s" s="0">
        <v>1685</v>
      </c>
      <c r="B2312" s="2">
        <v>1239076</v>
      </c>
      <c r="C2312" s="2">
        <v>40183</v>
      </c>
      <c r="D2312" s="2">
        <v>39955</v>
      </c>
      <c r="E2312" s="2">
        <v>44795</v>
      </c>
      <c r="F2312" s="2">
        <v>50762</v>
      </c>
      <c r="G2312" s="2">
        <v>49677</v>
      </c>
    </row>
    <row r="2313" spans="1:7" x14ac:dyDescent="0.2">
      <c r="A2313" t="s" s="0">
        <v>1684</v>
      </c>
      <c r="B2313" s="2">
        <v>1288290</v>
      </c>
      <c r="C2313" s="2">
        <v>43023</v>
      </c>
      <c r="D2313" s="2">
        <v>43060</v>
      </c>
      <c r="E2313" s="2">
        <v>45685</v>
      </c>
      <c r="F2313" s="2">
        <v>67195</v>
      </c>
      <c r="G2313" s="2">
        <v>48731</v>
      </c>
    </row>
    <row r="2314" spans="1:7" x14ac:dyDescent="0.2">
      <c r="A2314" t="s" s="0">
        <v>1683</v>
      </c>
      <c r="B2314" s="3">
        <v>1288290</v>
      </c>
      <c r="C2314" s="3">
        <v>43023</v>
      </c>
      <c r="D2314" s="3">
        <v>43060</v>
      </c>
      <c r="E2314" s="3">
        <v>45685</v>
      </c>
      <c r="F2314" s="3">
        <v>67195</v>
      </c>
      <c r="G2314" s="3">
        <v>48731</v>
      </c>
    </row>
    <row r="2315" spans="1:7" x14ac:dyDescent="0.2">
      <c r="A2315" t="s" s="0">
        <v>1682</v>
      </c>
      <c r="B2315" s="3">
        <v>1288290</v>
      </c>
      <c r="C2315" s="3">
        <v>43023</v>
      </c>
      <c r="D2315" s="3">
        <v>43060</v>
      </c>
      <c r="E2315" s="3">
        <v>45685</v>
      </c>
      <c r="F2315" s="3">
        <v>67195</v>
      </c>
      <c r="G2315" s="3">
        <v>48731</v>
      </c>
    </row>
    <row r="2316" spans="1:7" x14ac:dyDescent="0.2">
      <c r="A2316" t="s" s="0">
        <v>1681</v>
      </c>
      <c r="B2316" s="2">
        <v>1261739</v>
      </c>
      <c r="C2316" s="2">
        <v>28638</v>
      </c>
      <c r="D2316" s="2">
        <v>44931</v>
      </c>
      <c r="E2316" s="2">
        <v>45743</v>
      </c>
      <c r="F2316" s="2">
        <v>59757</v>
      </c>
      <c r="G2316" s="2">
        <v>52090</v>
      </c>
    </row>
    <row r="2317" spans="1:7" x14ac:dyDescent="0.2">
      <c r="A2317" t="s" s="0">
        <v>1680</v>
      </c>
      <c r="B2317" s="2">
        <v>1305712</v>
      </c>
      <c r="C2317" s="2">
        <v>42927</v>
      </c>
      <c r="D2317" s="2">
        <v>45831</v>
      </c>
      <c r="E2317" s="2">
        <v>45050</v>
      </c>
      <c r="F2317" s="2">
        <v>53404</v>
      </c>
      <c r="G2317" s="2">
        <v>54081</v>
      </c>
    </row>
    <row r="2318" spans="1:7" x14ac:dyDescent="0.2">
      <c r="A2318" t="s" s="0">
        <v>1679</v>
      </c>
      <c r="B2318" s="2">
        <v>1242344</v>
      </c>
      <c r="C2318" s="2">
        <v>43528</v>
      </c>
      <c r="D2318" s="2">
        <v>47947</v>
      </c>
      <c r="E2318" s="2">
        <v>45277</v>
      </c>
      <c r="F2318" s="2">
        <v>53545</v>
      </c>
      <c r="G2318" s="2">
        <v>50044</v>
      </c>
    </row>
    <row r="2319" spans="1:7" x14ac:dyDescent="0.2">
      <c r="A2319" t="s" s="0">
        <v>1678</v>
      </c>
      <c r="B2319" s="2">
        <v>1262453</v>
      </c>
      <c r="C2319" s="2">
        <v>42900</v>
      </c>
      <c r="D2319" s="2">
        <v>48335</v>
      </c>
      <c r="E2319" s="2">
        <v>45184</v>
      </c>
      <c r="F2319" s="2">
        <v>49694</v>
      </c>
      <c r="G2319" s="2">
        <v>51435</v>
      </c>
    </row>
    <row r="2320" spans="1:7" x14ac:dyDescent="0.2">
      <c r="A2320" t="s" s="0">
        <v>1677</v>
      </c>
      <c r="B2320" s="2">
        <v>1248625</v>
      </c>
      <c r="C2320" s="2">
        <v>39582</v>
      </c>
      <c r="D2320" s="2">
        <v>47231</v>
      </c>
      <c r="E2320" s="2">
        <v>45555</v>
      </c>
      <c r="F2320" s="2">
        <v>38242</v>
      </c>
      <c r="G2320" s="2">
        <v>50537</v>
      </c>
    </row>
    <row r="2321" spans="1:7" x14ac:dyDescent="0.2">
      <c r="A2321" t="s" s="0">
        <v>1676</v>
      </c>
      <c r="B2321" s="3">
        <v>1248625</v>
      </c>
      <c r="C2321" s="3">
        <v>39582</v>
      </c>
      <c r="D2321" s="3">
        <v>47231</v>
      </c>
      <c r="E2321" s="3">
        <v>45555</v>
      </c>
      <c r="F2321" s="3">
        <v>38242</v>
      </c>
      <c r="G2321" s="3">
        <v>50537</v>
      </c>
    </row>
    <row r="2322" spans="1:7" x14ac:dyDescent="0.2">
      <c r="A2322" t="s" s="0">
        <v>1675</v>
      </c>
      <c r="B2322" s="3">
        <v>1248625</v>
      </c>
      <c r="C2322" s="3">
        <v>39582</v>
      </c>
      <c r="D2322" s="3">
        <v>47231</v>
      </c>
      <c r="E2322" s="3">
        <v>45555</v>
      </c>
      <c r="F2322" s="3">
        <v>38242</v>
      </c>
      <c r="G2322" s="3">
        <v>50537</v>
      </c>
    </row>
    <row r="2323" spans="1:7" x14ac:dyDescent="0.2">
      <c r="A2323" t="s" s="0">
        <v>1674</v>
      </c>
      <c r="B2323" s="2">
        <v>1281024</v>
      </c>
      <c r="C2323" s="2">
        <v>25498</v>
      </c>
      <c r="D2323" s="2">
        <v>49142</v>
      </c>
      <c r="E2323" s="2">
        <v>46001</v>
      </c>
      <c r="F2323" s="2">
        <v>48793</v>
      </c>
      <c r="G2323" s="2">
        <v>52449</v>
      </c>
    </row>
    <row r="2324" spans="1:7" x14ac:dyDescent="0.2">
      <c r="A2324" t="s" s="0">
        <v>1673</v>
      </c>
      <c r="B2324" s="2">
        <v>1232572</v>
      </c>
      <c r="C2324" s="2">
        <v>47896</v>
      </c>
      <c r="D2324" s="2">
        <v>51022</v>
      </c>
      <c r="E2324" s="2">
        <v>46455</v>
      </c>
      <c r="F2324" s="2">
        <v>38195</v>
      </c>
      <c r="G2324" s="2">
        <v>50567</v>
      </c>
    </row>
    <row r="2325" spans="1:7" x14ac:dyDescent="0.2">
      <c r="A2325" t="s" s="0">
        <v>1672</v>
      </c>
      <c r="B2325" s="2">
        <v>1356929</v>
      </c>
      <c r="C2325" s="2">
        <v>43704</v>
      </c>
      <c r="D2325" s="2">
        <v>50295</v>
      </c>
      <c r="E2325" s="2">
        <v>46528</v>
      </c>
      <c r="F2325" s="2">
        <v>64235</v>
      </c>
      <c r="G2325" s="2">
        <v>54042</v>
      </c>
    </row>
    <row r="2326" spans="1:7" x14ac:dyDescent="0.2">
      <c r="A2326" t="s" s="0">
        <v>1671</v>
      </c>
      <c r="B2326" s="2">
        <v>1369093</v>
      </c>
      <c r="C2326" s="2">
        <v>37811</v>
      </c>
      <c r="D2326" s="2">
        <v>49568</v>
      </c>
      <c r="E2326" s="2">
        <v>45830</v>
      </c>
      <c r="F2326" s="2">
        <v>62373</v>
      </c>
      <c r="G2326" s="2">
        <v>55826</v>
      </c>
    </row>
    <row r="2327" spans="1:7" x14ac:dyDescent="0.2">
      <c r="A2327" t="s" s="0">
        <v>1670</v>
      </c>
      <c r="B2327" s="2">
        <v>1318581</v>
      </c>
      <c r="C2327" s="2">
        <v>40061</v>
      </c>
      <c r="D2327" s="2">
        <v>48248</v>
      </c>
      <c r="E2327" s="2">
        <v>45369</v>
      </c>
      <c r="F2327" s="2">
        <v>57368</v>
      </c>
      <c r="G2327" s="2">
        <v>54565</v>
      </c>
    </row>
    <row r="2328" spans="1:7" x14ac:dyDescent="0.2">
      <c r="A2328" t="s" s="0">
        <v>1669</v>
      </c>
      <c r="B2328" s="3">
        <v>1318581</v>
      </c>
      <c r="C2328" s="3">
        <v>40061</v>
      </c>
      <c r="D2328" s="3">
        <v>48248</v>
      </c>
      <c r="E2328" s="3">
        <v>45369</v>
      </c>
      <c r="F2328" s="3">
        <v>57368</v>
      </c>
      <c r="G2328" s="3">
        <v>54565</v>
      </c>
    </row>
    <row r="2329" spans="1:7" x14ac:dyDescent="0.2">
      <c r="A2329" t="s" s="0">
        <v>1668</v>
      </c>
      <c r="B2329" s="3">
        <v>1318581</v>
      </c>
      <c r="C2329" s="3">
        <v>40061</v>
      </c>
      <c r="D2329" s="3">
        <v>48248</v>
      </c>
      <c r="E2329" s="3">
        <v>45369</v>
      </c>
      <c r="F2329" s="3">
        <v>57368</v>
      </c>
      <c r="G2329" s="3">
        <v>54565</v>
      </c>
    </row>
    <row r="2330" spans="1:7" x14ac:dyDescent="0.2">
      <c r="A2330" t="s" s="0">
        <v>1667</v>
      </c>
      <c r="B2330" s="2">
        <v>1341460</v>
      </c>
      <c r="C2330" s="2">
        <v>27195</v>
      </c>
      <c r="D2330" s="2">
        <v>44906</v>
      </c>
      <c r="E2330" s="2">
        <v>44900</v>
      </c>
      <c r="F2330" s="2">
        <v>52666</v>
      </c>
      <c r="G2330" s="2">
        <v>53321</v>
      </c>
    </row>
    <row r="2331" spans="1:7" x14ac:dyDescent="0.2">
      <c r="A2331" t="s" s="0">
        <v>1666</v>
      </c>
      <c r="B2331" s="2">
        <v>1425494</v>
      </c>
      <c r="C2331" s="2">
        <v>44678</v>
      </c>
      <c r="D2331" s="2">
        <v>43891</v>
      </c>
      <c r="E2331" s="2">
        <v>45371</v>
      </c>
      <c r="F2331" s="2">
        <v>70748</v>
      </c>
      <c r="G2331" s="2">
        <v>55323</v>
      </c>
    </row>
    <row r="2332" spans="1:7" x14ac:dyDescent="0.2">
      <c r="A2332" t="s" s="0">
        <v>1665</v>
      </c>
      <c r="B2332" s="2">
        <v>1388448</v>
      </c>
      <c r="C2332" s="2">
        <v>37475</v>
      </c>
      <c r="D2332" s="2">
        <v>43022</v>
      </c>
      <c r="E2332" s="2">
        <v>45301</v>
      </c>
      <c r="F2332" s="2">
        <v>46905</v>
      </c>
      <c r="G2332" s="2">
        <v>53492</v>
      </c>
    </row>
    <row r="2333" spans="1:7" x14ac:dyDescent="0.2">
      <c r="A2333" t="s" s="0">
        <v>1664</v>
      </c>
      <c r="B2333" s="2">
        <v>1382067</v>
      </c>
      <c r="C2333" s="2">
        <v>41230</v>
      </c>
      <c r="D2333" s="2">
        <v>43511</v>
      </c>
      <c r="E2333" s="2">
        <v>45342</v>
      </c>
      <c r="F2333" s="2">
        <v>44744</v>
      </c>
      <c r="G2333" s="2">
        <v>51893</v>
      </c>
    </row>
    <row r="2334" spans="1:7" x14ac:dyDescent="0.2">
      <c r="A2334" t="s" s="0">
        <v>1663</v>
      </c>
      <c r="B2334" s="2">
        <v>1449370</v>
      </c>
      <c r="C2334" s="2">
        <v>39210</v>
      </c>
      <c r="D2334" s="2">
        <v>41819</v>
      </c>
      <c r="E2334" s="2">
        <v>45089</v>
      </c>
      <c r="F2334" s="2">
        <v>59768</v>
      </c>
      <c r="G2334" s="2">
        <v>55643</v>
      </c>
    </row>
    <row r="2335" spans="1:7" x14ac:dyDescent="0.2">
      <c r="A2335" t="s" s="0">
        <v>1662</v>
      </c>
      <c r="B2335" s="3">
        <v>1449370</v>
      </c>
      <c r="C2335" s="3">
        <v>39210</v>
      </c>
      <c r="D2335" s="3">
        <v>41819</v>
      </c>
      <c r="E2335" s="3">
        <v>45089</v>
      </c>
      <c r="F2335" s="3">
        <v>59768</v>
      </c>
      <c r="G2335" s="3">
        <v>55643</v>
      </c>
    </row>
    <row r="2336" spans="1:7" x14ac:dyDescent="0.2">
      <c r="A2336" t="s" s="0">
        <v>1661</v>
      </c>
      <c r="B2336" s="3">
        <v>1449370</v>
      </c>
      <c r="C2336" s="3">
        <v>39210</v>
      </c>
      <c r="D2336" s="3">
        <v>41819</v>
      </c>
      <c r="E2336" s="3">
        <v>45089</v>
      </c>
      <c r="F2336" s="3">
        <v>59768</v>
      </c>
      <c r="G2336" s="3">
        <v>55643</v>
      </c>
    </row>
    <row r="2337" spans="1:7" x14ac:dyDescent="0.2">
      <c r="A2337" t="s" s="0">
        <v>1660</v>
      </c>
      <c r="B2337" s="2">
        <v>1486046</v>
      </c>
      <c r="C2337" s="2">
        <v>25714</v>
      </c>
      <c r="D2337" s="2">
        <v>39104</v>
      </c>
      <c r="E2337" s="2">
        <v>44521</v>
      </c>
      <c r="F2337" s="2">
        <v>59024</v>
      </c>
      <c r="G2337" s="2">
        <v>55060</v>
      </c>
    </row>
    <row r="2338" spans="1:7" x14ac:dyDescent="0.2">
      <c r="A2338" t="s" s="0">
        <v>1659</v>
      </c>
      <c r="B2338" s="2">
        <v>1448835</v>
      </c>
      <c r="C2338" s="2">
        <v>39370</v>
      </c>
      <c r="D2338" s="2">
        <v>37195</v>
      </c>
      <c r="E2338" s="2">
        <v>44485</v>
      </c>
      <c r="F2338" s="2">
        <v>39869</v>
      </c>
      <c r="G2338" s="2">
        <v>50554</v>
      </c>
    </row>
    <row r="2339" spans="1:7" x14ac:dyDescent="0.2">
      <c r="A2339" t="s" s="0">
        <v>1658</v>
      </c>
      <c r="B2339" s="2">
        <v>1413472</v>
      </c>
      <c r="C2339" s="2">
        <v>44399</v>
      </c>
      <c r="D2339" s="2">
        <v>37914</v>
      </c>
      <c r="E2339" s="2">
        <v>44795</v>
      </c>
      <c r="F2339" s="2">
        <v>40781</v>
      </c>
      <c r="G2339" s="2">
        <v>51366</v>
      </c>
    </row>
    <row r="2340" spans="1:7" x14ac:dyDescent="0.2">
      <c r="A2340" t="s" s="0">
        <v>1657</v>
      </c>
      <c r="B2340" s="2">
        <v>1382002</v>
      </c>
      <c r="C2340" s="2">
        <v>39470</v>
      </c>
      <c r="D2340" s="2">
        <v>37663</v>
      </c>
      <c r="E2340" s="2">
        <v>44769</v>
      </c>
      <c r="F2340" s="2">
        <v>36945</v>
      </c>
      <c r="G2340" s="2">
        <v>48439</v>
      </c>
    </row>
    <row r="2341" spans="1:7" x14ac:dyDescent="0.2">
      <c r="A2341" t="s" s="0">
        <v>1656</v>
      </c>
      <c r="B2341" s="2">
        <v>1468416</v>
      </c>
      <c r="C2341" s="2">
        <v>23723</v>
      </c>
      <c r="D2341" s="2">
        <v>35450</v>
      </c>
      <c r="E2341" s="2">
        <v>43187</v>
      </c>
      <c r="F2341" s="2">
        <v>37678</v>
      </c>
      <c r="G2341" s="2">
        <v>48264</v>
      </c>
    </row>
    <row r="2342" spans="1:7" x14ac:dyDescent="0.2">
      <c r="A2342" t="s" s="0">
        <v>1655</v>
      </c>
      <c r="B2342" s="3">
        <v>1468416</v>
      </c>
      <c r="C2342" s="3">
        <v>23723</v>
      </c>
      <c r="D2342" s="3">
        <v>35450</v>
      </c>
      <c r="E2342" s="3">
        <v>43187</v>
      </c>
      <c r="F2342" s="3">
        <v>37678</v>
      </c>
      <c r="G2342" s="3">
        <v>48264</v>
      </c>
    </row>
    <row r="2343" spans="1:7" x14ac:dyDescent="0.2">
      <c r="A2343" t="s" s="0">
        <v>1654</v>
      </c>
      <c r="B2343" s="3">
        <v>1468416</v>
      </c>
      <c r="C2343" s="3">
        <v>23723</v>
      </c>
      <c r="D2343" s="3">
        <v>35450</v>
      </c>
      <c r="E2343" s="3">
        <v>43187</v>
      </c>
      <c r="F2343" s="3">
        <v>37678</v>
      </c>
      <c r="G2343" s="3">
        <v>48264</v>
      </c>
    </row>
    <row r="2344" spans="1:7" x14ac:dyDescent="0.2">
      <c r="A2344" t="s" s="0">
        <v>1653</v>
      </c>
      <c r="B2344" s="2">
        <v>1495998</v>
      </c>
      <c r="C2344" s="2">
        <v>22122</v>
      </c>
      <c r="D2344" s="2">
        <v>36055</v>
      </c>
      <c r="E2344" s="2">
        <v>42302</v>
      </c>
      <c r="F2344" s="2">
        <v>36984</v>
      </c>
      <c r="G2344" s="2">
        <v>49367</v>
      </c>
    </row>
    <row r="2345" spans="1:7" x14ac:dyDescent="0.2">
      <c r="A2345" t="s" s="0">
        <v>1652</v>
      </c>
      <c r="B2345" s="2">
        <v>1486246</v>
      </c>
      <c r="C2345" s="2">
        <v>30555</v>
      </c>
      <c r="D2345" s="2">
        <v>35939</v>
      </c>
      <c r="E2345" s="2">
        <v>42012</v>
      </c>
      <c r="F2345" s="2">
        <v>40560</v>
      </c>
      <c r="G2345" s="2">
        <v>47343</v>
      </c>
    </row>
    <row r="2346" spans="1:7" x14ac:dyDescent="0.2">
      <c r="A2346" t="s" s="0">
        <v>1651</v>
      </c>
      <c r="B2346" s="2">
        <v>1488855</v>
      </c>
      <c r="C2346" s="2">
        <v>38558</v>
      </c>
      <c r="D2346" s="2">
        <v>33954</v>
      </c>
      <c r="E2346" s="2">
        <v>41296</v>
      </c>
      <c r="F2346" s="2">
        <v>44005</v>
      </c>
      <c r="G2346" s="2">
        <v>48981</v>
      </c>
    </row>
    <row r="2347" spans="1:7" x14ac:dyDescent="0.2">
      <c r="A2347" t="s" s="0">
        <v>1650</v>
      </c>
      <c r="B2347" s="2">
        <v>1507868</v>
      </c>
      <c r="C2347" s="2">
        <v>39738</v>
      </c>
      <c r="D2347" s="2">
        <v>33992</v>
      </c>
      <c r="E2347" s="2">
        <v>41184</v>
      </c>
      <c r="F2347" s="2">
        <v>51255</v>
      </c>
      <c r="G2347" s="2">
        <v>48829</v>
      </c>
    </row>
    <row r="2348" spans="1:7" x14ac:dyDescent="0.2">
      <c r="A2348" t="s" s="0">
        <v>1649</v>
      </c>
      <c r="B2348" s="2">
        <v>1537477</v>
      </c>
      <c r="C2348" s="2">
        <v>35541</v>
      </c>
      <c r="D2348" s="2">
        <v>35681</v>
      </c>
      <c r="E2348" s="2">
        <v>40299</v>
      </c>
      <c r="F2348" s="2">
        <v>44667</v>
      </c>
      <c r="G2348" s="2">
        <v>49870</v>
      </c>
    </row>
    <row r="2349" spans="1:7" x14ac:dyDescent="0.2">
      <c r="A2349" t="s" s="0">
        <v>1648</v>
      </c>
      <c r="B2349" s="3">
        <v>1537477</v>
      </c>
      <c r="C2349" s="3">
        <v>35541</v>
      </c>
      <c r="D2349" s="3">
        <v>35681</v>
      </c>
      <c r="E2349" s="3">
        <v>40299</v>
      </c>
      <c r="F2349" s="3">
        <v>44667</v>
      </c>
      <c r="G2349" s="3">
        <v>49870</v>
      </c>
    </row>
    <row r="2350" spans="1:7" x14ac:dyDescent="0.2">
      <c r="A2350" t="s" s="0">
        <v>1647</v>
      </c>
      <c r="B2350" s="3">
        <v>1537477</v>
      </c>
      <c r="C2350" s="3">
        <v>35541</v>
      </c>
      <c r="D2350" s="3">
        <v>35681</v>
      </c>
      <c r="E2350" s="3">
        <v>40299</v>
      </c>
      <c r="F2350" s="3">
        <v>44667</v>
      </c>
      <c r="G2350" s="3">
        <v>49870</v>
      </c>
    </row>
    <row r="2351" spans="1:7" x14ac:dyDescent="0.2">
      <c r="A2351" t="s" s="0">
        <v>1646</v>
      </c>
      <c r="B2351" s="2">
        <v>1505085</v>
      </c>
      <c r="C2351" s="2">
        <v>24453</v>
      </c>
      <c r="D2351" s="2">
        <v>34272</v>
      </c>
      <c r="E2351" s="2">
        <v>38584</v>
      </c>
      <c r="F2351" s="2">
        <v>34691</v>
      </c>
      <c r="G2351" s="2">
        <v>45841</v>
      </c>
    </row>
    <row r="2352" spans="1:7" x14ac:dyDescent="0.2">
      <c r="A2352" t="s" s="0">
        <v>1645</v>
      </c>
      <c r="B2352" s="2">
        <v>1481859</v>
      </c>
      <c r="C2352" s="2">
        <v>36537</v>
      </c>
      <c r="D2352" s="2">
        <v>33983</v>
      </c>
      <c r="E2352" s="2">
        <v>37752</v>
      </c>
      <c r="F2352" s="2">
        <v>32682</v>
      </c>
      <c r="G2352" s="2">
        <v>45965</v>
      </c>
    </row>
    <row r="2353" spans="1:7" x14ac:dyDescent="0.2">
      <c r="A2353" t="s" s="0">
        <v>1644</v>
      </c>
      <c r="B2353" s="2">
        <v>1430063</v>
      </c>
      <c r="C2353" s="2">
        <v>40025</v>
      </c>
      <c r="D2353" s="2">
        <v>35872</v>
      </c>
      <c r="E2353" s="2">
        <v>37691</v>
      </c>
      <c r="F2353" s="2">
        <v>26842</v>
      </c>
      <c r="G2353" s="2">
        <v>39633</v>
      </c>
    </row>
    <row r="2354" spans="1:7" x14ac:dyDescent="0.2">
      <c r="A2354" t="s" s="0">
        <v>1643</v>
      </c>
      <c r="B2354" s="2">
        <v>1376017</v>
      </c>
      <c r="C2354" s="2">
        <v>39395</v>
      </c>
      <c r="D2354" s="2">
        <v>35823</v>
      </c>
      <c r="E2354" s="2">
        <v>37747</v>
      </c>
      <c r="F2354" s="2">
        <v>15920</v>
      </c>
      <c r="G2354" s="2">
        <v>37216</v>
      </c>
    </row>
    <row r="2355" spans="1:7" x14ac:dyDescent="0.2">
      <c r="A2355" t="s" s="0">
        <v>1642</v>
      </c>
      <c r="B2355" s="2">
        <v>1458680</v>
      </c>
      <c r="C2355" s="2">
        <v>40483</v>
      </c>
      <c r="D2355" s="2">
        <v>37959</v>
      </c>
      <c r="E2355" s="2">
        <v>37727</v>
      </c>
      <c r="F2355" s="2">
        <v>25343</v>
      </c>
      <c r="G2355" s="2">
        <v>41864</v>
      </c>
    </row>
    <row r="2356" spans="1:7" x14ac:dyDescent="0.2">
      <c r="A2356" t="s" s="0">
        <v>1641</v>
      </c>
      <c r="B2356" s="3">
        <v>1458680</v>
      </c>
      <c r="C2356" s="3">
        <v>40483</v>
      </c>
      <c r="D2356" s="3">
        <v>37959</v>
      </c>
      <c r="E2356" s="3">
        <v>37727</v>
      </c>
      <c r="F2356" s="3">
        <v>25343</v>
      </c>
      <c r="G2356" s="3">
        <v>41864</v>
      </c>
    </row>
    <row r="2357" spans="1:7" x14ac:dyDescent="0.2">
      <c r="A2357" t="s" s="0">
        <v>1640</v>
      </c>
      <c r="B2357" s="3">
        <v>1458680</v>
      </c>
      <c r="C2357" s="3">
        <v>40483</v>
      </c>
      <c r="D2357" s="3">
        <v>37959</v>
      </c>
      <c r="E2357" s="3">
        <v>37727</v>
      </c>
      <c r="F2357" s="3">
        <v>25343</v>
      </c>
      <c r="G2357" s="3">
        <v>41864</v>
      </c>
    </row>
    <row r="2358" spans="1:7" x14ac:dyDescent="0.2">
      <c r="A2358" t="s" s="0">
        <v>1639</v>
      </c>
      <c r="B2358" s="2">
        <v>1434375</v>
      </c>
      <c r="C2358" s="2">
        <v>21209</v>
      </c>
      <c r="D2358" s="2">
        <v>37328</v>
      </c>
      <c r="E2358" s="2">
        <v>36690</v>
      </c>
      <c r="F2358" s="2">
        <v>25866</v>
      </c>
      <c r="G2358" s="2">
        <v>39141</v>
      </c>
    </row>
    <row r="2359" spans="1:7" x14ac:dyDescent="0.2">
      <c r="A2359" t="s" s="0">
        <v>1638</v>
      </c>
      <c r="B2359" s="2">
        <v>1491677</v>
      </c>
      <c r="C2359" s="2">
        <v>35115</v>
      </c>
      <c r="D2359" s="2">
        <v>37125</v>
      </c>
      <c r="E2359" s="2">
        <v>36061</v>
      </c>
      <c r="F2359" s="2">
        <v>37291</v>
      </c>
      <c r="G2359" s="2">
        <v>37601</v>
      </c>
    </row>
    <row r="2360" spans="1:7" x14ac:dyDescent="0.2">
      <c r="A2360" t="s" s="0">
        <v>1637</v>
      </c>
      <c r="B2360" s="2">
        <v>1438456</v>
      </c>
      <c r="C2360" s="2">
        <v>36020</v>
      </c>
      <c r="D2360" s="2">
        <v>37307</v>
      </c>
      <c r="E2360" s="2">
        <v>36262</v>
      </c>
      <c r="F2360" s="2">
        <v>37270</v>
      </c>
      <c r="G2360" s="2">
        <v>37224</v>
      </c>
    </row>
    <row r="2361" spans="1:7" x14ac:dyDescent="0.2">
      <c r="A2361" t="s" s="0">
        <v>1636</v>
      </c>
      <c r="B2361" s="2">
        <v>1377972</v>
      </c>
      <c r="C2361" s="2">
        <v>40181</v>
      </c>
      <c r="D2361" s="2">
        <v>40405</v>
      </c>
      <c r="E2361" s="2">
        <v>36971</v>
      </c>
      <c r="F2361" s="2">
        <v>39835</v>
      </c>
      <c r="G2361" s="2">
        <v>35989</v>
      </c>
    </row>
    <row r="2362" spans="1:7" x14ac:dyDescent="0.2">
      <c r="A2362" t="s" s="0">
        <v>1635</v>
      </c>
      <c r="B2362" s="2">
        <v>1439507</v>
      </c>
      <c r="C2362" s="2">
        <v>39230</v>
      </c>
      <c r="D2362" s="2">
        <v>38795</v>
      </c>
      <c r="E2362" s="2">
        <v>36971</v>
      </c>
      <c r="F2362" s="2">
        <v>35578</v>
      </c>
      <c r="G2362" s="2">
        <v>35817</v>
      </c>
    </row>
    <row r="2363" spans="1:7" x14ac:dyDescent="0.2">
      <c r="A2363" t="s" s="0">
        <v>1634</v>
      </c>
      <c r="B2363" s="3">
        <v>1439507</v>
      </c>
      <c r="C2363" s="3">
        <v>39230</v>
      </c>
      <c r="D2363" s="3">
        <v>38795</v>
      </c>
      <c r="E2363" s="3">
        <v>36971</v>
      </c>
      <c r="F2363" s="3">
        <v>35578</v>
      </c>
      <c r="G2363" s="3">
        <v>35817</v>
      </c>
    </row>
    <row r="2364" spans="1:7" x14ac:dyDescent="0.2">
      <c r="A2364" t="s" s="0">
        <v>1633</v>
      </c>
      <c r="B2364" s="3">
        <v>1439507</v>
      </c>
      <c r="C2364" s="3">
        <v>39230</v>
      </c>
      <c r="D2364" s="3">
        <v>38795</v>
      </c>
      <c r="E2364" s="3">
        <v>36971</v>
      </c>
      <c r="F2364" s="3">
        <v>35578</v>
      </c>
      <c r="G2364" s="3">
        <v>35817</v>
      </c>
    </row>
    <row r="2365" spans="1:7" x14ac:dyDescent="0.2">
      <c r="A2365" t="s" s="0">
        <v>1632</v>
      </c>
      <c r="B2365" s="2">
        <v>1542587</v>
      </c>
      <c r="C2365" s="2">
        <v>23787</v>
      </c>
      <c r="D2365" s="2">
        <v>40742</v>
      </c>
      <c r="E2365" s="2">
        <v>37099</v>
      </c>
      <c r="F2365" s="2">
        <v>55723</v>
      </c>
      <c r="G2365" s="2">
        <v>38316</v>
      </c>
    </row>
    <row r="2366" spans="1:7" x14ac:dyDescent="0.2">
      <c r="A2366" t="s" s="0">
        <v>1631</v>
      </c>
      <c r="B2366" s="2">
        <v>1554389</v>
      </c>
      <c r="C2366" s="2">
        <v>38487</v>
      </c>
      <c r="D2366" s="2">
        <v>41224</v>
      </c>
      <c r="E2366" s="2">
        <v>37068</v>
      </c>
      <c r="F2366" s="2">
        <v>50015</v>
      </c>
      <c r="G2366" s="2">
        <v>40137</v>
      </c>
    </row>
    <row r="2367" spans="1:7" x14ac:dyDescent="0.2">
      <c r="A2367" t="s" s="0">
        <v>1630</v>
      </c>
      <c r="B2367" s="2">
        <v>1558666</v>
      </c>
      <c r="C2367" s="2">
        <v>47342</v>
      </c>
      <c r="D2367" s="2">
        <v>40407</v>
      </c>
      <c r="E2367" s="2">
        <v>36885</v>
      </c>
      <c r="F2367" s="2">
        <v>57358</v>
      </c>
      <c r="G2367" s="2">
        <v>41369</v>
      </c>
    </row>
    <row r="2368" spans="1:7" x14ac:dyDescent="0.2">
      <c r="A2368" t="s" s="0">
        <v>1629</v>
      </c>
      <c r="B2368" s="2">
        <v>1575587</v>
      </c>
      <c r="C2368" s="2">
        <v>43079</v>
      </c>
      <c r="D2368" s="2">
        <v>37836</v>
      </c>
      <c r="E2368" s="2">
        <v>37014</v>
      </c>
      <c r="F2368" s="2">
        <v>65892</v>
      </c>
      <c r="G2368" s="2">
        <v>43226</v>
      </c>
    </row>
    <row r="2369" spans="1:7" x14ac:dyDescent="0.2">
      <c r="A2369" t="s" s="0">
        <v>1628</v>
      </c>
      <c r="B2369" s="2">
        <v>1538289</v>
      </c>
      <c r="C2369" s="2">
        <v>37263</v>
      </c>
      <c r="D2369" s="2">
        <v>37555</v>
      </c>
      <c r="E2369" s="2">
        <v>37498</v>
      </c>
      <c r="F2369" s="2">
        <v>51576</v>
      </c>
      <c r="G2369" s="2">
        <v>39291</v>
      </c>
    </row>
    <row r="2370" spans="1:7" x14ac:dyDescent="0.2">
      <c r="A2370" t="s" s="0">
        <v>1627</v>
      </c>
      <c r="B2370" s="3">
        <v>1538289</v>
      </c>
      <c r="C2370" s="3">
        <v>37263</v>
      </c>
      <c r="D2370" s="3">
        <v>37555</v>
      </c>
      <c r="E2370" s="3">
        <v>37498</v>
      </c>
      <c r="F2370" s="3">
        <v>51576</v>
      </c>
      <c r="G2370" s="3">
        <v>39291</v>
      </c>
    </row>
    <row r="2371" spans="1:7" x14ac:dyDescent="0.2">
      <c r="A2371" t="s" s="0">
        <v>1626</v>
      </c>
      <c r="B2371" s="3">
        <v>1538289</v>
      </c>
      <c r="C2371" s="3">
        <v>37263</v>
      </c>
      <c r="D2371" s="3">
        <v>37555</v>
      </c>
      <c r="E2371" s="3">
        <v>37498</v>
      </c>
      <c r="F2371" s="3">
        <v>51576</v>
      </c>
      <c r="G2371" s="3">
        <v>39291</v>
      </c>
    </row>
    <row r="2372" spans="1:7" x14ac:dyDescent="0.2">
      <c r="A2372" t="s" s="0">
        <v>1625</v>
      </c>
      <c r="B2372" s="2">
        <v>1556971</v>
      </c>
      <c r="C2372" s="2">
        <v>25361</v>
      </c>
      <c r="D2372" s="2">
        <v>33928</v>
      </c>
      <c r="E2372" s="2">
        <v>36567</v>
      </c>
      <c r="F2372" s="2">
        <v>35892</v>
      </c>
      <c r="G2372" s="2">
        <v>38043</v>
      </c>
    </row>
    <row r="2373" spans="1:7" x14ac:dyDescent="0.2">
      <c r="A2373" t="s" s="0">
        <v>1624</v>
      </c>
      <c r="B2373" s="2">
        <v>1555397</v>
      </c>
      <c r="C2373" s="2">
        <v>40115</v>
      </c>
      <c r="D2373" s="2">
        <v>35052</v>
      </c>
      <c r="E2373" s="2">
        <v>36846</v>
      </c>
      <c r="F2373" s="2">
        <v>34783</v>
      </c>
      <c r="G2373" s="2">
        <v>38693</v>
      </c>
    </row>
    <row r="2374" spans="1:7" x14ac:dyDescent="0.2">
      <c r="A2374" t="s" s="0">
        <v>1623</v>
      </c>
      <c r="B2374" s="2">
        <v>1602215</v>
      </c>
      <c r="C2374" s="2">
        <v>38175</v>
      </c>
      <c r="D2374" s="2">
        <v>33742</v>
      </c>
      <c r="E2374" s="2">
        <v>36832</v>
      </c>
      <c r="F2374" s="2">
        <v>39605</v>
      </c>
      <c r="G2374" s="2">
        <v>40269</v>
      </c>
    </row>
    <row r="2375" spans="1:7" x14ac:dyDescent="0.2">
      <c r="A2375" t="s" s="0">
        <v>1622</v>
      </c>
      <c r="B2375" s="2">
        <v>1601465</v>
      </c>
      <c r="C2375" s="2">
        <v>41320</v>
      </c>
      <c r="D2375" s="2">
        <v>34777</v>
      </c>
      <c r="E2375" s="2">
        <v>37210</v>
      </c>
      <c r="F2375" s="2">
        <v>37960</v>
      </c>
      <c r="G2375" s="2">
        <v>39902</v>
      </c>
    </row>
    <row r="2376" spans="1:7" x14ac:dyDescent="0.2">
      <c r="A2376" t="s" s="0">
        <v>1621</v>
      </c>
      <c r="B2376" s="2">
        <v>1580531</v>
      </c>
      <c r="C2376" s="2">
        <v>40503</v>
      </c>
      <c r="D2376" s="2">
        <v>35240</v>
      </c>
      <c r="E2376" s="2">
        <v>37387</v>
      </c>
      <c r="F2376" s="2">
        <v>40782</v>
      </c>
      <c r="G2376" s="2">
        <v>38320</v>
      </c>
    </row>
    <row r="2377" spans="1:7" x14ac:dyDescent="0.2">
      <c r="A2377" t="s" s="0">
        <v>1620</v>
      </c>
      <c r="B2377" s="3">
        <v>1580531</v>
      </c>
      <c r="C2377" s="3">
        <v>40503</v>
      </c>
      <c r="D2377" s="3">
        <v>35240</v>
      </c>
      <c r="E2377" s="3">
        <v>37387</v>
      </c>
      <c r="F2377" s="3">
        <v>40782</v>
      </c>
      <c r="G2377" s="3">
        <v>38320</v>
      </c>
    </row>
    <row r="2378" spans="1:7" x14ac:dyDescent="0.2">
      <c r="A2378" t="s" s="0">
        <v>1619</v>
      </c>
      <c r="B2378" s="3">
        <v>1580531</v>
      </c>
      <c r="C2378" s="3">
        <v>40503</v>
      </c>
      <c r="D2378" s="3">
        <v>35240</v>
      </c>
      <c r="E2378" s="3">
        <v>37387</v>
      </c>
      <c r="F2378" s="3">
        <v>40782</v>
      </c>
      <c r="G2378" s="3">
        <v>38320</v>
      </c>
    </row>
    <row r="2379" spans="1:7" x14ac:dyDescent="0.2">
      <c r="A2379" t="s" s="0">
        <v>1618</v>
      </c>
      <c r="B2379" s="2">
        <v>1651777</v>
      </c>
      <c r="C2379" s="2">
        <v>26547</v>
      </c>
      <c r="D2379" s="2">
        <v>36446</v>
      </c>
      <c r="E2379" s="2">
        <v>37111</v>
      </c>
      <c r="F2379" s="2">
        <v>49498</v>
      </c>
      <c r="G2379" s="2">
        <v>41745</v>
      </c>
    </row>
    <row r="2380" spans="1:7" x14ac:dyDescent="0.2">
      <c r="A2380" t="s" s="0">
        <v>1617</v>
      </c>
      <c r="B2380" s="2">
        <v>1627023</v>
      </c>
      <c r="C2380" s="2">
        <v>37954</v>
      </c>
      <c r="D2380" s="2">
        <v>36155</v>
      </c>
      <c r="E2380" s="2">
        <v>37389</v>
      </c>
      <c r="F2380" s="2">
        <v>46135</v>
      </c>
      <c r="G2380" s="2">
        <v>42056</v>
      </c>
    </row>
    <row r="2381" spans="1:7" x14ac:dyDescent="0.2">
      <c r="A2381" t="s" s="0">
        <v>1616</v>
      </c>
      <c r="B2381" s="2">
        <v>1606235</v>
      </c>
      <c r="C2381" s="2">
        <v>47085</v>
      </c>
      <c r="D2381" s="2">
        <v>37956</v>
      </c>
      <c r="E2381" s="2">
        <v>37353</v>
      </c>
      <c r="F2381" s="2">
        <v>38278</v>
      </c>
      <c r="G2381" s="2">
        <v>43128</v>
      </c>
    </row>
    <row r="2382" spans="1:7" x14ac:dyDescent="0.2">
      <c r="A2382" t="s" s="0">
        <v>1615</v>
      </c>
      <c r="B2382" s="2">
        <v>1571569</v>
      </c>
      <c r="C2382" s="2">
        <v>34665</v>
      </c>
      <c r="D2382" s="2">
        <v>35719</v>
      </c>
      <c r="E2382" s="2">
        <v>37184</v>
      </c>
      <c r="F2382" s="2">
        <v>31352</v>
      </c>
      <c r="G2382" s="2">
        <v>43760</v>
      </c>
    </row>
    <row r="2383" spans="1:7" x14ac:dyDescent="0.2">
      <c r="A2383" t="s" s="0">
        <v>1614</v>
      </c>
      <c r="B2383" s="2">
        <v>1563584</v>
      </c>
      <c r="C2383" s="2">
        <v>36202</v>
      </c>
      <c r="D2383" s="2">
        <v>35105</v>
      </c>
      <c r="E2383" s="2">
        <v>36674</v>
      </c>
      <c r="F2383" s="2">
        <v>32384</v>
      </c>
      <c r="G2383" s="2">
        <v>40080</v>
      </c>
    </row>
    <row r="2384" spans="1:7" x14ac:dyDescent="0.2">
      <c r="A2384" t="s" s="0">
        <v>1613</v>
      </c>
      <c r="B2384" s="3">
        <v>1563584</v>
      </c>
      <c r="C2384" s="3">
        <v>36202</v>
      </c>
      <c r="D2384" s="3">
        <v>35105</v>
      </c>
      <c r="E2384" s="3">
        <v>36674</v>
      </c>
      <c r="F2384" s="3">
        <v>32384</v>
      </c>
      <c r="G2384" s="3">
        <v>40080</v>
      </c>
    </row>
    <row r="2385" spans="1:7" x14ac:dyDescent="0.2">
      <c r="A2385" t="s" s="0">
        <v>1612</v>
      </c>
      <c r="B2385" s="3">
        <v>1563584</v>
      </c>
      <c r="C2385" s="3">
        <v>36202</v>
      </c>
      <c r="D2385" s="3">
        <v>35105</v>
      </c>
      <c r="E2385" s="3">
        <v>36674</v>
      </c>
      <c r="F2385" s="3">
        <v>32384</v>
      </c>
      <c r="G2385" s="3">
        <v>40080</v>
      </c>
    </row>
    <row r="2386" spans="1:7" x14ac:dyDescent="0.2">
      <c r="A2386" t="s" s="0">
        <v>1611</v>
      </c>
      <c r="B2386" s="2">
        <v>1659107</v>
      </c>
      <c r="C2386" s="2">
        <v>23123</v>
      </c>
      <c r="D2386" s="2">
        <v>37489</v>
      </c>
      <c r="E2386" s="2">
        <v>37151</v>
      </c>
      <c r="F2386" s="2">
        <v>38133</v>
      </c>
      <c r="G2386" s="2">
        <v>44812</v>
      </c>
    </row>
    <row r="2387" spans="1:7" x14ac:dyDescent="0.2">
      <c r="A2387" t="s" s="0">
        <v>1610</v>
      </c>
      <c r="B2387" s="2">
        <v>1619850</v>
      </c>
      <c r="C2387" s="2">
        <v>31156</v>
      </c>
      <c r="D2387" s="2">
        <v>36957</v>
      </c>
      <c r="E2387" s="2">
        <v>37347</v>
      </c>
      <c r="F2387" s="2">
        <v>35443</v>
      </c>
      <c r="G2387" s="2">
        <v>41594</v>
      </c>
    </row>
    <row r="2388" spans="1:7" x14ac:dyDescent="0.2">
      <c r="A2388" t="s" s="0">
        <v>1609</v>
      </c>
      <c r="B2388" s="2">
        <v>1578800</v>
      </c>
      <c r="C2388" s="2">
        <v>41261</v>
      </c>
      <c r="D2388" s="2">
        <v>35629</v>
      </c>
      <c r="E2388" s="2">
        <v>36934</v>
      </c>
      <c r="F2388" s="2">
        <v>31158</v>
      </c>
      <c r="G2388" s="2">
        <v>41600</v>
      </c>
    </row>
    <row r="2389" spans="1:7" x14ac:dyDescent="0.2">
      <c r="A2389" t="s" s="0">
        <v>1608</v>
      </c>
      <c r="B2389" s="2">
        <v>1572782</v>
      </c>
      <c r="C2389" s="2">
        <v>36018</v>
      </c>
      <c r="D2389" s="2">
        <v>35823</v>
      </c>
      <c r="E2389" s="2">
        <v>36039</v>
      </c>
      <c r="F2389" s="2">
        <v>35444</v>
      </c>
      <c r="G2389" s="2">
        <v>42662</v>
      </c>
    </row>
    <row r="2390" spans="1:7" x14ac:dyDescent="0.2">
      <c r="A2390" t="s" s="0">
        <v>1607</v>
      </c>
      <c r="B2390" s="2">
        <v>1595936</v>
      </c>
      <c r="C2390" s="2">
        <v>40405</v>
      </c>
      <c r="D2390" s="2">
        <v>36423</v>
      </c>
      <c r="E2390" s="2">
        <v>36081</v>
      </c>
      <c r="F2390" s="2">
        <v>40228</v>
      </c>
      <c r="G2390" s="2">
        <v>41243</v>
      </c>
    </row>
    <row r="2391" spans="1:7" x14ac:dyDescent="0.2">
      <c r="A2391" t="s" s="0">
        <v>1606</v>
      </c>
      <c r="B2391" s="3">
        <v>1595936</v>
      </c>
      <c r="C2391" s="3">
        <v>40405</v>
      </c>
      <c r="D2391" s="3">
        <v>36423</v>
      </c>
      <c r="E2391" s="3">
        <v>36081</v>
      </c>
      <c r="F2391" s="3">
        <v>40228</v>
      </c>
      <c r="G2391" s="3">
        <v>41243</v>
      </c>
    </row>
    <row r="2392" spans="1:7" x14ac:dyDescent="0.2">
      <c r="A2392" t="s" s="0">
        <v>1605</v>
      </c>
      <c r="B2392" s="3">
        <v>1595936</v>
      </c>
      <c r="C2392" s="3">
        <v>40405</v>
      </c>
      <c r="D2392" s="3">
        <v>36423</v>
      </c>
      <c r="E2392" s="3">
        <v>36081</v>
      </c>
      <c r="F2392" s="3">
        <v>40228</v>
      </c>
      <c r="G2392" s="3">
        <v>41243</v>
      </c>
    </row>
    <row r="2393" spans="1:7" x14ac:dyDescent="0.2">
      <c r="A2393" t="s" s="0">
        <v>1604</v>
      </c>
      <c r="B2393" s="2">
        <v>1544290</v>
      </c>
      <c r="C2393" s="2">
        <v>23675</v>
      </c>
      <c r="D2393" s="2">
        <v>35733</v>
      </c>
      <c r="E2393" s="2">
        <v>35899</v>
      </c>
      <c r="F2393" s="2">
        <v>18617</v>
      </c>
      <c r="G2393" s="2">
        <v>35535</v>
      </c>
    </row>
    <row r="2394" spans="1:7" x14ac:dyDescent="0.2">
      <c r="A2394" t="s" s="0">
        <v>1603</v>
      </c>
      <c r="B2394" s="2">
        <v>1503391</v>
      </c>
      <c r="C2394" s="2">
        <v>35448</v>
      </c>
      <c r="D2394" s="2">
        <v>35864</v>
      </c>
      <c r="E2394" s="2">
        <v>36007</v>
      </c>
      <c r="F2394" s="2">
        <v>18631</v>
      </c>
      <c r="G2394" s="2">
        <v>33748</v>
      </c>
    </row>
    <row r="2395" spans="1:7" x14ac:dyDescent="0.2">
      <c r="A2395" t="s" s="0">
        <v>1602</v>
      </c>
      <c r="B2395" s="2">
        <v>1463104</v>
      </c>
      <c r="C2395" s="2">
        <v>40287</v>
      </c>
      <c r="D2395" s="2">
        <v>35692</v>
      </c>
      <c r="E2395" s="2">
        <v>35755</v>
      </c>
      <c r="F2395" s="2">
        <v>18631</v>
      </c>
      <c r="G2395" s="2">
        <v>31918</v>
      </c>
    </row>
    <row r="2396" spans="1:7" x14ac:dyDescent="0.2">
      <c r="A2396" t="s" s="0">
        <v>1601</v>
      </c>
      <c r="B2396" s="2">
        <v>1529741</v>
      </c>
      <c r="C2396" s="2">
        <v>37582</v>
      </c>
      <c r="D2396" s="2">
        <v>35915</v>
      </c>
      <c r="E2396" s="2">
        <v>35559</v>
      </c>
      <c r="F2396" s="2">
        <v>29234</v>
      </c>
      <c r="G2396" s="2">
        <v>33497</v>
      </c>
    </row>
    <row r="2397" spans="1:7" x14ac:dyDescent="0.2">
      <c r="A2397" t="s" s="0">
        <v>1600</v>
      </c>
      <c r="B2397" s="2">
        <v>1567588</v>
      </c>
      <c r="C2397" s="2">
        <v>37174</v>
      </c>
      <c r="D2397" s="2">
        <v>36884</v>
      </c>
      <c r="E2397" s="2">
        <v>35913</v>
      </c>
      <c r="F2397" s="2">
        <v>32579</v>
      </c>
      <c r="G2397" s="2">
        <v>36493</v>
      </c>
    </row>
    <row r="2398" spans="1:7" x14ac:dyDescent="0.2">
      <c r="A2398" t="s" s="0">
        <v>1599</v>
      </c>
      <c r="B2398" s="3">
        <v>1567588</v>
      </c>
      <c r="C2398" s="3">
        <v>37174</v>
      </c>
      <c r="D2398" s="3">
        <v>36884</v>
      </c>
      <c r="E2398" s="3">
        <v>35913</v>
      </c>
      <c r="F2398" s="3">
        <v>32579</v>
      </c>
      <c r="G2398" s="3">
        <v>36493</v>
      </c>
    </row>
    <row r="2399" spans="1:7" x14ac:dyDescent="0.2">
      <c r="A2399" t="s" s="0">
        <v>1598</v>
      </c>
      <c r="B2399" s="3">
        <v>1567588</v>
      </c>
      <c r="C2399" s="3">
        <v>37174</v>
      </c>
      <c r="D2399" s="3">
        <v>36884</v>
      </c>
      <c r="E2399" s="3">
        <v>35913</v>
      </c>
      <c r="F2399" s="3">
        <v>32579</v>
      </c>
      <c r="G2399" s="3">
        <v>36493</v>
      </c>
    </row>
    <row r="2400" spans="1:7" x14ac:dyDescent="0.2">
      <c r="A2400" t="s" s="0">
        <v>1597</v>
      </c>
      <c r="B2400" s="2">
        <v>1498096</v>
      </c>
      <c r="C2400" s="2">
        <v>22147</v>
      </c>
      <c r="D2400" s="2">
        <v>37975</v>
      </c>
      <c r="E2400" s="2">
        <v>36911</v>
      </c>
      <c r="F2400" s="2">
        <v>31120</v>
      </c>
      <c r="G2400" s="2">
        <v>34342</v>
      </c>
    </row>
    <row r="2401" spans="1:7" x14ac:dyDescent="0.2">
      <c r="A2401" t="s" s="0">
        <v>1596</v>
      </c>
      <c r="B2401" s="2">
        <v>1459295</v>
      </c>
      <c r="C2401" s="2">
        <v>34586</v>
      </c>
      <c r="D2401" s="2">
        <v>36987</v>
      </c>
      <c r="E2401" s="2">
        <v>36491</v>
      </c>
      <c r="F2401" s="2">
        <v>30406</v>
      </c>
      <c r="G2401" s="2">
        <v>32654</v>
      </c>
    </row>
    <row r="2402" spans="1:7" x14ac:dyDescent="0.2">
      <c r="A2402" t="s" s="0">
        <v>1595</v>
      </c>
      <c r="B2402" s="2">
        <v>1531853</v>
      </c>
      <c r="C2402" s="2">
        <v>32754</v>
      </c>
      <c r="D2402" s="2">
        <v>36624</v>
      </c>
      <c r="E2402" s="2">
        <v>36475</v>
      </c>
      <c r="F2402" s="2">
        <v>46117</v>
      </c>
      <c r="G2402" s="2">
        <v>33546</v>
      </c>
    </row>
    <row r="2403" spans="1:7" x14ac:dyDescent="0.2">
      <c r="A2403" t="s" s="0">
        <v>1594</v>
      </c>
      <c r="B2403" s="2">
        <v>1496543</v>
      </c>
      <c r="C2403" s="2">
        <v>33975</v>
      </c>
      <c r="D2403" s="2">
        <v>36109</v>
      </c>
      <c r="E2403" s="2">
        <v>35892</v>
      </c>
      <c r="F2403" s="2">
        <v>31038</v>
      </c>
      <c r="G2403" s="2">
        <v>31767</v>
      </c>
    </row>
    <row r="2404" spans="1:7" x14ac:dyDescent="0.2">
      <c r="A2404" t="s" s="0">
        <v>1593</v>
      </c>
      <c r="B2404" s="2">
        <v>1459318</v>
      </c>
      <c r="C2404" s="2">
        <v>38216</v>
      </c>
      <c r="D2404" s="2">
        <v>34827</v>
      </c>
      <c r="E2404" s="2">
        <v>35810</v>
      </c>
      <c r="F2404" s="2">
        <v>19073</v>
      </c>
      <c r="G2404" s="2">
        <v>31066</v>
      </c>
    </row>
    <row r="2405" spans="1:7" x14ac:dyDescent="0.2">
      <c r="A2405" t="s" s="0">
        <v>1592</v>
      </c>
      <c r="B2405" s="3">
        <v>1459318</v>
      </c>
      <c r="C2405" s="3">
        <v>38216</v>
      </c>
      <c r="D2405" s="3">
        <v>34827</v>
      </c>
      <c r="E2405" s="3">
        <v>35810</v>
      </c>
      <c r="F2405" s="3">
        <v>19073</v>
      </c>
      <c r="G2405" s="3">
        <v>31066</v>
      </c>
    </row>
    <row r="2406" spans="1:7" x14ac:dyDescent="0.2">
      <c r="A2406" t="s" s="0">
        <v>1591</v>
      </c>
      <c r="B2406" s="3">
        <v>1459318</v>
      </c>
      <c r="C2406" s="3">
        <v>38216</v>
      </c>
      <c r="D2406" s="3">
        <v>34827</v>
      </c>
      <c r="E2406" s="3">
        <v>35810</v>
      </c>
      <c r="F2406" s="3">
        <v>19073</v>
      </c>
      <c r="G2406" s="3">
        <v>31066</v>
      </c>
    </row>
    <row r="2407" spans="1:7" x14ac:dyDescent="0.2">
      <c r="A2407" t="s" s="0">
        <v>1590</v>
      </c>
      <c r="B2407" s="2">
        <v>1441098</v>
      </c>
      <c r="C2407" s="2">
        <v>21781</v>
      </c>
      <c r="D2407" s="2">
        <v>33927</v>
      </c>
      <c r="E2407" s="2">
        <v>36281</v>
      </c>
      <c r="F2407" s="2">
        <v>25534</v>
      </c>
      <c r="G2407" s="2">
        <v>28351</v>
      </c>
    </row>
    <row r="2408" spans="1:7" x14ac:dyDescent="0.2">
      <c r="A2408" t="s" s="0">
        <v>1589</v>
      </c>
      <c r="B2408" s="2">
        <v>1451398</v>
      </c>
      <c r="C2408" s="2">
        <v>35831</v>
      </c>
      <c r="D2408" s="2">
        <v>34963</v>
      </c>
      <c r="E2408" s="2">
        <v>36193</v>
      </c>
      <c r="F2408" s="2">
        <v>33480</v>
      </c>
      <c r="G2408" s="2">
        <v>29490</v>
      </c>
    </row>
    <row r="2409" spans="1:7" x14ac:dyDescent="0.2">
      <c r="A2409" t="s" s="0">
        <v>1588</v>
      </c>
      <c r="B2409" s="2">
        <v>1403619</v>
      </c>
      <c r="C2409" s="2">
        <v>43701</v>
      </c>
      <c r="D2409" s="2">
        <v>36396</v>
      </c>
      <c r="E2409" s="2">
        <v>36085</v>
      </c>
      <c r="F2409" s="2">
        <v>17769</v>
      </c>
      <c r="G2409" s="2">
        <v>28419</v>
      </c>
    </row>
    <row r="2410" spans="1:7" x14ac:dyDescent="0.2">
      <c r="A2410" t="s" s="0">
        <v>1587</v>
      </c>
      <c r="B2410" s="2">
        <v>1438387</v>
      </c>
      <c r="C2410" s="2">
        <v>40236</v>
      </c>
      <c r="D2410" s="2">
        <v>37290</v>
      </c>
      <c r="E2410" s="2">
        <v>36284</v>
      </c>
      <c r="F2410" s="2">
        <v>28675</v>
      </c>
      <c r="G2410" s="2">
        <v>31098</v>
      </c>
    </row>
    <row r="2411" spans="1:7" x14ac:dyDescent="0.2">
      <c r="A2411" t="s" s="0">
        <v>1586</v>
      </c>
      <c r="B2411" s="2">
        <v>1470209</v>
      </c>
      <c r="C2411" s="2">
        <v>29789</v>
      </c>
      <c r="D2411" s="2">
        <v>36086</v>
      </c>
      <c r="E2411" s="2">
        <v>36055</v>
      </c>
      <c r="F2411" s="2">
        <v>37193</v>
      </c>
      <c r="G2411" s="2">
        <v>32268</v>
      </c>
    </row>
    <row r="2412" spans="1:7" x14ac:dyDescent="0.2">
      <c r="A2412" t="s" s="0">
        <v>1585</v>
      </c>
      <c r="B2412" s="3">
        <v>1470209</v>
      </c>
      <c r="C2412" s="3">
        <v>29789</v>
      </c>
      <c r="D2412" s="3">
        <v>36086</v>
      </c>
      <c r="E2412" s="3">
        <v>36055</v>
      </c>
      <c r="F2412" s="3">
        <v>37193</v>
      </c>
      <c r="G2412" s="3">
        <v>32268</v>
      </c>
    </row>
    <row r="2413" spans="1:7" x14ac:dyDescent="0.2">
      <c r="A2413" t="s" s="0">
        <v>1584</v>
      </c>
      <c r="B2413" s="3">
        <v>1470209</v>
      </c>
      <c r="C2413" s="3">
        <v>29789</v>
      </c>
      <c r="D2413" s="3">
        <v>36086</v>
      </c>
      <c r="E2413" s="3">
        <v>36055</v>
      </c>
      <c r="F2413" s="3">
        <v>37193</v>
      </c>
      <c r="G2413" s="3">
        <v>32268</v>
      </c>
    </row>
    <row r="2414" spans="1:7" x14ac:dyDescent="0.2">
      <c r="A2414" t="s" s="0">
        <v>1583</v>
      </c>
      <c r="B2414" s="2">
        <v>1475771</v>
      </c>
      <c r="C2414" s="2">
        <v>21071</v>
      </c>
      <c r="D2414" s="2">
        <v>36576</v>
      </c>
      <c r="E2414" s="2">
        <v>36053</v>
      </c>
      <c r="F2414" s="2">
        <v>41044</v>
      </c>
      <c r="G2414" s="2">
        <v>29079</v>
      </c>
    </row>
    <row r="2415" spans="1:7" x14ac:dyDescent="0.2">
      <c r="A2415" t="s" s="0">
        <v>1582</v>
      </c>
      <c r="B2415" s="2">
        <v>1514950</v>
      </c>
      <c r="C2415" s="2">
        <v>32569</v>
      </c>
      <c r="D2415" s="2">
        <v>35252</v>
      </c>
      <c r="E2415" s="2">
        <v>35766</v>
      </c>
      <c r="F2415" s="2">
        <v>43802</v>
      </c>
      <c r="G2415" s="2">
        <v>31580</v>
      </c>
    </row>
    <row r="2416" spans="1:7" x14ac:dyDescent="0.2">
      <c r="A2416" t="s" s="0">
        <v>1581</v>
      </c>
      <c r="B2416" s="2">
        <v>1428361</v>
      </c>
      <c r="C2416" s="2">
        <v>36559</v>
      </c>
      <c r="D2416" s="2">
        <v>40794</v>
      </c>
      <c r="E2416" s="2">
        <v>37376</v>
      </c>
      <c r="F2416" s="2">
        <v>43799</v>
      </c>
      <c r="G2416" s="2">
        <v>31579</v>
      </c>
    </row>
    <row r="2417" spans="1:7" x14ac:dyDescent="0.2">
      <c r="A2417" t="s" s="0">
        <v>1580</v>
      </c>
      <c r="B2417" s="2">
        <v>1447784</v>
      </c>
      <c r="C2417" s="2">
        <v>32649</v>
      </c>
      <c r="D2417" s="2">
        <v>40936</v>
      </c>
      <c r="E2417" s="2">
        <v>37563</v>
      </c>
      <c r="F2417" s="2">
        <v>41653</v>
      </c>
      <c r="G2417" s="2">
        <v>32650</v>
      </c>
    </row>
    <row r="2418" spans="1:7" x14ac:dyDescent="0.2">
      <c r="A2418" t="s" s="0">
        <v>1579</v>
      </c>
      <c r="B2418" s="2">
        <v>1471610</v>
      </c>
      <c r="C2418" s="2">
        <v>38301</v>
      </c>
      <c r="D2418" s="2">
        <v>42152</v>
      </c>
      <c r="E2418" s="2">
        <v>37487</v>
      </c>
      <c r="F2418" s="2">
        <v>41398</v>
      </c>
      <c r="G2418" s="2">
        <v>32561</v>
      </c>
    </row>
    <row r="2419" spans="1:7" x14ac:dyDescent="0.2">
      <c r="A2419" t="s" s="0">
        <v>1578</v>
      </c>
      <c r="B2419" s="3">
        <v>1471610</v>
      </c>
      <c r="C2419" s="3">
        <v>38301</v>
      </c>
      <c r="D2419" s="3">
        <v>42152</v>
      </c>
      <c r="E2419" s="3">
        <v>37487</v>
      </c>
      <c r="F2419" s="3">
        <v>41398</v>
      </c>
      <c r="G2419" s="3">
        <v>32561</v>
      </c>
    </row>
    <row r="2420" spans="1:7" x14ac:dyDescent="0.2">
      <c r="A2420" t="s" s="0">
        <v>1577</v>
      </c>
      <c r="B2420" s="3">
        <v>1471610</v>
      </c>
      <c r="C2420" s="3">
        <v>38301</v>
      </c>
      <c r="D2420" s="3">
        <v>42152</v>
      </c>
      <c r="E2420" s="3">
        <v>37487</v>
      </c>
      <c r="F2420" s="3">
        <v>41398</v>
      </c>
      <c r="G2420" s="3">
        <v>32561</v>
      </c>
    </row>
    <row r="2421" spans="1:7" x14ac:dyDescent="0.2">
      <c r="A2421" t="s" s="0">
        <v>1576</v>
      </c>
      <c r="B2421" s="2">
        <v>1471221</v>
      </c>
      <c r="C2421" s="2">
        <v>15023</v>
      </c>
      <c r="D2421" s="2">
        <v>41293</v>
      </c>
      <c r="E2421" s="2">
        <v>37443</v>
      </c>
      <c r="F2421" s="2">
        <v>39689</v>
      </c>
      <c r="G2421" s="2">
        <v>34347</v>
      </c>
    </row>
    <row r="2422" spans="1:7" x14ac:dyDescent="0.2">
      <c r="A2422" t="s" s="0">
        <v>1575</v>
      </c>
      <c r="B2422" s="2">
        <v>1547839</v>
      </c>
      <c r="C2422" s="2">
        <v>23263</v>
      </c>
      <c r="D2422" s="2">
        <v>39963</v>
      </c>
      <c r="E2422" s="2">
        <v>36791</v>
      </c>
      <c r="F2422" s="2">
        <v>43841</v>
      </c>
      <c r="G2422" s="2">
        <v>37882</v>
      </c>
    </row>
    <row r="2423" spans="1:7" x14ac:dyDescent="0.2">
      <c r="A2423" t="s" s="0">
        <v>1574</v>
      </c>
      <c r="B2423" s="2">
        <v>1504716</v>
      </c>
      <c r="C2423" s="2">
        <v>33288</v>
      </c>
      <c r="D2423" s="2">
        <v>33780</v>
      </c>
      <c r="E2423" s="2">
        <v>36898</v>
      </c>
      <c r="F2423" s="2">
        <v>43816</v>
      </c>
      <c r="G2423" s="2">
        <v>37875</v>
      </c>
    </row>
    <row r="2424" spans="1:7" x14ac:dyDescent="0.2">
      <c r="A2424" t="s" s="0">
        <v>1573</v>
      </c>
      <c r="B2424" s="2">
        <v>1489299</v>
      </c>
      <c r="C2424" s="2">
        <v>30180</v>
      </c>
      <c r="D2424" s="2">
        <v>35090</v>
      </c>
      <c r="E2424" s="2">
        <v>37356</v>
      </c>
      <c r="F2424" s="2">
        <v>40245</v>
      </c>
      <c r="G2424" s="2">
        <v>35403</v>
      </c>
    </row>
    <row r="2425" spans="1:7" x14ac:dyDescent="0.2">
      <c r="A2425" t="s" s="0">
        <v>1572</v>
      </c>
      <c r="B2425" s="2">
        <v>1513911</v>
      </c>
      <c r="C2425" s="2">
        <v>35625</v>
      </c>
      <c r="D2425" s="2">
        <v>34813</v>
      </c>
      <c r="E2425" s="2">
        <v>36970</v>
      </c>
      <c r="F2425" s="2">
        <v>40541</v>
      </c>
      <c r="G2425" s="2">
        <v>34551</v>
      </c>
    </row>
    <row r="2426" spans="1:7" x14ac:dyDescent="0.2">
      <c r="A2426" t="s" s="0">
        <v>1571</v>
      </c>
      <c r="B2426" s="3">
        <v>1513911</v>
      </c>
      <c r="C2426" s="3">
        <v>35625</v>
      </c>
      <c r="D2426" s="3">
        <v>34813</v>
      </c>
      <c r="E2426" s="3">
        <v>36970</v>
      </c>
      <c r="F2426" s="3">
        <v>40541</v>
      </c>
      <c r="G2426" s="3">
        <v>34551</v>
      </c>
    </row>
    <row r="2427" spans="1:7" x14ac:dyDescent="0.2">
      <c r="A2427" t="s" s="0">
        <v>1570</v>
      </c>
      <c r="B2427" s="3">
        <v>1513911</v>
      </c>
      <c r="C2427" s="3">
        <v>35625</v>
      </c>
      <c r="D2427" s="3">
        <v>34813</v>
      </c>
      <c r="E2427" s="3">
        <v>36970</v>
      </c>
      <c r="F2427" s="3">
        <v>40541</v>
      </c>
      <c r="G2427" s="3">
        <v>34551</v>
      </c>
    </row>
    <row r="2428" spans="1:7" x14ac:dyDescent="0.2">
      <c r="A2428" t="s" s="0">
        <v>1569</v>
      </c>
      <c r="B2428" s="2">
        <v>1418685</v>
      </c>
      <c r="C2428" s="2">
        <v>26662</v>
      </c>
      <c r="D2428" s="2">
        <v>35506</v>
      </c>
      <c r="E2428" s="2">
        <v>36825</v>
      </c>
      <c r="F2428" s="2">
        <v>27686</v>
      </c>
      <c r="G2428" s="2">
        <v>33488</v>
      </c>
    </row>
    <row r="2429" spans="1:7" x14ac:dyDescent="0.2">
      <c r="A2429" t="s" s="0">
        <v>1568</v>
      </c>
      <c r="B2429" s="2">
        <v>1372053</v>
      </c>
      <c r="C2429" s="2">
        <v>40715</v>
      </c>
      <c r="D2429" s="2">
        <v>38712</v>
      </c>
      <c r="E2429" s="2">
        <v>37222</v>
      </c>
      <c r="F2429" s="2">
        <v>12747</v>
      </c>
      <c r="G2429" s="2">
        <v>33468</v>
      </c>
    </row>
    <row r="2430" spans="1:7" x14ac:dyDescent="0.2">
      <c r="A2430" t="s" s="0">
        <v>1567</v>
      </c>
      <c r="B2430" s="2">
        <v>1327017</v>
      </c>
      <c r="C2430" s="2">
        <v>43036</v>
      </c>
      <c r="D2430" s="2">
        <v>38961</v>
      </c>
      <c r="E2430" s="2">
        <v>37483</v>
      </c>
      <c r="F2430" s="2">
        <v>12775</v>
      </c>
      <c r="G2430" s="2">
        <v>29540</v>
      </c>
    </row>
    <row r="2431" spans="1:7" x14ac:dyDescent="0.2">
      <c r="A2431" t="s" s="0">
        <v>1566</v>
      </c>
      <c r="B2431" s="2">
        <v>1276305</v>
      </c>
      <c r="C2431" s="2">
        <v>45037</v>
      </c>
      <c r="D2431" s="2">
        <v>39006</v>
      </c>
      <c r="E2431" s="2">
        <v>38080</v>
      </c>
      <c r="F2431" s="2">
        <v>7777</v>
      </c>
      <c r="G2431" s="2">
        <v>29587</v>
      </c>
    </row>
    <row r="2432" spans="1:7" x14ac:dyDescent="0.2">
      <c r="A2432" t="s" s="0">
        <v>1565</v>
      </c>
      <c r="B2432" s="2">
        <v>1289420</v>
      </c>
      <c r="C2432" s="2">
        <v>42829</v>
      </c>
      <c r="D2432" s="2">
        <v>39930</v>
      </c>
      <c r="E2432" s="2">
        <v>38245</v>
      </c>
      <c r="F2432" s="2">
        <v>6696</v>
      </c>
      <c r="G2432" s="2">
        <v>31457</v>
      </c>
    </row>
    <row r="2433" spans="1:7" x14ac:dyDescent="0.2">
      <c r="A2433" t="s" s="0">
        <v>1564</v>
      </c>
      <c r="B2433" s="3">
        <v>1289420</v>
      </c>
      <c r="C2433" s="3">
        <v>42829</v>
      </c>
      <c r="D2433" s="3">
        <v>39930</v>
      </c>
      <c r="E2433" s="3">
        <v>38245</v>
      </c>
      <c r="F2433" s="3">
        <v>6696</v>
      </c>
      <c r="G2433" s="3">
        <v>31457</v>
      </c>
    </row>
    <row r="2434" spans="1:7" x14ac:dyDescent="0.2">
      <c r="A2434" t="s" s="0">
        <v>1563</v>
      </c>
      <c r="B2434" s="3">
        <v>1289420</v>
      </c>
      <c r="C2434" s="3">
        <v>42829</v>
      </c>
      <c r="D2434" s="3">
        <v>39930</v>
      </c>
      <c r="E2434" s="3">
        <v>38245</v>
      </c>
      <c r="F2434" s="3">
        <v>6696</v>
      </c>
      <c r="G2434" s="3">
        <v>31457</v>
      </c>
    </row>
    <row r="2435" spans="1:7" x14ac:dyDescent="0.2">
      <c r="A2435" t="s" s="0">
        <v>1562</v>
      </c>
      <c r="B2435" s="2">
        <v>1179788</v>
      </c>
      <c r="C2435" s="2">
        <v>29320</v>
      </c>
      <c r="D2435" s="2">
        <v>43025</v>
      </c>
      <c r="E2435" s="2">
        <v>39100</v>
      </c>
      <c r="F2435" s="2">
        <v>7753</v>
      </c>
      <c r="G2435" s="2">
        <v>29043</v>
      </c>
    </row>
    <row r="2436" spans="1:7" x14ac:dyDescent="0.2">
      <c r="A2436" t="s" s="0">
        <v>1561</v>
      </c>
      <c r="B2436" s="2">
        <v>1159608</v>
      </c>
      <c r="C2436" s="2">
        <v>44560</v>
      </c>
      <c r="D2436" s="2">
        <v>42861</v>
      </c>
      <c r="E2436" s="2">
        <v>39197</v>
      </c>
      <c r="F2436" s="2">
        <v>11480</v>
      </c>
      <c r="G2436" s="2">
        <v>27967</v>
      </c>
    </row>
    <row r="2437" spans="1:7" x14ac:dyDescent="0.2">
      <c r="A2437" t="s" s="0">
        <v>1560</v>
      </c>
      <c r="B2437" s="2">
        <v>1113874</v>
      </c>
      <c r="C2437" s="2">
        <v>45734</v>
      </c>
      <c r="D2437" s="2">
        <v>42961</v>
      </c>
      <c r="E2437" s="2">
        <v>39124</v>
      </c>
      <c r="F2437" s="2">
        <v>11480</v>
      </c>
      <c r="G2437" s="2">
        <v>27967</v>
      </c>
    </row>
    <row r="2438" spans="1:7" x14ac:dyDescent="0.2">
      <c r="A2438" t="s" s="0">
        <v>1559</v>
      </c>
      <c r="B2438" s="2">
        <v>1130592</v>
      </c>
      <c r="C2438" s="2">
        <v>48268</v>
      </c>
      <c r="D2438" s="2">
        <v>42612</v>
      </c>
      <c r="E2438" s="2">
        <v>39411</v>
      </c>
      <c r="F2438" s="2">
        <v>20764</v>
      </c>
      <c r="G2438" s="2">
        <v>27610</v>
      </c>
    </row>
    <row r="2439" spans="1:7" x14ac:dyDescent="0.2">
      <c r="A2439" t="s" s="0">
        <v>1558</v>
      </c>
      <c r="B2439" s="2">
        <v>1103703</v>
      </c>
      <c r="C2439" s="2">
        <v>44538</v>
      </c>
      <c r="D2439" s="2">
        <v>42856</v>
      </c>
      <c r="E2439" s="2">
        <v>39938</v>
      </c>
      <c r="F2439" s="2">
        <v>15393</v>
      </c>
      <c r="G2439" s="2">
        <v>26007</v>
      </c>
    </row>
    <row r="2440" spans="1:7" x14ac:dyDescent="0.2">
      <c r="A2440" t="s" s="0">
        <v>1557</v>
      </c>
      <c r="B2440" s="3">
        <v>1103703</v>
      </c>
      <c r="C2440" s="3">
        <v>44538</v>
      </c>
      <c r="D2440" s="3">
        <v>42856</v>
      </c>
      <c r="E2440" s="3">
        <v>39938</v>
      </c>
      <c r="F2440" s="3">
        <v>15393</v>
      </c>
      <c r="G2440" s="3">
        <v>26007</v>
      </c>
    </row>
    <row r="2441" spans="1:7" x14ac:dyDescent="0.2">
      <c r="A2441" t="s" s="0">
        <v>1556</v>
      </c>
      <c r="B2441" s="3">
        <v>1103703</v>
      </c>
      <c r="C2441" s="3">
        <v>44538</v>
      </c>
      <c r="D2441" s="3">
        <v>42856</v>
      </c>
      <c r="E2441" s="3">
        <v>39938</v>
      </c>
      <c r="F2441" s="3">
        <v>15393</v>
      </c>
      <c r="G2441" s="3">
        <v>26007</v>
      </c>
    </row>
    <row r="2442" spans="1:7" x14ac:dyDescent="0.2">
      <c r="A2442" t="s" s="0">
        <v>1555</v>
      </c>
      <c r="B2442" s="2">
        <v>1083243</v>
      </c>
      <c r="C2442" s="2">
        <v>34323</v>
      </c>
      <c r="D2442" s="2">
        <v>42937</v>
      </c>
      <c r="E2442" s="2">
        <v>40690</v>
      </c>
      <c r="F2442" s="2">
        <v>28193</v>
      </c>
      <c r="G2442" s="2">
        <v>25830</v>
      </c>
    </row>
    <row r="2443" spans="1:7" x14ac:dyDescent="0.2">
      <c r="A2443" t="s" s="0">
        <v>1554</v>
      </c>
      <c r="B2443" s="2">
        <v>1087636</v>
      </c>
      <c r="C2443" s="2">
        <v>39006</v>
      </c>
      <c r="D2443" s="2">
        <v>43121</v>
      </c>
      <c r="E2443" s="2">
        <v>41164</v>
      </c>
      <c r="F2443" s="2">
        <v>31665</v>
      </c>
      <c r="G2443" s="2">
        <v>24933</v>
      </c>
    </row>
    <row r="2444" spans="1:7" x14ac:dyDescent="0.2">
      <c r="A2444" t="s" s="0">
        <v>1553</v>
      </c>
      <c r="B2444" s="2">
        <v>1107660</v>
      </c>
      <c r="C2444" s="2">
        <v>39976</v>
      </c>
      <c r="D2444" s="2">
        <v>42299</v>
      </c>
      <c r="E2444" s="2">
        <v>39500</v>
      </c>
      <c r="F2444" s="2">
        <v>40236</v>
      </c>
      <c r="G2444" s="2">
        <v>27077</v>
      </c>
    </row>
    <row r="2445" spans="1:7" x14ac:dyDescent="0.2">
      <c r="A2445" t="s" s="0">
        <v>1552</v>
      </c>
      <c r="B2445" s="2">
        <v>1066061</v>
      </c>
      <c r="C2445" s="2">
        <v>37144</v>
      </c>
      <c r="D2445" s="2">
        <v>41423</v>
      </c>
      <c r="E2445" s="2">
        <v>39533</v>
      </c>
      <c r="F2445" s="2">
        <v>30956</v>
      </c>
      <c r="G2445" s="2">
        <v>24935</v>
      </c>
    </row>
    <row r="2446" spans="1:7" x14ac:dyDescent="0.2">
      <c r="A2446" t="s" s="0">
        <v>1551</v>
      </c>
      <c r="B2446" s="2">
        <v>1099036</v>
      </c>
      <c r="C2446" s="2">
        <v>38681</v>
      </c>
      <c r="D2446" s="2">
        <v>40587</v>
      </c>
      <c r="E2446" s="2">
        <v>39546</v>
      </c>
      <c r="F2446" s="2">
        <v>38834</v>
      </c>
      <c r="G2446" s="2">
        <v>25366</v>
      </c>
    </row>
    <row r="2447" spans="1:7" x14ac:dyDescent="0.2">
      <c r="A2447" t="s" s="0">
        <v>1550</v>
      </c>
      <c r="B2447" s="3">
        <v>1099036</v>
      </c>
      <c r="C2447" s="3">
        <v>38681</v>
      </c>
      <c r="D2447" s="3">
        <v>40587</v>
      </c>
      <c r="E2447" s="3">
        <v>39546</v>
      </c>
      <c r="F2447" s="3">
        <v>38834</v>
      </c>
      <c r="G2447" s="3">
        <v>25366</v>
      </c>
    </row>
    <row r="2448" spans="1:7" x14ac:dyDescent="0.2">
      <c r="A2448" t="s" s="0">
        <v>1549</v>
      </c>
      <c r="B2448" s="3">
        <v>1099036</v>
      </c>
      <c r="C2448" s="3">
        <v>38681</v>
      </c>
      <c r="D2448" s="3">
        <v>40587</v>
      </c>
      <c r="E2448" s="3">
        <v>39546</v>
      </c>
      <c r="F2448" s="3">
        <v>38834</v>
      </c>
      <c r="G2448" s="3">
        <v>25366</v>
      </c>
    </row>
    <row r="2449" spans="1:7" x14ac:dyDescent="0.2">
      <c r="A2449" t="s" s="0">
        <v>1548</v>
      </c>
      <c r="B2449" s="2">
        <v>1332486</v>
      </c>
      <c r="C2449" s="2">
        <v>19920</v>
      </c>
      <c r="D2449" s="2">
        <v>35706</v>
      </c>
      <c r="E2449" s="2">
        <v>39293</v>
      </c>
      <c r="F2449" s="2">
        <v>70226</v>
      </c>
      <c r="G2449" s="2">
        <v>33464</v>
      </c>
    </row>
    <row r="2450" spans="1:7" x14ac:dyDescent="0.2">
      <c r="A2450" t="s" s="0">
        <v>1547</v>
      </c>
      <c r="B2450" s="2">
        <v>1486599</v>
      </c>
      <c r="C2450" s="2">
        <v>32484</v>
      </c>
      <c r="D2450" s="2">
        <v>36337</v>
      </c>
      <c r="E2450" s="2">
        <v>40258</v>
      </c>
      <c r="F2450" s="2">
        <v>91955</v>
      </c>
      <c r="G2450" s="2">
        <v>36962</v>
      </c>
    </row>
    <row r="2451" spans="1:7" x14ac:dyDescent="0.2">
      <c r="A2451" t="s" s="0">
        <v>1546</v>
      </c>
      <c r="B2451" s="2">
        <v>1476643</v>
      </c>
      <c r="C2451" s="2">
        <v>35050</v>
      </c>
      <c r="D2451" s="2">
        <v>35633</v>
      </c>
      <c r="E2451" s="2">
        <v>39964</v>
      </c>
      <c r="F2451" s="2">
        <v>86969</v>
      </c>
      <c r="G2451" s="2">
        <v>37865</v>
      </c>
    </row>
    <row r="2452" spans="1:7" x14ac:dyDescent="0.2">
      <c r="A2452" t="s" s="0">
        <v>1545</v>
      </c>
      <c r="B2452" s="2">
        <v>1483460</v>
      </c>
      <c r="C2452" s="2">
        <v>34167</v>
      </c>
      <c r="D2452" s="2">
        <v>34494</v>
      </c>
      <c r="E2452" s="2">
        <v>39384</v>
      </c>
      <c r="F2452" s="2">
        <v>92820</v>
      </c>
      <c r="G2452" s="2">
        <v>38079</v>
      </c>
    </row>
    <row r="2453" spans="1:7" x14ac:dyDescent="0.2">
      <c r="A2453" t="s" s="0">
        <v>1544</v>
      </c>
      <c r="B2453" s="2">
        <v>1474372</v>
      </c>
      <c r="C2453" s="2">
        <v>37304</v>
      </c>
      <c r="D2453" s="2">
        <v>36153</v>
      </c>
      <c r="E2453" s="2">
        <v>39881</v>
      </c>
      <c r="F2453" s="2">
        <v>87815</v>
      </c>
      <c r="G2453" s="2">
        <v>37185</v>
      </c>
    </row>
    <row r="2454" spans="1:7" x14ac:dyDescent="0.2">
      <c r="A2454" t="s" s="0">
        <v>1543</v>
      </c>
      <c r="B2454" s="3">
        <v>1474372</v>
      </c>
      <c r="C2454" s="3">
        <v>37304</v>
      </c>
      <c r="D2454" s="3">
        <v>36153</v>
      </c>
      <c r="E2454" s="3">
        <v>39881</v>
      </c>
      <c r="F2454" s="3">
        <v>87815</v>
      </c>
      <c r="G2454" s="3">
        <v>37185</v>
      </c>
    </row>
    <row r="2455" spans="1:7" x14ac:dyDescent="0.2">
      <c r="A2455" t="s" s="0">
        <v>1542</v>
      </c>
      <c r="B2455" s="3">
        <v>1474372</v>
      </c>
      <c r="C2455" s="3">
        <v>37304</v>
      </c>
      <c r="D2455" s="3">
        <v>36153</v>
      </c>
      <c r="E2455" s="3">
        <v>39881</v>
      </c>
      <c r="F2455" s="3">
        <v>87815</v>
      </c>
      <c r="G2455" s="3">
        <v>37185</v>
      </c>
    </row>
    <row r="2456" spans="1:7" x14ac:dyDescent="0.2">
      <c r="A2456" t="s" s="0">
        <v>1541</v>
      </c>
      <c r="B2456" s="2">
        <v>1430980</v>
      </c>
      <c r="C2456" s="2">
        <v>25442</v>
      </c>
      <c r="D2456" s="2">
        <v>38302</v>
      </c>
      <c r="E2456" s="2">
        <v>39992</v>
      </c>
      <c r="F2456" s="2">
        <v>50415</v>
      </c>
      <c r="G2456" s="2">
        <v>39147</v>
      </c>
    </row>
    <row r="2457" spans="1:7" x14ac:dyDescent="0.2">
      <c r="A2457" t="s" s="0">
        <v>1540</v>
      </c>
      <c r="B2457" s="2">
        <v>1482658</v>
      </c>
      <c r="C2457" s="2">
        <v>39872</v>
      </c>
      <c r="D2457" s="2">
        <v>36817</v>
      </c>
      <c r="E2457" s="2">
        <v>39784</v>
      </c>
      <c r="F2457" s="2">
        <v>34315</v>
      </c>
      <c r="G2457" s="2">
        <v>42354</v>
      </c>
    </row>
    <row r="2458" spans="1:7" x14ac:dyDescent="0.2">
      <c r="A2458" t="s" s="0">
        <v>1539</v>
      </c>
      <c r="B2458" s="2">
        <v>1574866</v>
      </c>
      <c r="C2458" s="2">
        <v>35293</v>
      </c>
      <c r="D2458" s="2">
        <v>36852</v>
      </c>
      <c r="E2458" s="2">
        <v>39436</v>
      </c>
      <c r="F2458" s="2">
        <v>48901</v>
      </c>
      <c r="G2458" s="2">
        <v>46897</v>
      </c>
    </row>
    <row r="2459" spans="1:7" x14ac:dyDescent="0.2">
      <c r="A2459" t="s" s="0">
        <v>1538</v>
      </c>
      <c r="B2459" s="2">
        <v>1550585</v>
      </c>
      <c r="C2459" s="2">
        <v>44281</v>
      </c>
      <c r="D2459" s="2">
        <v>38297</v>
      </c>
      <c r="E2459" s="2">
        <v>39206</v>
      </c>
      <c r="F2459" s="2">
        <v>45904</v>
      </c>
      <c r="G2459" s="2">
        <v>47611</v>
      </c>
    </row>
    <row r="2460" spans="1:7" x14ac:dyDescent="0.2">
      <c r="A2460" t="s" s="0">
        <v>1537</v>
      </c>
      <c r="B2460" s="2">
        <v>1559403</v>
      </c>
      <c r="C2460" s="2">
        <v>34732</v>
      </c>
      <c r="D2460" s="2">
        <v>36073</v>
      </c>
      <c r="E2460" s="2">
        <v>38917</v>
      </c>
      <c r="F2460" s="2">
        <v>46620</v>
      </c>
      <c r="G2460" s="2">
        <v>47166</v>
      </c>
    </row>
    <row r="2461" spans="1:7" x14ac:dyDescent="0.2">
      <c r="A2461" t="s" s="0">
        <v>1536</v>
      </c>
      <c r="B2461" s="3">
        <v>1559403</v>
      </c>
      <c r="C2461" s="3">
        <v>34732</v>
      </c>
      <c r="D2461" s="3">
        <v>36073</v>
      </c>
      <c r="E2461" s="3">
        <v>38917</v>
      </c>
      <c r="F2461" s="3">
        <v>46620</v>
      </c>
      <c r="G2461" s="3">
        <v>47166</v>
      </c>
    </row>
    <row r="2462" spans="1:7" x14ac:dyDescent="0.2">
      <c r="A2462" t="s" s="0">
        <v>1535</v>
      </c>
      <c r="B2462" s="3">
        <v>1559403</v>
      </c>
      <c r="C2462" s="3">
        <v>34732</v>
      </c>
      <c r="D2462" s="3">
        <v>36073</v>
      </c>
      <c r="E2462" s="3">
        <v>38917</v>
      </c>
      <c r="F2462" s="3">
        <v>46620</v>
      </c>
      <c r="G2462" s="3">
        <v>47166</v>
      </c>
    </row>
    <row r="2463" spans="1:7" x14ac:dyDescent="0.2">
      <c r="A2463" t="s" s="0">
        <v>1534</v>
      </c>
      <c r="B2463" s="2">
        <v>1569688</v>
      </c>
      <c r="C2463" s="2">
        <v>30853</v>
      </c>
      <c r="D2463" s="2">
        <v>36775</v>
      </c>
      <c r="E2463" s="2">
        <v>38430</v>
      </c>
      <c r="F2463" s="2">
        <v>54991</v>
      </c>
      <c r="G2463" s="2">
        <v>50956</v>
      </c>
    </row>
    <row r="2464" spans="1:7" x14ac:dyDescent="0.2">
      <c r="A2464" t="s" s="0">
        <v>1533</v>
      </c>
      <c r="B2464" s="2">
        <v>1557594</v>
      </c>
      <c r="C2464" s="2">
        <v>45065</v>
      </c>
      <c r="D2464" s="2">
        <v>38233</v>
      </c>
      <c r="E2464" s="2">
        <v>38627</v>
      </c>
      <c r="F2464" s="2">
        <v>47632</v>
      </c>
      <c r="G2464" s="2">
        <v>51392</v>
      </c>
    </row>
    <row r="2465" spans="1:7" x14ac:dyDescent="0.2">
      <c r="A2465" t="s" s="0">
        <v>1532</v>
      </c>
      <c r="B2465" s="2">
        <v>1515600</v>
      </c>
      <c r="C2465" s="2">
        <v>44249</v>
      </c>
      <c r="D2465" s="2">
        <v>39513</v>
      </c>
      <c r="E2465" s="2">
        <v>38574</v>
      </c>
      <c r="F2465" s="2">
        <v>29783</v>
      </c>
      <c r="G2465" s="2">
        <v>51472</v>
      </c>
    </row>
    <row r="2466" spans="1:7" x14ac:dyDescent="0.2">
      <c r="A2466" t="s" s="0">
        <v>1531</v>
      </c>
      <c r="B2466" s="2">
        <v>1478430</v>
      </c>
      <c r="C2466" s="2">
        <v>47826</v>
      </c>
      <c r="D2466" s="2">
        <v>40693</v>
      </c>
      <c r="E2466" s="2">
        <v>38727</v>
      </c>
      <c r="F2466" s="2">
        <v>27101</v>
      </c>
      <c r="G2466" s="2">
        <v>49195</v>
      </c>
    </row>
    <row r="2467" spans="1:7" x14ac:dyDescent="0.2">
      <c r="A2467" t="s" s="0">
        <v>1530</v>
      </c>
      <c r="B2467" s="2">
        <v>1553351</v>
      </c>
      <c r="C2467" s="2">
        <v>53185</v>
      </c>
      <c r="D2467" s="2">
        <v>43329</v>
      </c>
      <c r="E2467" s="2">
        <v>39035</v>
      </c>
      <c r="F2467" s="2">
        <v>38797</v>
      </c>
      <c r="G2467" s="2">
        <v>53017</v>
      </c>
    </row>
    <row r="2468" spans="1:7" x14ac:dyDescent="0.2">
      <c r="A2468" t="s" s="0">
        <v>1529</v>
      </c>
      <c r="B2468" s="3">
        <v>1553351</v>
      </c>
      <c r="C2468" s="3">
        <v>53185</v>
      </c>
      <c r="D2468" s="3">
        <v>43329</v>
      </c>
      <c r="E2468" s="3">
        <v>39035</v>
      </c>
      <c r="F2468" s="3">
        <v>38797</v>
      </c>
      <c r="G2468" s="3">
        <v>53017</v>
      </c>
    </row>
    <row r="2469" spans="1:7" x14ac:dyDescent="0.2">
      <c r="A2469" t="s" s="0">
        <v>1528</v>
      </c>
      <c r="B2469" s="3">
        <v>1553351</v>
      </c>
      <c r="C2469" s="3">
        <v>53185</v>
      </c>
      <c r="D2469" s="3">
        <v>43329</v>
      </c>
      <c r="E2469" s="3">
        <v>39035</v>
      </c>
      <c r="F2469" s="3">
        <v>38797</v>
      </c>
      <c r="G2469" s="3">
        <v>53017</v>
      </c>
    </row>
    <row r="2470" spans="1:7" x14ac:dyDescent="0.2">
      <c r="A2470" t="s" s="0">
        <v>1527</v>
      </c>
      <c r="B2470" s="2">
        <v>1531146</v>
      </c>
      <c r="C2470" s="2">
        <v>30786</v>
      </c>
      <c r="D2470" s="2">
        <v>48967</v>
      </c>
      <c r="E2470" s="2">
        <v>39938</v>
      </c>
      <c r="F2470" s="2">
        <v>39794</v>
      </c>
      <c r="G2470" s="2">
        <v>53857</v>
      </c>
    </row>
    <row r="2471" spans="1:7" x14ac:dyDescent="0.2">
      <c r="A2471" t="s" s="0">
        <v>1526</v>
      </c>
      <c r="B2471" s="2">
        <v>1542960</v>
      </c>
      <c r="C2471" s="2">
        <v>43886</v>
      </c>
      <c r="D2471" s="2">
        <v>48306</v>
      </c>
      <c r="E2471" s="2">
        <v>39923</v>
      </c>
      <c r="F2471" s="2">
        <v>42826</v>
      </c>
      <c r="G2471" s="2">
        <v>54182</v>
      </c>
    </row>
    <row r="2472" spans="1:7" x14ac:dyDescent="0.2">
      <c r="A2472" t="s" s="0">
        <v>1525</v>
      </c>
      <c r="B2472" s="2">
        <v>1475986</v>
      </c>
      <c r="C2472" s="2">
        <v>57964</v>
      </c>
      <c r="D2472" s="2">
        <v>50934</v>
      </c>
      <c r="E2472" s="2">
        <v>40733</v>
      </c>
      <c r="F2472" s="2">
        <v>41886</v>
      </c>
      <c r="G2472" s="2">
        <v>51885</v>
      </c>
    </row>
    <row r="2473" spans="1:7" x14ac:dyDescent="0.2">
      <c r="A2473" t="s" s="0">
        <v>1524</v>
      </c>
      <c r="B2473" s="2">
        <v>1518909</v>
      </c>
      <c r="C2473" s="2">
        <v>57177</v>
      </c>
      <c r="D2473" s="2">
        <v>51597</v>
      </c>
      <c r="E2473" s="2">
        <v>41270</v>
      </c>
      <c r="F2473" s="2">
        <v>56010</v>
      </c>
      <c r="G2473" s="2">
        <v>55459</v>
      </c>
    </row>
    <row r="2474" spans="1:7" x14ac:dyDescent="0.2">
      <c r="A2474" t="s" s="0">
        <v>1523</v>
      </c>
      <c r="B2474" s="2">
        <v>1463791</v>
      </c>
      <c r="C2474" s="2">
        <v>53934</v>
      </c>
      <c r="D2474" s="2">
        <v>51704</v>
      </c>
      <c r="E2474" s="2">
        <v>41815</v>
      </c>
      <c r="F2474" s="2">
        <v>37603</v>
      </c>
      <c r="G2474" s="2">
        <v>52709</v>
      </c>
    </row>
    <row r="2475" spans="1:7" x14ac:dyDescent="0.2">
      <c r="A2475" t="s" s="0">
        <v>1522</v>
      </c>
      <c r="B2475" s="3">
        <v>1463791</v>
      </c>
      <c r="C2475" s="3">
        <v>53934</v>
      </c>
      <c r="D2475" s="3">
        <v>51704</v>
      </c>
      <c r="E2475" s="3">
        <v>41815</v>
      </c>
      <c r="F2475" s="3">
        <v>37603</v>
      </c>
      <c r="G2475" s="3">
        <v>52709</v>
      </c>
    </row>
    <row r="2476" spans="1:7" x14ac:dyDescent="0.2">
      <c r="A2476" t="s" s="0">
        <v>1521</v>
      </c>
      <c r="B2476" s="3">
        <v>1463791</v>
      </c>
      <c r="C2476" s="3">
        <v>53934</v>
      </c>
      <c r="D2476" s="3">
        <v>51704</v>
      </c>
      <c r="E2476" s="3">
        <v>41815</v>
      </c>
      <c r="F2476" s="3">
        <v>37603</v>
      </c>
      <c r="G2476" s="3">
        <v>52709</v>
      </c>
    </row>
    <row r="2477" spans="1:7" x14ac:dyDescent="0.2">
      <c r="A2477" t="s" s="0">
        <v>1520</v>
      </c>
      <c r="B2477" s="2">
        <v>1441526</v>
      </c>
      <c r="C2477" s="2">
        <v>31936</v>
      </c>
      <c r="D2477" s="2">
        <v>50575</v>
      </c>
      <c r="E2477" s="2">
        <v>43655</v>
      </c>
      <c r="F2477" s="2">
        <v>36392</v>
      </c>
      <c r="G2477" s="2">
        <v>45398</v>
      </c>
    </row>
    <row r="2478" spans="1:7" x14ac:dyDescent="0.2">
      <c r="A2478" t="s" s="0">
        <v>1519</v>
      </c>
      <c r="B2478" s="2">
        <v>1396888</v>
      </c>
      <c r="C2478" s="2">
        <v>43171</v>
      </c>
      <c r="D2478" s="2">
        <v>51111</v>
      </c>
      <c r="E2478" s="2">
        <v>43617</v>
      </c>
      <c r="F2478" s="2">
        <v>28687</v>
      </c>
      <c r="G2478" s="2">
        <v>38365</v>
      </c>
    </row>
    <row r="2479" spans="1:7" x14ac:dyDescent="0.2">
      <c r="A2479" t="s" s="0">
        <v>1518</v>
      </c>
      <c r="B2479" s="2">
        <v>1430861</v>
      </c>
      <c r="C2479" s="2">
        <v>49290</v>
      </c>
      <c r="D2479" s="2">
        <v>50876</v>
      </c>
      <c r="E2479" s="2">
        <v>44544</v>
      </c>
      <c r="F2479" s="2">
        <v>42873</v>
      </c>
      <c r="G2479" s="2">
        <v>40861</v>
      </c>
    </row>
    <row r="2480" spans="1:7" x14ac:dyDescent="0.2">
      <c r="A2480" t="s" s="0">
        <v>1517</v>
      </c>
      <c r="B2480" s="2">
        <v>1381311</v>
      </c>
      <c r="C2480" s="2">
        <v>49550</v>
      </c>
      <c r="D2480" s="2">
        <v>49787</v>
      </c>
      <c r="E2480" s="2">
        <v>45093</v>
      </c>
      <c r="F2480" s="2">
        <v>28573</v>
      </c>
      <c r="G2480" s="2">
        <v>39397</v>
      </c>
    </row>
    <row r="2481" spans="1:7" x14ac:dyDescent="0.2">
      <c r="A2481" t="s" s="0">
        <v>1516</v>
      </c>
      <c r="B2481" s="2">
        <v>1397807</v>
      </c>
      <c r="C2481" s="2">
        <v>51752</v>
      </c>
      <c r="D2481" s="2">
        <v>49475</v>
      </c>
      <c r="E2481" s="2">
        <v>45145</v>
      </c>
      <c r="F2481" s="2">
        <v>38282</v>
      </c>
      <c r="G2481" s="2">
        <v>40326</v>
      </c>
    </row>
    <row r="2482" spans="1:7" x14ac:dyDescent="0.2">
      <c r="A2482" t="s" s="0">
        <v>1515</v>
      </c>
      <c r="B2482" s="3">
        <v>1397807</v>
      </c>
      <c r="C2482" s="3">
        <v>51752</v>
      </c>
      <c r="D2482" s="3">
        <v>49475</v>
      </c>
      <c r="E2482" s="3">
        <v>45145</v>
      </c>
      <c r="F2482" s="3">
        <v>38282</v>
      </c>
      <c r="G2482" s="3">
        <v>40326</v>
      </c>
    </row>
    <row r="2483" spans="1:7" x14ac:dyDescent="0.2">
      <c r="A2483" t="s" s="0">
        <v>1514</v>
      </c>
      <c r="B2483" s="3">
        <v>1397807</v>
      </c>
      <c r="C2483" s="3">
        <v>51752</v>
      </c>
      <c r="D2483" s="3">
        <v>49475</v>
      </c>
      <c r="E2483" s="3">
        <v>45145</v>
      </c>
      <c r="F2483" s="3">
        <v>38282</v>
      </c>
      <c r="G2483" s="3">
        <v>40326</v>
      </c>
    </row>
    <row r="2484" spans="1:7" x14ac:dyDescent="0.2">
      <c r="A2484" t="s" s="0">
        <v>1513</v>
      </c>
      <c r="B2484" s="2">
        <v>1331316</v>
      </c>
      <c r="C2484" s="2">
        <v>30836</v>
      </c>
      <c r="D2484" s="2">
        <v>50071</v>
      </c>
      <c r="E2484" s="2">
        <v>46597</v>
      </c>
      <c r="F2484" s="2">
        <v>32633</v>
      </c>
      <c r="G2484" s="2">
        <v>40953</v>
      </c>
    </row>
    <row r="2485" spans="1:7" x14ac:dyDescent="0.2">
      <c r="A2485" t="s" s="0">
        <v>1512</v>
      </c>
      <c r="B2485" s="2">
        <v>1279346</v>
      </c>
      <c r="C2485" s="2">
        <v>45522</v>
      </c>
      <c r="D2485" s="2">
        <v>50708</v>
      </c>
      <c r="E2485" s="2">
        <v>47090</v>
      </c>
      <c r="F2485" s="2">
        <v>32634</v>
      </c>
      <c r="G2485" s="2">
        <v>37945</v>
      </c>
    </row>
    <row r="2486" spans="1:7" x14ac:dyDescent="0.2">
      <c r="A2486" t="s" s="0">
        <v>1511</v>
      </c>
      <c r="B2486" s="2">
        <v>1303273</v>
      </c>
      <c r="C2486" s="2">
        <v>45256</v>
      </c>
      <c r="D2486" s="2">
        <v>48459</v>
      </c>
      <c r="E2486" s="2">
        <v>47445</v>
      </c>
      <c r="F2486" s="2">
        <v>28950</v>
      </c>
      <c r="G2486" s="2">
        <v>35873</v>
      </c>
    </row>
    <row r="2487" spans="1:7" x14ac:dyDescent="0.2">
      <c r="A2487" t="s" s="0">
        <v>1510</v>
      </c>
      <c r="B2487" s="2">
        <v>1333974</v>
      </c>
      <c r="C2487" s="2">
        <v>44282</v>
      </c>
      <c r="D2487" s="2">
        <v>47706</v>
      </c>
      <c r="E2487" s="2">
        <v>47446</v>
      </c>
      <c r="F2487" s="2">
        <v>39662</v>
      </c>
      <c r="G2487" s="2">
        <v>37837</v>
      </c>
    </row>
    <row r="2488" spans="1:7" x14ac:dyDescent="0.2">
      <c r="A2488" t="s" s="0">
        <v>1509</v>
      </c>
      <c r="B2488" s="2">
        <v>1317788</v>
      </c>
      <c r="C2488" s="2">
        <v>53317</v>
      </c>
      <c r="D2488" s="2">
        <v>47930</v>
      </c>
      <c r="E2488" s="2">
        <v>48109</v>
      </c>
      <c r="F2488" s="2">
        <v>35707</v>
      </c>
      <c r="G2488" s="2">
        <v>37597</v>
      </c>
    </row>
    <row r="2489" spans="1:7" x14ac:dyDescent="0.2">
      <c r="A2489" t="s" s="0">
        <v>1508</v>
      </c>
      <c r="B2489" s="3">
        <v>1317788</v>
      </c>
      <c r="C2489" s="3">
        <v>53317</v>
      </c>
      <c r="D2489" s="3">
        <v>47930</v>
      </c>
      <c r="E2489" s="3">
        <v>48109</v>
      </c>
      <c r="F2489" s="3">
        <v>35707</v>
      </c>
      <c r="G2489" s="3">
        <v>37597</v>
      </c>
    </row>
    <row r="2490" spans="1:7" x14ac:dyDescent="0.2">
      <c r="A2490" t="s" s="0">
        <v>1507</v>
      </c>
      <c r="B2490" s="3">
        <v>1317788</v>
      </c>
      <c r="C2490" s="3">
        <v>53317</v>
      </c>
      <c r="D2490" s="3">
        <v>47930</v>
      </c>
      <c r="E2490" s="3">
        <v>48109</v>
      </c>
      <c r="F2490" s="3">
        <v>35707</v>
      </c>
      <c r="G2490" s="3">
        <v>37597</v>
      </c>
    </row>
    <row r="2491" spans="1:7" x14ac:dyDescent="0.2">
      <c r="A2491" t="s" s="0">
        <v>1506</v>
      </c>
      <c r="B2491" s="2">
        <v>1464432</v>
      </c>
      <c r="C2491" s="2">
        <v>31394</v>
      </c>
      <c r="D2491" s="2">
        <v>46253</v>
      </c>
      <c r="E2491" s="2">
        <v>48967</v>
      </c>
      <c r="F2491" s="2">
        <v>64478</v>
      </c>
      <c r="G2491" s="2">
        <v>43325</v>
      </c>
    </row>
    <row r="2492" spans="1:7" x14ac:dyDescent="0.2">
      <c r="A2492" t="s" s="0">
        <v>1505</v>
      </c>
      <c r="B2492" s="2">
        <v>1434123</v>
      </c>
      <c r="C2492" s="2">
        <v>43530</v>
      </c>
      <c r="D2492" s="2">
        <v>44806</v>
      </c>
      <c r="E2492" s="2">
        <v>48733</v>
      </c>
      <c r="F2492" s="2">
        <v>66050</v>
      </c>
      <c r="G2492" s="2">
        <v>42549</v>
      </c>
    </row>
    <row r="2493" spans="1:7" x14ac:dyDescent="0.2">
      <c r="A2493" t="s" s="0">
        <v>1504</v>
      </c>
      <c r="B2493" s="2">
        <v>1408474</v>
      </c>
      <c r="C2493" s="2">
        <v>51006</v>
      </c>
      <c r="D2493" s="2">
        <v>48147</v>
      </c>
      <c r="E2493" s="2">
        <v>49604</v>
      </c>
      <c r="F2493" s="2">
        <v>62308</v>
      </c>
      <c r="G2493" s="2">
        <v>44004</v>
      </c>
    </row>
    <row r="2494" spans="1:7" x14ac:dyDescent="0.2">
      <c r="A2494" t="s" s="0">
        <v>1503</v>
      </c>
      <c r="B2494" s="2">
        <v>1390513</v>
      </c>
      <c r="C2494" s="2">
        <v>43472</v>
      </c>
      <c r="D2494" s="2">
        <v>52212</v>
      </c>
      <c r="E2494" s="2">
        <v>50325</v>
      </c>
      <c r="F2494" s="2">
        <v>59422</v>
      </c>
      <c r="G2494" s="2">
        <v>45917</v>
      </c>
    </row>
    <row r="2495" spans="1:7" x14ac:dyDescent="0.2">
      <c r="A2495" t="s" s="0">
        <v>1502</v>
      </c>
      <c r="B2495" s="2">
        <v>1341620</v>
      </c>
      <c r="C2495" s="2">
        <v>46811</v>
      </c>
      <c r="D2495" s="2">
        <v>51569</v>
      </c>
      <c r="E2495" s="2">
        <v>50169</v>
      </c>
      <c r="F2495" s="2">
        <v>54552</v>
      </c>
      <c r="G2495" s="2">
        <v>41536</v>
      </c>
    </row>
    <row r="2496" spans="1:7" x14ac:dyDescent="0.2">
      <c r="A2496" t="s" s="0">
        <v>1501</v>
      </c>
      <c r="B2496" s="3">
        <v>1341620</v>
      </c>
      <c r="C2496" s="3">
        <v>46811</v>
      </c>
      <c r="D2496" s="3">
        <v>51569</v>
      </c>
      <c r="E2496" s="3">
        <v>50169</v>
      </c>
      <c r="F2496" s="3">
        <v>54552</v>
      </c>
      <c r="G2496" s="3">
        <v>41536</v>
      </c>
    </row>
    <row r="2497" spans="1:7" x14ac:dyDescent="0.2">
      <c r="A2497" t="s" s="0">
        <v>1500</v>
      </c>
      <c r="B2497" s="3">
        <v>1341620</v>
      </c>
      <c r="C2497" s="3">
        <v>46811</v>
      </c>
      <c r="D2497" s="3">
        <v>51569</v>
      </c>
      <c r="E2497" s="3">
        <v>50169</v>
      </c>
      <c r="F2497" s="3">
        <v>54552</v>
      </c>
      <c r="G2497" s="3">
        <v>41536</v>
      </c>
    </row>
    <row r="2498" spans="1:7" x14ac:dyDescent="0.2">
      <c r="A2498" t="s" s="0">
        <v>1499</v>
      </c>
      <c r="B2498" s="2">
        <v>1318751</v>
      </c>
      <c r="C2498" s="2">
        <v>33970</v>
      </c>
      <c r="D2498" s="2">
        <v>50483</v>
      </c>
      <c r="E2498" s="2">
        <v>49346</v>
      </c>
      <c r="F2498" s="2">
        <v>28898</v>
      </c>
      <c r="G2498" s="2">
        <v>40601</v>
      </c>
    </row>
    <row r="2499" spans="1:7" x14ac:dyDescent="0.2">
      <c r="A2499" t="s" s="0">
        <v>1498</v>
      </c>
      <c r="B2499" s="2">
        <v>1366373</v>
      </c>
      <c r="C2499" s="2">
        <v>48937</v>
      </c>
      <c r="D2499" s="2">
        <v>51256</v>
      </c>
      <c r="E2499" s="2">
        <v>49470</v>
      </c>
      <c r="F2499" s="2">
        <v>41108</v>
      </c>
      <c r="G2499" s="2">
        <v>42120</v>
      </c>
    </row>
    <row r="2500" spans="1:7" x14ac:dyDescent="0.2">
      <c r="A2500" t="s" s="0">
        <v>1497</v>
      </c>
      <c r="B2500" s="2">
        <v>1318064</v>
      </c>
      <c r="C2500" s="2">
        <v>48943</v>
      </c>
      <c r="D2500" s="2">
        <v>48442</v>
      </c>
      <c r="E2500" s="2">
        <v>48981</v>
      </c>
      <c r="F2500" s="2">
        <v>34967</v>
      </c>
      <c r="G2500" s="2">
        <v>42274</v>
      </c>
    </row>
    <row r="2501" spans="1:7" x14ac:dyDescent="0.2">
      <c r="A2501" t="s" s="0">
        <v>1496</v>
      </c>
      <c r="B2501" s="2">
        <v>1329265</v>
      </c>
      <c r="C2501" s="2">
        <v>46768</v>
      </c>
      <c r="D2501" s="2">
        <v>45735</v>
      </c>
      <c r="E2501" s="2">
        <v>48860</v>
      </c>
      <c r="F2501" s="2">
        <v>36426</v>
      </c>
      <c r="G2501" s="2">
        <v>41021</v>
      </c>
    </row>
    <row r="2502" spans="1:7" x14ac:dyDescent="0.2">
      <c r="A2502" t="s" s="0">
        <v>1495</v>
      </c>
      <c r="B2502" s="2">
        <v>1299430</v>
      </c>
      <c r="C2502" s="2">
        <v>44821</v>
      </c>
      <c r="D2502" s="2">
        <v>45165</v>
      </c>
      <c r="E2502" s="2">
        <v>48534</v>
      </c>
      <c r="F2502" s="2">
        <v>38682</v>
      </c>
      <c r="G2502" s="2">
        <v>41806</v>
      </c>
    </row>
    <row r="2503" spans="1:7" x14ac:dyDescent="0.2">
      <c r="A2503" t="s" s="0">
        <v>1494</v>
      </c>
      <c r="B2503" s="3">
        <v>1299430</v>
      </c>
      <c r="C2503" s="3">
        <v>44821</v>
      </c>
      <c r="D2503" s="3">
        <v>45165</v>
      </c>
      <c r="E2503" s="3">
        <v>48534</v>
      </c>
      <c r="F2503" s="3">
        <v>38682</v>
      </c>
      <c r="G2503" s="3">
        <v>41806</v>
      </c>
    </row>
    <row r="2504" spans="1:7" x14ac:dyDescent="0.2">
      <c r="A2504" t="s" s="0">
        <v>1493</v>
      </c>
      <c r="B2504" s="3">
        <v>1299430</v>
      </c>
      <c r="C2504" s="3">
        <v>44821</v>
      </c>
      <c r="D2504" s="3">
        <v>45165</v>
      </c>
      <c r="E2504" s="3">
        <v>48534</v>
      </c>
      <c r="F2504" s="3">
        <v>38682</v>
      </c>
      <c r="G2504" s="3">
        <v>41806</v>
      </c>
    </row>
    <row r="2505" spans="1:7" x14ac:dyDescent="0.2">
      <c r="A2505" t="s" s="0">
        <v>1492</v>
      </c>
      <c r="B2505" s="2">
        <v>1264744</v>
      </c>
      <c r="C2505" s="2">
        <v>26017</v>
      </c>
      <c r="D2505" s="2">
        <v>44728</v>
      </c>
      <c r="E2505" s="2">
        <v>47884</v>
      </c>
      <c r="F2505" s="2">
        <v>36910</v>
      </c>
      <c r="G2505" s="2">
        <v>40730</v>
      </c>
    </row>
    <row r="2506" spans="1:7" x14ac:dyDescent="0.2">
      <c r="A2506" t="s" s="0">
        <v>1491</v>
      </c>
      <c r="B2506" s="2">
        <v>1389598</v>
      </c>
      <c r="C2506" s="2">
        <v>50843</v>
      </c>
      <c r="D2506" s="2">
        <v>49576</v>
      </c>
      <c r="E2506" s="2">
        <v>49087</v>
      </c>
      <c r="F2506" s="2">
        <v>52795</v>
      </c>
      <c r="G2506" s="2">
        <v>48147</v>
      </c>
    </row>
    <row r="2507" spans="1:7" x14ac:dyDescent="0.2">
      <c r="A2507" t="s" s="0">
        <v>1490</v>
      </c>
      <c r="B2507" s="2">
        <v>1372720</v>
      </c>
      <c r="C2507" s="2">
        <v>56594</v>
      </c>
      <c r="D2507" s="2">
        <v>50669</v>
      </c>
      <c r="E2507" s="2">
        <v>48929</v>
      </c>
      <c r="F2507" s="2">
        <v>58365</v>
      </c>
      <c r="G2507" s="2">
        <v>46147</v>
      </c>
    </row>
    <row r="2508" spans="1:7" x14ac:dyDescent="0.2">
      <c r="A2508" t="s" s="0">
        <v>1489</v>
      </c>
      <c r="B2508" s="2">
        <v>1345093</v>
      </c>
      <c r="C2508" s="2">
        <v>52631</v>
      </c>
      <c r="D2508" s="2">
        <v>50503</v>
      </c>
      <c r="E2508" s="2">
        <v>49039</v>
      </c>
      <c r="F2508" s="2">
        <v>52653</v>
      </c>
      <c r="G2508" s="2">
        <v>47040</v>
      </c>
    </row>
    <row r="2509" spans="1:7" x14ac:dyDescent="0.2">
      <c r="A2509" t="s" s="0">
        <v>1488</v>
      </c>
      <c r="B2509" s="2">
        <v>1337512</v>
      </c>
      <c r="C2509" s="2">
        <v>53790</v>
      </c>
      <c r="D2509" s="2">
        <v>53766</v>
      </c>
      <c r="E2509" s="2">
        <v>49607</v>
      </c>
      <c r="F2509" s="2">
        <v>59095</v>
      </c>
      <c r="G2509" s="2">
        <v>47009</v>
      </c>
    </row>
    <row r="2510" spans="1:7" x14ac:dyDescent="0.2">
      <c r="A2510" t="s" s="0">
        <v>1487</v>
      </c>
      <c r="B2510" s="3">
        <v>1337512</v>
      </c>
      <c r="C2510" s="3">
        <v>53790</v>
      </c>
      <c r="D2510" s="3">
        <v>53766</v>
      </c>
      <c r="E2510" s="3">
        <v>49607</v>
      </c>
      <c r="F2510" s="3">
        <v>59095</v>
      </c>
      <c r="G2510" s="3">
        <v>47009</v>
      </c>
    </row>
    <row r="2511" spans="1:7" x14ac:dyDescent="0.2">
      <c r="A2511" t="s" s="0">
        <v>1486</v>
      </c>
      <c r="B2511" s="3">
        <v>1337512</v>
      </c>
      <c r="C2511" s="3">
        <v>53790</v>
      </c>
      <c r="D2511" s="3">
        <v>53766</v>
      </c>
      <c r="E2511" s="3">
        <v>49607</v>
      </c>
      <c r="F2511" s="3">
        <v>59095</v>
      </c>
      <c r="G2511" s="3">
        <v>47009</v>
      </c>
    </row>
    <row r="2512" spans="1:7" x14ac:dyDescent="0.2">
      <c r="A2512" t="s" s="0">
        <v>1485</v>
      </c>
      <c r="B2512" s="2">
        <v>1361715</v>
      </c>
      <c r="C2512" s="2">
        <v>30838</v>
      </c>
      <c r="D2512" s="2">
        <v>54353</v>
      </c>
      <c r="E2512" s="2">
        <v>48954</v>
      </c>
      <c r="F2512" s="2">
        <v>68094</v>
      </c>
      <c r="G2512" s="2">
        <v>49595</v>
      </c>
    </row>
    <row r="2513" spans="1:7" x14ac:dyDescent="0.2">
      <c r="A2513" t="s" s="0">
        <v>1484</v>
      </c>
      <c r="B2513" s="2">
        <v>1380244</v>
      </c>
      <c r="C2513" s="2">
        <v>49106</v>
      </c>
      <c r="D2513" s="2">
        <v>55520</v>
      </c>
      <c r="E2513" s="2">
        <v>50289</v>
      </c>
      <c r="F2513" s="2">
        <v>54062</v>
      </c>
      <c r="G2513" s="2">
        <v>53504</v>
      </c>
    </row>
    <row r="2514" spans="1:7" x14ac:dyDescent="0.2">
      <c r="A2514" t="s" s="0">
        <v>1483</v>
      </c>
      <c r="B2514" s="2">
        <v>1325889</v>
      </c>
      <c r="C2514" s="2">
        <v>54279</v>
      </c>
      <c r="D2514" s="2">
        <v>55189</v>
      </c>
      <c r="E2514" s="2">
        <v>50612</v>
      </c>
      <c r="F2514" s="2">
        <v>48481</v>
      </c>
      <c r="G2514" s="2">
        <v>51030</v>
      </c>
    </row>
    <row r="2515" spans="1:7" x14ac:dyDescent="0.2">
      <c r="A2515" t="s" s="0">
        <v>1482</v>
      </c>
      <c r="B2515" s="2">
        <v>1280040</v>
      </c>
      <c r="C2515" s="2">
        <v>46235</v>
      </c>
      <c r="D2515" s="2">
        <v>54275</v>
      </c>
      <c r="E2515" s="2">
        <v>50681</v>
      </c>
      <c r="F2515" s="2">
        <v>44909</v>
      </c>
      <c r="G2515" s="2">
        <v>48352</v>
      </c>
    </row>
    <row r="2516" spans="1:7" x14ac:dyDescent="0.2">
      <c r="A2516" t="s" s="0">
        <v>1481</v>
      </c>
      <c r="B2516" s="2">
        <v>1290449</v>
      </c>
      <c r="C2516" s="2">
        <v>47692</v>
      </c>
      <c r="D2516" s="2">
        <v>52403</v>
      </c>
      <c r="E2516" s="2">
        <v>50726</v>
      </c>
      <c r="F2516" s="2">
        <v>45606</v>
      </c>
      <c r="G2516" s="2">
        <v>49484</v>
      </c>
    </row>
    <row r="2517" spans="1:7" x14ac:dyDescent="0.2">
      <c r="A2517" t="s" s="0">
        <v>1480</v>
      </c>
      <c r="B2517" s="3">
        <v>1290449</v>
      </c>
      <c r="C2517" s="3">
        <v>47692</v>
      </c>
      <c r="D2517" s="3">
        <v>52403</v>
      </c>
      <c r="E2517" s="3">
        <v>50726</v>
      </c>
      <c r="F2517" s="3">
        <v>45606</v>
      </c>
      <c r="G2517" s="3">
        <v>49484</v>
      </c>
    </row>
    <row r="2518" spans="1:7" x14ac:dyDescent="0.2">
      <c r="A2518" t="s" s="0">
        <v>1479</v>
      </c>
      <c r="B2518" s="3">
        <v>1290449</v>
      </c>
      <c r="C2518" s="3">
        <v>47692</v>
      </c>
      <c r="D2518" s="3">
        <v>52403</v>
      </c>
      <c r="E2518" s="3">
        <v>50726</v>
      </c>
      <c r="F2518" s="3">
        <v>45606</v>
      </c>
      <c r="G2518" s="3">
        <v>49484</v>
      </c>
    </row>
    <row r="2519" spans="1:7" x14ac:dyDescent="0.2">
      <c r="A2519" t="s" s="0">
        <v>1478</v>
      </c>
      <c r="B2519" s="2">
        <v>1254516</v>
      </c>
      <c r="C2519" s="2">
        <v>26031</v>
      </c>
      <c r="D2519" s="2">
        <v>49564</v>
      </c>
      <c r="E2519" s="2">
        <v>49782</v>
      </c>
      <c r="F2519" s="2">
        <v>34177</v>
      </c>
      <c r="G2519" s="2">
        <v>42020</v>
      </c>
    </row>
    <row r="2520" spans="1:7" x14ac:dyDescent="0.2">
      <c r="A2520" t="s" s="0">
        <v>1477</v>
      </c>
      <c r="B2520" s="2">
        <v>1332831</v>
      </c>
      <c r="C2520" s="2">
        <v>45771</v>
      </c>
      <c r="D2520" s="2">
        <v>45737</v>
      </c>
      <c r="E2520" s="2">
        <v>50522</v>
      </c>
      <c r="F2520" s="2">
        <v>38828</v>
      </c>
      <c r="G2520" s="2">
        <v>46698</v>
      </c>
    </row>
    <row r="2521" spans="1:7" x14ac:dyDescent="0.2">
      <c r="A2521" t="s" s="0">
        <v>1476</v>
      </c>
      <c r="B2521" s="2">
        <v>1359030</v>
      </c>
      <c r="C2521" s="2">
        <v>48644</v>
      </c>
      <c r="D2521" s="2">
        <v>47075</v>
      </c>
      <c r="E2521" s="2">
        <v>50344</v>
      </c>
      <c r="F2521" s="2">
        <v>51674</v>
      </c>
      <c r="G2521" s="2">
        <v>48372</v>
      </c>
    </row>
    <row r="2522" spans="1:7" x14ac:dyDescent="0.2">
      <c r="A2522" t="s" s="0">
        <v>1475</v>
      </c>
      <c r="B2522" s="2">
        <v>1434403</v>
      </c>
      <c r="C2522" s="2">
        <v>54474</v>
      </c>
      <c r="D2522" s="2">
        <v>48252</v>
      </c>
      <c r="E2522" s="2">
        <v>49691</v>
      </c>
      <c r="F2522" s="2">
        <v>70223</v>
      </c>
      <c r="G2522" s="2">
        <v>51053</v>
      </c>
    </row>
    <row r="2523" spans="1:7" x14ac:dyDescent="0.2">
      <c r="A2523" t="s" s="0">
        <v>1474</v>
      </c>
      <c r="B2523" s="2">
        <v>1452295</v>
      </c>
      <c r="C2523" s="2">
        <v>53244</v>
      </c>
      <c r="D2523" s="2">
        <v>48494</v>
      </c>
      <c r="E2523" s="2">
        <v>49957</v>
      </c>
      <c r="F2523" s="2">
        <v>71519</v>
      </c>
      <c r="G2523" s="2">
        <v>53725</v>
      </c>
    </row>
    <row r="2524" spans="1:7" x14ac:dyDescent="0.2">
      <c r="A2524" t="s" s="0">
        <v>1473</v>
      </c>
      <c r="B2524" s="3">
        <v>1452295</v>
      </c>
      <c r="C2524" s="3">
        <v>53244</v>
      </c>
      <c r="D2524" s="3">
        <v>48494</v>
      </c>
      <c r="E2524" s="3">
        <v>49957</v>
      </c>
      <c r="F2524" s="3">
        <v>71519</v>
      </c>
      <c r="G2524" s="3">
        <v>53725</v>
      </c>
    </row>
    <row r="2525" spans="1:7" x14ac:dyDescent="0.2">
      <c r="A2525" t="s" s="0">
        <v>1472</v>
      </c>
      <c r="B2525" s="3">
        <v>1452295</v>
      </c>
      <c r="C2525" s="3">
        <v>53244</v>
      </c>
      <c r="D2525" s="3">
        <v>48494</v>
      </c>
      <c r="E2525" s="3">
        <v>49957</v>
      </c>
      <c r="F2525" s="3">
        <v>71519</v>
      </c>
      <c r="G2525" s="3">
        <v>53725</v>
      </c>
    </row>
    <row r="2526" spans="1:7" x14ac:dyDescent="0.2">
      <c r="A2526" t="s" s="0">
        <v>1471</v>
      </c>
      <c r="B2526" s="2">
        <v>1439352</v>
      </c>
      <c r="C2526" s="2">
        <v>29877</v>
      </c>
      <c r="D2526" s="2">
        <v>52746</v>
      </c>
      <c r="E2526" s="2">
        <v>50348</v>
      </c>
      <c r="F2526" s="2">
        <v>79055</v>
      </c>
      <c r="G2526" s="2">
        <v>54559</v>
      </c>
    </row>
    <row r="2527" spans="1:7" x14ac:dyDescent="0.2">
      <c r="A2527" t="s" s="0">
        <v>1470</v>
      </c>
      <c r="B2527" s="2">
        <v>1431641</v>
      </c>
      <c r="C2527" s="2">
        <v>40204</v>
      </c>
      <c r="D2527" s="2">
        <v>49310</v>
      </c>
      <c r="E2527" s="2">
        <v>50036</v>
      </c>
      <c r="F2527" s="2">
        <v>63027</v>
      </c>
      <c r="G2527" s="2">
        <v>52178</v>
      </c>
    </row>
    <row r="2528" spans="1:7" x14ac:dyDescent="0.2">
      <c r="A2528" t="s" s="0">
        <v>1469</v>
      </c>
      <c r="B2528" s="2">
        <v>1465187</v>
      </c>
      <c r="C2528" s="2">
        <v>57412</v>
      </c>
      <c r="D2528" s="2">
        <v>49135</v>
      </c>
      <c r="E2528" s="2">
        <v>50517</v>
      </c>
      <c r="F2528" s="2">
        <v>63821</v>
      </c>
      <c r="G2528" s="2">
        <v>55585</v>
      </c>
    </row>
    <row r="2529" spans="1:7" x14ac:dyDescent="0.2">
      <c r="A2529" t="s" s="0">
        <v>1468</v>
      </c>
      <c r="B2529" s="2">
        <v>1426106</v>
      </c>
      <c r="C2529" s="2">
        <v>50565</v>
      </c>
      <c r="D2529" s="2">
        <v>57005</v>
      </c>
      <c r="E2529" s="2">
        <v>52509</v>
      </c>
      <c r="F2529" s="2">
        <v>55342</v>
      </c>
      <c r="G2529" s="2">
        <v>55782</v>
      </c>
    </row>
    <row r="2530" spans="1:7" x14ac:dyDescent="0.2">
      <c r="A2530" t="s" s="0">
        <v>1467</v>
      </c>
      <c r="B2530" s="2">
        <v>1400428</v>
      </c>
      <c r="C2530" s="2">
        <v>55669</v>
      </c>
      <c r="D2530" s="2">
        <v>56923</v>
      </c>
      <c r="E2530" s="2">
        <v>52896</v>
      </c>
      <c r="F2530" s="2">
        <v>49050</v>
      </c>
      <c r="G2530" s="2">
        <v>56318</v>
      </c>
    </row>
    <row r="2531" spans="1:7" x14ac:dyDescent="0.2">
      <c r="A2531" t="s" s="0">
        <v>1466</v>
      </c>
      <c r="B2531" s="3">
        <v>1400428</v>
      </c>
      <c r="C2531" s="3">
        <v>55669</v>
      </c>
      <c r="D2531" s="3">
        <v>56923</v>
      </c>
      <c r="E2531" s="3">
        <v>52896</v>
      </c>
      <c r="F2531" s="3">
        <v>49050</v>
      </c>
      <c r="G2531" s="3">
        <v>56318</v>
      </c>
    </row>
    <row r="2532" spans="1:7" x14ac:dyDescent="0.2">
      <c r="A2532" t="s" s="0">
        <v>1465</v>
      </c>
      <c r="B2532" s="3">
        <v>1400428</v>
      </c>
      <c r="C2532" s="3">
        <v>55669</v>
      </c>
      <c r="D2532" s="3">
        <v>56923</v>
      </c>
      <c r="E2532" s="3">
        <v>52896</v>
      </c>
      <c r="F2532" s="3">
        <v>49050</v>
      </c>
      <c r="G2532" s="3">
        <v>56318</v>
      </c>
    </row>
    <row r="2533" spans="1:7" x14ac:dyDescent="0.2">
      <c r="A2533" t="s" s="0">
        <v>1464</v>
      </c>
      <c r="B2533" s="2">
        <v>1340545</v>
      </c>
      <c r="C2533" s="2">
        <v>27847</v>
      </c>
      <c r="D2533" s="2">
        <v>56704</v>
      </c>
      <c r="E2533" s="2">
        <v>53342</v>
      </c>
      <c r="F2533" s="2">
        <v>42126</v>
      </c>
      <c r="G2533" s="2">
        <v>55863</v>
      </c>
    </row>
    <row r="2534" spans="1:7" x14ac:dyDescent="0.2">
      <c r="A2534" t="s" s="0">
        <v>1463</v>
      </c>
      <c r="B2534" s="2">
        <v>1340352</v>
      </c>
      <c r="C2534" s="2">
        <v>44310</v>
      </c>
      <c r="D2534" s="2">
        <v>58127</v>
      </c>
      <c r="E2534" s="2">
        <v>52173</v>
      </c>
      <c r="F2534" s="2">
        <v>45006</v>
      </c>
      <c r="G2534" s="2">
        <v>50231</v>
      </c>
    </row>
    <row r="2535" spans="1:7" x14ac:dyDescent="0.2">
      <c r="A2535" t="s" s="0">
        <v>1462</v>
      </c>
      <c r="B2535" s="2">
        <v>1346947</v>
      </c>
      <c r="C2535" s="2">
        <v>50154</v>
      </c>
      <c r="D2535" s="2">
        <v>56375</v>
      </c>
      <c r="E2535" s="2">
        <v>51943</v>
      </c>
      <c r="F2535" s="2">
        <v>39480</v>
      </c>
      <c r="G2535" s="2">
        <v>50864</v>
      </c>
    </row>
    <row r="2536" spans="1:7" x14ac:dyDescent="0.2">
      <c r="A2536" t="s" s="0">
        <v>1461</v>
      </c>
      <c r="B2536" s="2">
        <v>1354866</v>
      </c>
      <c r="C2536" s="2">
        <v>46278</v>
      </c>
      <c r="D2536" s="2">
        <v>48762</v>
      </c>
      <c r="E2536" s="2">
        <v>52074</v>
      </c>
      <c r="F2536" s="2">
        <v>38581</v>
      </c>
      <c r="G2536" s="2">
        <v>52264</v>
      </c>
    </row>
    <row r="2537" spans="1:7" x14ac:dyDescent="0.2">
      <c r="A2537" t="s" s="0">
        <v>1460</v>
      </c>
      <c r="B2537" s="2">
        <v>1382447</v>
      </c>
      <c r="C2537" s="2">
        <v>50453</v>
      </c>
      <c r="D2537" s="2">
        <v>50724</v>
      </c>
      <c r="E2537" s="2">
        <v>52136</v>
      </c>
      <c r="F2537" s="2">
        <v>48201</v>
      </c>
      <c r="G2537" s="2">
        <v>53594</v>
      </c>
    </row>
    <row r="2538" spans="1:7" x14ac:dyDescent="0.2">
      <c r="A2538" t="s" s="0">
        <v>1459</v>
      </c>
      <c r="B2538" s="3">
        <v>1382447</v>
      </c>
      <c r="C2538" s="3">
        <v>50453</v>
      </c>
      <c r="D2538" s="3">
        <v>50724</v>
      </c>
      <c r="E2538" s="3">
        <v>52136</v>
      </c>
      <c r="F2538" s="3">
        <v>48201</v>
      </c>
      <c r="G2538" s="3">
        <v>53594</v>
      </c>
    </row>
    <row r="2539" spans="1:7" x14ac:dyDescent="0.2">
      <c r="A2539" t="s" s="0">
        <v>1458</v>
      </c>
      <c r="B2539" s="3">
        <v>1382447</v>
      </c>
      <c r="C2539" s="3">
        <v>50453</v>
      </c>
      <c r="D2539" s="3">
        <v>50724</v>
      </c>
      <c r="E2539" s="3">
        <v>52136</v>
      </c>
      <c r="F2539" s="3">
        <v>48201</v>
      </c>
      <c r="G2539" s="3">
        <v>53594</v>
      </c>
    </row>
    <row r="2540" spans="1:7" x14ac:dyDescent="0.2">
      <c r="A2540" t="s" s="0">
        <v>1457</v>
      </c>
      <c r="B2540" s="2">
        <v>1256957</v>
      </c>
      <c r="C2540" s="2">
        <v>30125</v>
      </c>
      <c r="D2540" s="2">
        <v>55924</v>
      </c>
      <c r="E2540" s="2">
        <v>53734</v>
      </c>
      <c r="F2540" s="2">
        <v>44028</v>
      </c>
      <c r="G2540" s="2">
        <v>49846</v>
      </c>
    </row>
    <row r="2541" spans="1:7" x14ac:dyDescent="0.2">
      <c r="A2541" t="s" s="0">
        <v>1456</v>
      </c>
      <c r="B2541" s="2">
        <v>1206439</v>
      </c>
      <c r="C2541" s="2">
        <v>45514</v>
      </c>
      <c r="D2541" s="2">
        <v>55975</v>
      </c>
      <c r="E2541" s="2">
        <v>52287</v>
      </c>
      <c r="F2541" s="2">
        <v>36890</v>
      </c>
      <c r="G2541" s="2">
        <v>45938</v>
      </c>
    </row>
    <row r="2542" spans="1:7" x14ac:dyDescent="0.2">
      <c r="A2542" t="s" s="0">
        <v>1455</v>
      </c>
      <c r="B2542" s="2">
        <v>1279961</v>
      </c>
      <c r="C2542" s="2">
        <v>49823</v>
      </c>
      <c r="D2542" s="2">
        <v>55927</v>
      </c>
      <c r="E2542" s="2">
        <v>52128</v>
      </c>
      <c r="F2542" s="2">
        <v>46391</v>
      </c>
      <c r="G2542" s="2">
        <v>50342</v>
      </c>
    </row>
    <row r="2543" spans="1:7" x14ac:dyDescent="0.2">
      <c r="A2543" t="s" s="0">
        <v>1454</v>
      </c>
      <c r="B2543" s="2">
        <v>1257552</v>
      </c>
      <c r="C2543" s="2">
        <v>52599</v>
      </c>
      <c r="D2543" s="2">
        <v>56517</v>
      </c>
      <c r="E2543" s="2">
        <v>52634</v>
      </c>
      <c r="F2543" s="2">
        <v>42648</v>
      </c>
      <c r="G2543" s="2">
        <v>51699</v>
      </c>
    </row>
    <row r="2544" spans="1:7" x14ac:dyDescent="0.2">
      <c r="A2544" t="s" s="0">
        <v>1453</v>
      </c>
      <c r="B2544" s="2">
        <v>1299696</v>
      </c>
      <c r="C2544" s="2">
        <v>52270</v>
      </c>
      <c r="D2544" s="2">
        <v>54070</v>
      </c>
      <c r="E2544" s="2">
        <v>52553</v>
      </c>
      <c r="F2544" s="2">
        <v>42232</v>
      </c>
      <c r="G2544" s="2">
        <v>52751</v>
      </c>
    </row>
    <row r="2545" spans="1:7" x14ac:dyDescent="0.2">
      <c r="A2545" t="s" s="0">
        <v>1452</v>
      </c>
      <c r="B2545" s="3">
        <v>1299696</v>
      </c>
      <c r="C2545" s="3">
        <v>52270</v>
      </c>
      <c r="D2545" s="3">
        <v>54070</v>
      </c>
      <c r="E2545" s="3">
        <v>52553</v>
      </c>
      <c r="F2545" s="3">
        <v>42232</v>
      </c>
      <c r="G2545" s="3">
        <v>52751</v>
      </c>
    </row>
    <row r="2546" spans="1:7" x14ac:dyDescent="0.2">
      <c r="A2546" t="s" s="0">
        <v>1451</v>
      </c>
      <c r="B2546" s="3">
        <v>1299696</v>
      </c>
      <c r="C2546" s="3">
        <v>52270</v>
      </c>
      <c r="D2546" s="3">
        <v>54070</v>
      </c>
      <c r="E2546" s="3">
        <v>52553</v>
      </c>
      <c r="F2546" s="3">
        <v>42232</v>
      </c>
      <c r="G2546" s="3">
        <v>52751</v>
      </c>
    </row>
    <row r="2547" spans="1:7" x14ac:dyDescent="0.2">
      <c r="A2547" t="s" s="0">
        <v>1450</v>
      </c>
      <c r="B2547" s="2">
        <v>1313510</v>
      </c>
      <c r="C2547" s="2">
        <v>32620</v>
      </c>
      <c r="D2547" s="2">
        <v>48021</v>
      </c>
      <c r="E2547" s="2">
        <v>53349</v>
      </c>
      <c r="F2547" s="2">
        <v>56084</v>
      </c>
      <c r="G2547" s="2">
        <v>55323</v>
      </c>
    </row>
    <row r="2548" spans="1:7" x14ac:dyDescent="0.2">
      <c r="A2548" t="s" s="0">
        <v>1449</v>
      </c>
      <c r="B2548" s="2">
        <v>1281617</v>
      </c>
      <c r="C2548" s="2">
        <v>53960</v>
      </c>
      <c r="D2548" s="2">
        <v>49362</v>
      </c>
      <c r="E2548" s="2">
        <v>53193</v>
      </c>
      <c r="F2548" s="2">
        <v>60086</v>
      </c>
      <c r="G2548" s="2">
        <v>51252</v>
      </c>
    </row>
    <row r="2549" spans="1:7" x14ac:dyDescent="0.2">
      <c r="A2549" t="s" s="0">
        <v>1448</v>
      </c>
      <c r="B2549" s="2">
        <v>1218578</v>
      </c>
      <c r="C2549" s="2">
        <v>54167</v>
      </c>
      <c r="D2549" s="2">
        <v>51229</v>
      </c>
      <c r="E2549" s="2">
        <v>53167</v>
      </c>
      <c r="F2549" s="2">
        <v>42339</v>
      </c>
      <c r="G2549" s="2">
        <v>48008</v>
      </c>
    </row>
    <row r="2550" spans="1:7" x14ac:dyDescent="0.2">
      <c r="A2550" t="s" s="0">
        <v>1447</v>
      </c>
      <c r="B2550" s="2">
        <v>1206227</v>
      </c>
      <c r="C2550" s="2">
        <v>52351</v>
      </c>
      <c r="D2550" s="2">
        <v>50078</v>
      </c>
      <c r="E2550" s="2">
        <v>53091</v>
      </c>
      <c r="F2550" s="2">
        <v>42625</v>
      </c>
      <c r="G2550" s="2">
        <v>44799</v>
      </c>
    </row>
    <row r="2551" spans="1:7" x14ac:dyDescent="0.2">
      <c r="A2551" t="s" s="0">
        <v>1446</v>
      </c>
      <c r="B2551" s="2">
        <v>1246658</v>
      </c>
      <c r="C2551" s="2">
        <v>55140</v>
      </c>
      <c r="D2551" s="2">
        <v>50488</v>
      </c>
      <c r="E2551" s="2">
        <v>53051</v>
      </c>
      <c r="F2551" s="2">
        <v>42790</v>
      </c>
      <c r="G2551" s="2">
        <v>45568</v>
      </c>
    </row>
    <row r="2552" spans="1:7" x14ac:dyDescent="0.2">
      <c r="A2552" t="s" s="0">
        <v>1445</v>
      </c>
      <c r="B2552" s="3">
        <v>1246658</v>
      </c>
      <c r="C2552" s="3">
        <v>55140</v>
      </c>
      <c r="D2552" s="3">
        <v>50488</v>
      </c>
      <c r="E2552" s="3">
        <v>53051</v>
      </c>
      <c r="F2552" s="3">
        <v>42790</v>
      </c>
      <c r="G2552" s="3">
        <v>45568</v>
      </c>
    </row>
    <row r="2553" spans="1:7" x14ac:dyDescent="0.2">
      <c r="A2553" t="s" s="0">
        <v>1444</v>
      </c>
      <c r="B2553" s="3">
        <v>1246658</v>
      </c>
      <c r="C2553" s="3">
        <v>55140</v>
      </c>
      <c r="D2553" s="3">
        <v>50488</v>
      </c>
      <c r="E2553" s="3">
        <v>53051</v>
      </c>
      <c r="F2553" s="3">
        <v>42790</v>
      </c>
      <c r="G2553" s="3">
        <v>45568</v>
      </c>
    </row>
    <row r="2554" spans="1:7" x14ac:dyDescent="0.2">
      <c r="A2554" t="s" s="0">
        <v>1443</v>
      </c>
      <c r="B2554" s="2">
        <v>1191625</v>
      </c>
      <c r="C2554" s="2">
        <v>29313</v>
      </c>
      <c r="D2554" s="2">
        <v>54827</v>
      </c>
      <c r="E2554" s="2">
        <v>53869</v>
      </c>
      <c r="F2554" s="2">
        <v>37294</v>
      </c>
      <c r="G2554" s="2">
        <v>44883</v>
      </c>
    </row>
    <row r="2555" spans="1:7" x14ac:dyDescent="0.2">
      <c r="A2555" t="s" s="0">
        <v>1442</v>
      </c>
      <c r="B2555" s="2">
        <v>1159115</v>
      </c>
      <c r="C2555" s="2">
        <v>48589</v>
      </c>
      <c r="D2555" s="2">
        <v>54620</v>
      </c>
      <c r="E2555" s="2">
        <v>54521</v>
      </c>
      <c r="F2555" s="2">
        <v>36956</v>
      </c>
      <c r="G2555" s="2">
        <v>44734</v>
      </c>
    </row>
    <row r="2556" spans="1:7" x14ac:dyDescent="0.2">
      <c r="A2556" t="s" s="0">
        <v>1441</v>
      </c>
      <c r="B2556" s="2">
        <v>1113817</v>
      </c>
      <c r="C2556" s="2">
        <v>58367</v>
      </c>
      <c r="D2556" s="2">
        <v>57759</v>
      </c>
      <c r="E2556" s="2">
        <v>55323</v>
      </c>
      <c r="F2556" s="2">
        <v>42721</v>
      </c>
      <c r="G2556" s="2">
        <v>42733</v>
      </c>
    </row>
    <row r="2557" spans="1:7" x14ac:dyDescent="0.2">
      <c r="A2557" t="s" s="0">
        <v>1440</v>
      </c>
      <c r="B2557" s="2">
        <v>1136174</v>
      </c>
      <c r="C2557" s="2">
        <v>54495</v>
      </c>
      <c r="D2557" s="2">
        <v>58966</v>
      </c>
      <c r="E2557" s="2">
        <v>53581</v>
      </c>
      <c r="F2557" s="2">
        <v>48815</v>
      </c>
      <c r="G2557" s="2">
        <v>43167</v>
      </c>
    </row>
    <row r="2558" spans="1:7" x14ac:dyDescent="0.2">
      <c r="A2558" t="s" s="0">
        <v>1439</v>
      </c>
      <c r="B2558" s="2">
        <v>1166189</v>
      </c>
      <c r="C2558" s="2">
        <v>56490</v>
      </c>
      <c r="D2558" s="2">
        <v>59159</v>
      </c>
      <c r="E2558" s="2">
        <v>53610</v>
      </c>
      <c r="F2558" s="2">
        <v>47520</v>
      </c>
      <c r="G2558" s="2">
        <v>45186</v>
      </c>
    </row>
    <row r="2559" spans="1:7" x14ac:dyDescent="0.2">
      <c r="A2559" t="s" s="0">
        <v>1438</v>
      </c>
      <c r="B2559" s="3">
        <v>1166189</v>
      </c>
      <c r="C2559" s="3">
        <v>56490</v>
      </c>
      <c r="D2559" s="3">
        <v>59159</v>
      </c>
      <c r="E2559" s="3">
        <v>53610</v>
      </c>
      <c r="F2559" s="3">
        <v>47520</v>
      </c>
      <c r="G2559" s="3">
        <v>45186</v>
      </c>
    </row>
    <row r="2560" spans="1:7" x14ac:dyDescent="0.2">
      <c r="A2560" t="s" s="0">
        <v>1437</v>
      </c>
      <c r="B2560" s="3">
        <v>1166189</v>
      </c>
      <c r="C2560" s="3">
        <v>56490</v>
      </c>
      <c r="D2560" s="3">
        <v>59159</v>
      </c>
      <c r="E2560" s="3">
        <v>53610</v>
      </c>
      <c r="F2560" s="3">
        <v>47520</v>
      </c>
      <c r="G2560" s="3">
        <v>45186</v>
      </c>
    </row>
    <row r="2561" spans="1:7" x14ac:dyDescent="0.2">
      <c r="A2561" t="s" s="0">
        <v>1436</v>
      </c>
      <c r="B2561" s="2">
        <v>1214773</v>
      </c>
      <c r="C2561" s="2">
        <v>34582</v>
      </c>
      <c r="D2561" s="2">
        <v>58959</v>
      </c>
      <c r="E2561" s="2">
        <v>54433</v>
      </c>
      <c r="F2561" s="2">
        <v>62122</v>
      </c>
      <c r="G2561" s="2">
        <v>49882</v>
      </c>
    </row>
    <row r="2562" spans="1:7" x14ac:dyDescent="0.2">
      <c r="A2562" t="s" s="0">
        <v>1435</v>
      </c>
      <c r="B2562" s="2">
        <v>1209416</v>
      </c>
      <c r="C2562" s="2">
        <v>47357</v>
      </c>
      <c r="D2562" s="2">
        <v>57374</v>
      </c>
      <c r="E2562" s="2">
        <v>54333</v>
      </c>
      <c r="F2562" s="2">
        <v>64458</v>
      </c>
      <c r="G2562" s="2">
        <v>49597</v>
      </c>
    </row>
    <row r="2563" spans="1:7" x14ac:dyDescent="0.2">
      <c r="A2563" t="s" s="0">
        <v>1434</v>
      </c>
      <c r="B2563" s="2">
        <v>1139361</v>
      </c>
      <c r="C2563" s="2">
        <v>53294</v>
      </c>
      <c r="D2563" s="2">
        <v>55292</v>
      </c>
      <c r="E2563" s="2">
        <v>55052</v>
      </c>
      <c r="F2563" s="2">
        <v>58837</v>
      </c>
      <c r="G2563" s="2">
        <v>47572</v>
      </c>
    </row>
    <row r="2564" spans="1:7" x14ac:dyDescent="0.2">
      <c r="A2564" t="s" s="0">
        <v>1433</v>
      </c>
      <c r="B2564" s="2">
        <v>1129297</v>
      </c>
      <c r="C2564" s="2">
        <v>54909</v>
      </c>
      <c r="D2564" s="2">
        <v>58795</v>
      </c>
      <c r="E2564" s="2">
        <v>56089</v>
      </c>
      <c r="F2564" s="2">
        <v>57741</v>
      </c>
      <c r="G2564" s="2">
        <v>47957</v>
      </c>
    </row>
    <row r="2565" spans="1:7" x14ac:dyDescent="0.2">
      <c r="A2565" t="s" s="0">
        <v>1432</v>
      </c>
      <c r="B2565" s="2">
        <v>1178053</v>
      </c>
      <c r="C2565" s="2">
        <v>54147</v>
      </c>
      <c r="D2565" s="2">
        <v>58899</v>
      </c>
      <c r="E2565" s="2">
        <v>55654</v>
      </c>
      <c r="F2565" s="2">
        <v>60523</v>
      </c>
      <c r="G2565" s="2">
        <v>48266</v>
      </c>
    </row>
    <row r="2566" spans="1:7" x14ac:dyDescent="0.2">
      <c r="A2566" t="s" s="0">
        <v>1431</v>
      </c>
      <c r="B2566" s="3">
        <v>1178053</v>
      </c>
      <c r="C2566" s="3">
        <v>54147</v>
      </c>
      <c r="D2566" s="3">
        <v>58899</v>
      </c>
      <c r="E2566" s="3">
        <v>55654</v>
      </c>
      <c r="F2566" s="3">
        <v>60523</v>
      </c>
      <c r="G2566" s="3">
        <v>48266</v>
      </c>
    </row>
    <row r="2567" spans="1:7" x14ac:dyDescent="0.2">
      <c r="A2567" t="s" s="0">
        <v>1430</v>
      </c>
      <c r="B2567" s="3">
        <v>1178053</v>
      </c>
      <c r="C2567" s="3">
        <v>54147</v>
      </c>
      <c r="D2567" s="3">
        <v>58899</v>
      </c>
      <c r="E2567" s="3">
        <v>55654</v>
      </c>
      <c r="F2567" s="3">
        <v>60523</v>
      </c>
      <c r="G2567" s="3">
        <v>48266</v>
      </c>
    </row>
    <row r="2568" spans="1:7" x14ac:dyDescent="0.2">
      <c r="A2568" t="s" s="0">
        <v>1429</v>
      </c>
      <c r="B2568" s="2">
        <v>1192952</v>
      </c>
      <c r="C2568" s="2">
        <v>28904</v>
      </c>
      <c r="D2568" s="2">
        <v>52717</v>
      </c>
      <c r="E2568" s="2">
        <v>53631</v>
      </c>
      <c r="F2568" s="2">
        <v>49546</v>
      </c>
      <c r="G2568" s="2">
        <v>51261</v>
      </c>
    </row>
    <row r="2569" spans="1:7" x14ac:dyDescent="0.2">
      <c r="A2569" t="s" s="0">
        <v>1428</v>
      </c>
      <c r="B2569" s="2">
        <v>1140294</v>
      </c>
      <c r="C2569" s="2">
        <v>48008</v>
      </c>
      <c r="D2569" s="2">
        <v>57819</v>
      </c>
      <c r="E2569" s="2">
        <v>54794</v>
      </c>
      <c r="F2569" s="2">
        <v>47846</v>
      </c>
      <c r="G2569" s="2">
        <v>52336</v>
      </c>
    </row>
    <row r="2570" spans="1:7" x14ac:dyDescent="0.2">
      <c r="A2570" t="s" s="0">
        <v>1427</v>
      </c>
      <c r="B2570" s="2">
        <v>1108644</v>
      </c>
      <c r="C2570" s="2">
        <v>56666</v>
      </c>
      <c r="D2570" s="2">
        <v>58012</v>
      </c>
      <c r="E2570" s="2">
        <v>55573</v>
      </c>
      <c r="F2570" s="2">
        <v>53559</v>
      </c>
      <c r="G2570" s="2">
        <v>49364</v>
      </c>
    </row>
    <row r="2571" spans="1:7" x14ac:dyDescent="0.2">
      <c r="A2571" t="s" s="0">
        <v>1426</v>
      </c>
      <c r="B2571" s="2">
        <v>1049663</v>
      </c>
      <c r="C2571" s="2">
        <v>50613</v>
      </c>
      <c r="D2571" s="2">
        <v>53054</v>
      </c>
      <c r="E2571" s="2">
        <v>55223</v>
      </c>
      <c r="F2571" s="2">
        <v>41617</v>
      </c>
      <c r="G2571" s="2">
        <v>47700</v>
      </c>
    </row>
    <row r="2572" spans="1:7" x14ac:dyDescent="0.2">
      <c r="A2572" t="s" s="0">
        <v>1425</v>
      </c>
      <c r="B2572" s="2">
        <v>1058562</v>
      </c>
      <c r="C2572" s="2">
        <v>49251</v>
      </c>
      <c r="D2572" s="2">
        <v>52871</v>
      </c>
      <c r="E2572" s="2">
        <v>55354</v>
      </c>
      <c r="F2572" s="2">
        <v>35741</v>
      </c>
      <c r="G2572" s="2">
        <v>46643</v>
      </c>
    </row>
    <row r="2573" spans="1:7" x14ac:dyDescent="0.2">
      <c r="A2573" t="s" s="0">
        <v>1424</v>
      </c>
      <c r="B2573" s="3">
        <v>1058562</v>
      </c>
      <c r="C2573" s="3">
        <v>49251</v>
      </c>
      <c r="D2573" s="3">
        <v>52871</v>
      </c>
      <c r="E2573" s="3">
        <v>55354</v>
      </c>
      <c r="F2573" s="3">
        <v>35741</v>
      </c>
      <c r="G2573" s="3">
        <v>46643</v>
      </c>
    </row>
    <row r="2574" spans="1:7" x14ac:dyDescent="0.2">
      <c r="A2574" t="s" s="0">
        <v>1423</v>
      </c>
      <c r="B2574" s="3">
        <v>1058562</v>
      </c>
      <c r="C2574" s="3">
        <v>49251</v>
      </c>
      <c r="D2574" s="3">
        <v>52871</v>
      </c>
      <c r="E2574" s="3">
        <v>55354</v>
      </c>
      <c r="F2574" s="3">
        <v>35741</v>
      </c>
      <c r="G2574" s="3">
        <v>46643</v>
      </c>
    </row>
    <row r="2575" spans="1:7" x14ac:dyDescent="0.2">
      <c r="A2575" t="s" s="0">
        <v>1422</v>
      </c>
      <c r="B2575" s="2">
        <v>1032209</v>
      </c>
      <c r="C2575" s="2">
        <v>30564</v>
      </c>
      <c r="D2575" s="2">
        <v>55299</v>
      </c>
      <c r="E2575" s="2">
        <v>55451</v>
      </c>
      <c r="F2575" s="2">
        <v>32258</v>
      </c>
      <c r="G2575" s="2">
        <v>45305</v>
      </c>
    </row>
    <row r="2576" spans="1:7" x14ac:dyDescent="0.2">
      <c r="A2576" t="s" s="0">
        <v>1421</v>
      </c>
      <c r="B2576" s="2">
        <v>1062065</v>
      </c>
      <c r="C2576" s="2">
        <v>45009</v>
      </c>
      <c r="D2576" s="2">
        <v>50577</v>
      </c>
      <c r="E2576" s="2">
        <v>55097</v>
      </c>
      <c r="F2576" s="2">
        <v>39368</v>
      </c>
      <c r="G2576" s="2">
        <v>47157</v>
      </c>
    </row>
    <row r="2577" spans="1:7" x14ac:dyDescent="0.2">
      <c r="A2577" t="s" s="0">
        <v>1420</v>
      </c>
      <c r="B2577" s="2">
        <v>1061443</v>
      </c>
      <c r="C2577" s="2">
        <v>54552</v>
      </c>
      <c r="D2577" s="2">
        <v>48134</v>
      </c>
      <c r="E2577" s="2">
        <v>54799</v>
      </c>
      <c r="F2577" s="2">
        <v>41338</v>
      </c>
      <c r="G2577" s="2">
        <v>49114</v>
      </c>
    </row>
    <row r="2578" spans="1:7" x14ac:dyDescent="0.2">
      <c r="A2578" t="s" s="0">
        <v>1419</v>
      </c>
      <c r="B2578" s="2">
        <v>1079055</v>
      </c>
      <c r="C2578" s="2">
        <v>57484</v>
      </c>
      <c r="D2578" s="2">
        <v>50545</v>
      </c>
      <c r="E2578" s="2">
        <v>55340</v>
      </c>
      <c r="F2578" s="2">
        <v>54724</v>
      </c>
      <c r="G2578" s="2">
        <v>50724</v>
      </c>
    </row>
    <row r="2579" spans="1:7" x14ac:dyDescent="0.2">
      <c r="A2579" t="s" s="0">
        <v>1418</v>
      </c>
      <c r="B2579" s="2">
        <v>1139331</v>
      </c>
      <c r="C2579" s="2">
        <v>49654</v>
      </c>
      <c r="D2579" s="2">
        <v>49646</v>
      </c>
      <c r="E2579" s="2">
        <v>55144</v>
      </c>
      <c r="F2579" s="2">
        <v>61165</v>
      </c>
      <c r="G2579" s="2">
        <v>51237</v>
      </c>
    </row>
    <row r="2580" spans="1:7" x14ac:dyDescent="0.2">
      <c r="A2580" t="s" s="0">
        <v>1417</v>
      </c>
      <c r="B2580" s="3">
        <v>1139331</v>
      </c>
      <c r="C2580" s="3">
        <v>49654</v>
      </c>
      <c r="D2580" s="3">
        <v>49646</v>
      </c>
      <c r="E2580" s="3">
        <v>55144</v>
      </c>
      <c r="F2580" s="3">
        <v>61165</v>
      </c>
      <c r="G2580" s="3">
        <v>51237</v>
      </c>
    </row>
    <row r="2581" spans="1:7" x14ac:dyDescent="0.2">
      <c r="A2581" t="s" s="0">
        <v>1416</v>
      </c>
      <c r="B2581" s="3">
        <v>1139331</v>
      </c>
      <c r="C2581" s="3">
        <v>49654</v>
      </c>
      <c r="D2581" s="3">
        <v>49646</v>
      </c>
      <c r="E2581" s="3">
        <v>55144</v>
      </c>
      <c r="F2581" s="3">
        <v>61165</v>
      </c>
      <c r="G2581" s="3">
        <v>51237</v>
      </c>
    </row>
    <row r="2582" spans="1:7" x14ac:dyDescent="0.2">
      <c r="A2582" t="s" s="0">
        <v>1415</v>
      </c>
      <c r="B2582" s="2">
        <v>1010459</v>
      </c>
      <c r="C2582" s="2">
        <v>31454</v>
      </c>
      <c r="D2582" s="2">
        <v>52568</v>
      </c>
      <c r="E2582" s="2">
        <v>54886</v>
      </c>
      <c r="F2582" s="2">
        <v>49442</v>
      </c>
      <c r="G2582" s="2">
        <v>48342</v>
      </c>
    </row>
    <row r="2583" spans="1:7" x14ac:dyDescent="0.2">
      <c r="A2583" t="s" s="0">
        <v>1414</v>
      </c>
      <c r="B2583" s="2">
        <v>995514</v>
      </c>
      <c r="C2583" s="2">
        <v>50433</v>
      </c>
      <c r="D2583" s="2">
        <v>52629</v>
      </c>
      <c r="E2583" s="2">
        <v>54599</v>
      </c>
      <c r="F2583" s="2">
        <v>43058</v>
      </c>
      <c r="G2583" s="2">
        <v>48683</v>
      </c>
    </row>
    <row r="2584" spans="1:7" x14ac:dyDescent="0.2">
      <c r="A2584" t="s" s="0">
        <v>1413</v>
      </c>
      <c r="B2584" s="2">
        <v>992676</v>
      </c>
      <c r="C2584" s="2">
        <v>62333</v>
      </c>
      <c r="D2584" s="2">
        <v>53740</v>
      </c>
      <c r="E2584" s="2">
        <v>53795</v>
      </c>
      <c r="F2584" s="2">
        <v>43861</v>
      </c>
      <c r="G2584" s="2">
        <v>49399</v>
      </c>
    </row>
    <row r="2585" spans="1:7" x14ac:dyDescent="0.2">
      <c r="A2585" t="s" s="0">
        <v>1412</v>
      </c>
      <c r="B2585" s="2">
        <v>1103486</v>
      </c>
      <c r="C2585" s="2">
        <v>59674</v>
      </c>
      <c r="D2585" s="2">
        <v>52624</v>
      </c>
      <c r="E2585" s="2">
        <v>53755</v>
      </c>
      <c r="F2585" s="2">
        <v>56060</v>
      </c>
      <c r="G2585" s="2">
        <v>52536</v>
      </c>
    </row>
    <row r="2586" spans="1:7" x14ac:dyDescent="0.2">
      <c r="A2586" t="s" s="0">
        <v>1411</v>
      </c>
      <c r="B2586" s="2">
        <v>1098131</v>
      </c>
      <c r="C2586" s="2">
        <v>59732</v>
      </c>
      <c r="D2586" s="2">
        <v>54780</v>
      </c>
      <c r="E2586" s="2">
        <v>54049</v>
      </c>
      <c r="F2586" s="2">
        <v>48839</v>
      </c>
      <c r="G2586" s="2">
        <v>51567</v>
      </c>
    </row>
    <row r="2587" spans="1:7" x14ac:dyDescent="0.2">
      <c r="A2587" t="s" s="0">
        <v>1410</v>
      </c>
      <c r="B2587" s="3">
        <v>1098131</v>
      </c>
      <c r="C2587" s="3">
        <v>59732</v>
      </c>
      <c r="D2587" s="3">
        <v>54780</v>
      </c>
      <c r="E2587" s="3">
        <v>54049</v>
      </c>
      <c r="F2587" s="3">
        <v>48839</v>
      </c>
      <c r="G2587" s="3">
        <v>51567</v>
      </c>
    </row>
    <row r="2588" spans="1:7" x14ac:dyDescent="0.2">
      <c r="A2588" t="s" s="0">
        <v>1409</v>
      </c>
      <c r="B2588" s="3">
        <v>1098131</v>
      </c>
      <c r="C2588" s="3">
        <v>59732</v>
      </c>
      <c r="D2588" s="3">
        <v>54780</v>
      </c>
      <c r="E2588" s="3">
        <v>54049</v>
      </c>
      <c r="F2588" s="3">
        <v>48839</v>
      </c>
      <c r="G2588" s="3">
        <v>51567</v>
      </c>
    </row>
    <row r="2589" spans="1:7" x14ac:dyDescent="0.2">
      <c r="A2589" t="s" s="0">
        <v>1408</v>
      </c>
      <c r="B2589" s="2">
        <v>1051770</v>
      </c>
      <c r="C2589" s="2">
        <v>30039</v>
      </c>
      <c r="D2589" s="2">
        <v>51554</v>
      </c>
      <c r="E2589" s="2">
        <v>53035</v>
      </c>
      <c r="F2589" s="2">
        <v>57397</v>
      </c>
      <c r="G2589" s="2">
        <v>47161</v>
      </c>
    </row>
    <row r="2590" spans="1:7" x14ac:dyDescent="0.2">
      <c r="A2590" t="s" s="0">
        <v>1407</v>
      </c>
      <c r="B2590" s="2">
        <v>1076018</v>
      </c>
      <c r="C2590" s="2">
        <v>53671</v>
      </c>
      <c r="D2590" s="2">
        <v>52017</v>
      </c>
      <c r="E2590" s="2">
        <v>53260</v>
      </c>
      <c r="F2590" s="2">
        <v>63502</v>
      </c>
      <c r="G2590" s="2">
        <v>48444</v>
      </c>
    </row>
    <row r="2591" spans="1:7" x14ac:dyDescent="0.2">
      <c r="A2591" t="s" s="0">
        <v>1406</v>
      </c>
      <c r="B2591" s="2">
        <v>1065898</v>
      </c>
      <c r="C2591" s="2">
        <v>59380</v>
      </c>
      <c r="D2591" s="2">
        <v>51595</v>
      </c>
      <c r="E2591" s="2">
        <v>52870</v>
      </c>
      <c r="F2591" s="2">
        <v>61995</v>
      </c>
      <c r="G2591" s="2">
        <v>50188</v>
      </c>
    </row>
    <row r="2592" spans="1:7" x14ac:dyDescent="0.2">
      <c r="A2592" t="s" s="0">
        <v>1405</v>
      </c>
      <c r="B2592" s="2">
        <v>1094506</v>
      </c>
      <c r="C2592" s="2">
        <v>56390</v>
      </c>
      <c r="D2592" s="2">
        <v>51126</v>
      </c>
      <c r="E2592" s="2">
        <v>51837</v>
      </c>
      <c r="F2592" s="2">
        <v>49783</v>
      </c>
      <c r="G2592" s="2">
        <v>50546</v>
      </c>
    </row>
    <row r="2593" spans="1:7" x14ac:dyDescent="0.2">
      <c r="A2593" t="s" s="0">
        <v>1404</v>
      </c>
      <c r="B2593" s="2">
        <v>1122117</v>
      </c>
      <c r="C2593" s="2">
        <v>58947</v>
      </c>
      <c r="D2593" s="2">
        <v>51978</v>
      </c>
      <c r="E2593" s="2">
        <v>52319</v>
      </c>
      <c r="F2593" s="2">
        <v>55344</v>
      </c>
      <c r="G2593" s="2">
        <v>50272</v>
      </c>
    </row>
    <row r="2594" spans="1:7" x14ac:dyDescent="0.2">
      <c r="A2594" t="s" s="0">
        <v>1403</v>
      </c>
      <c r="B2594" s="3">
        <v>1122117</v>
      </c>
      <c r="C2594" s="3">
        <v>58947</v>
      </c>
      <c r="D2594" s="3">
        <v>51978</v>
      </c>
      <c r="E2594" s="3">
        <v>52319</v>
      </c>
      <c r="F2594" s="3">
        <v>55344</v>
      </c>
      <c r="G2594" s="3">
        <v>50272</v>
      </c>
    </row>
    <row r="2595" spans="1:7" x14ac:dyDescent="0.2">
      <c r="A2595" t="s" s="0">
        <v>1402</v>
      </c>
      <c r="B2595" s="3">
        <v>1122117</v>
      </c>
      <c r="C2595" s="3">
        <v>58947</v>
      </c>
      <c r="D2595" s="3">
        <v>51978</v>
      </c>
      <c r="E2595" s="3">
        <v>52319</v>
      </c>
      <c r="F2595" s="3">
        <v>55344</v>
      </c>
      <c r="G2595" s="3">
        <v>50272</v>
      </c>
    </row>
    <row r="2596" spans="1:7" x14ac:dyDescent="0.2">
      <c r="A2596" t="s" s="0">
        <v>1401</v>
      </c>
      <c r="B2596" s="2">
        <v>1005530</v>
      </c>
      <c r="C2596" s="2">
        <v>34134</v>
      </c>
      <c r="D2596" s="2">
        <v>52186</v>
      </c>
      <c r="E2596" s="2">
        <v>52902</v>
      </c>
      <c r="F2596" s="2">
        <v>45524</v>
      </c>
      <c r="G2596" s="2">
        <v>46155</v>
      </c>
    </row>
    <row r="2597" spans="1:7" x14ac:dyDescent="0.2">
      <c r="A2597" t="s" s="0">
        <v>1400</v>
      </c>
      <c r="B2597" s="2">
        <v>1015494</v>
      </c>
      <c r="C2597" s="2">
        <v>48906</v>
      </c>
      <c r="D2597" s="2">
        <v>51505</v>
      </c>
      <c r="E2597" s="2">
        <v>51682</v>
      </c>
      <c r="F2597" s="2">
        <v>42799</v>
      </c>
      <c r="G2597" s="2">
        <v>47182</v>
      </c>
    </row>
    <row r="2598" spans="1:7" x14ac:dyDescent="0.2">
      <c r="A2598" t="s" s="0">
        <v>1399</v>
      </c>
      <c r="B2598" s="2">
        <v>1064203</v>
      </c>
      <c r="C2598" s="2">
        <v>57365</v>
      </c>
      <c r="D2598" s="2">
        <v>51878</v>
      </c>
      <c r="E2598" s="2">
        <v>51337</v>
      </c>
      <c r="F2598" s="2">
        <v>51623</v>
      </c>
      <c r="G2598" s="2">
        <v>49705</v>
      </c>
    </row>
    <row r="2599" spans="1:7" x14ac:dyDescent="0.2">
      <c r="A2599" t="s" s="0">
        <v>1398</v>
      </c>
      <c r="B2599" s="2">
        <v>1221496</v>
      </c>
      <c r="C2599" s="2">
        <v>54797</v>
      </c>
      <c r="D2599" s="2">
        <v>51650</v>
      </c>
      <c r="E2599" s="2">
        <v>51486</v>
      </c>
      <c r="F2599" s="2">
        <v>69779</v>
      </c>
      <c r="G2599" s="2">
        <v>57586</v>
      </c>
    </row>
    <row r="2600" spans="1:7" x14ac:dyDescent="0.2">
      <c r="A2600" t="s" s="0">
        <v>1397</v>
      </c>
      <c r="B2600" s="2">
        <v>1258621</v>
      </c>
      <c r="C2600" s="2">
        <v>48062</v>
      </c>
      <c r="D2600" s="2">
        <v>48415</v>
      </c>
      <c r="E2600" s="2">
        <v>51205</v>
      </c>
      <c r="F2600" s="2">
        <v>67903</v>
      </c>
      <c r="G2600" s="2">
        <v>58313</v>
      </c>
    </row>
    <row r="2601" spans="1:7" x14ac:dyDescent="0.2">
      <c r="A2601" t="s" s="0">
        <v>1396</v>
      </c>
      <c r="B2601" s="3">
        <v>1258621</v>
      </c>
      <c r="C2601" s="3">
        <v>48062</v>
      </c>
      <c r="D2601" s="3">
        <v>48415</v>
      </c>
      <c r="E2601" s="3">
        <v>51205</v>
      </c>
      <c r="F2601" s="3">
        <v>67903</v>
      </c>
      <c r="G2601" s="3">
        <v>58313</v>
      </c>
    </row>
    <row r="2602" spans="1:7" x14ac:dyDescent="0.2">
      <c r="A2602" t="s" s="0">
        <v>1395</v>
      </c>
      <c r="B2602" s="3">
        <v>1258621</v>
      </c>
      <c r="C2602" s="3">
        <v>48062</v>
      </c>
      <c r="D2602" s="3">
        <v>48415</v>
      </c>
      <c r="E2602" s="3">
        <v>51205</v>
      </c>
      <c r="F2602" s="3">
        <v>67903</v>
      </c>
      <c r="G2602" s="3">
        <v>58313</v>
      </c>
    </row>
    <row r="2603" spans="1:7" x14ac:dyDescent="0.2">
      <c r="A2603" t="s" s="0">
        <v>1394</v>
      </c>
      <c r="B2603" s="2">
        <v>1253165</v>
      </c>
      <c r="C2603" s="2">
        <v>30207</v>
      </c>
      <c r="D2603" s="2">
        <v>49281</v>
      </c>
      <c r="E2603" s="2">
        <v>51397</v>
      </c>
      <c r="F2603" s="2">
        <v>84645</v>
      </c>
      <c r="G2603" s="2">
        <v>59252</v>
      </c>
    </row>
    <row r="2604" spans="1:7" x14ac:dyDescent="0.2">
      <c r="A2604" t="s" s="0">
        <v>1393</v>
      </c>
      <c r="B2604" s="2">
        <v>1286141</v>
      </c>
      <c r="C2604" s="2">
        <v>47226</v>
      </c>
      <c r="D2604" s="2">
        <v>50470</v>
      </c>
      <c r="E2604" s="2">
        <v>51655</v>
      </c>
      <c r="F2604" s="2">
        <v>89081</v>
      </c>
      <c r="G2604" s="2">
        <v>59610</v>
      </c>
    </row>
    <row r="2605" spans="1:7" x14ac:dyDescent="0.2">
      <c r="A2605" t="s" s="0">
        <v>1392</v>
      </c>
      <c r="B2605" s="2">
        <v>1388452</v>
      </c>
      <c r="C2605" s="2">
        <v>53642</v>
      </c>
      <c r="D2605" s="2">
        <v>52851</v>
      </c>
      <c r="E2605" s="2">
        <v>52516</v>
      </c>
      <c r="F2605" s="2">
        <v>99127</v>
      </c>
      <c r="G2605" s="2">
        <v>64152</v>
      </c>
    </row>
    <row r="2606" spans="1:7" x14ac:dyDescent="0.2">
      <c r="A2606" t="s" s="0">
        <v>1391</v>
      </c>
      <c r="B2606" s="2">
        <v>1324453</v>
      </c>
      <c r="C2606" s="2">
        <v>48177</v>
      </c>
      <c r="D2606" s="2">
        <v>54058</v>
      </c>
      <c r="E2606" s="2">
        <v>52365</v>
      </c>
      <c r="F2606" s="2">
        <v>68720</v>
      </c>
      <c r="G2606" s="2">
        <v>61086</v>
      </c>
    </row>
    <row r="2607" spans="1:7" x14ac:dyDescent="0.2">
      <c r="A2607" t="s" s="0">
        <v>1390</v>
      </c>
      <c r="B2607" s="2">
        <v>1301974</v>
      </c>
      <c r="C2607" s="2">
        <v>52443</v>
      </c>
      <c r="D2607" s="2">
        <v>54684</v>
      </c>
      <c r="E2607" s="2">
        <v>52464</v>
      </c>
      <c r="F2607" s="2">
        <v>60831</v>
      </c>
      <c r="G2607" s="2">
        <v>58230</v>
      </c>
    </row>
    <row r="2608" spans="1:7" x14ac:dyDescent="0.2">
      <c r="A2608" t="s" s="0">
        <v>1389</v>
      </c>
      <c r="B2608" s="3">
        <v>1301974</v>
      </c>
      <c r="C2608" s="3">
        <v>52443</v>
      </c>
      <c r="D2608" s="3">
        <v>54684</v>
      </c>
      <c r="E2608" s="3">
        <v>52464</v>
      </c>
      <c r="F2608" s="3">
        <v>60831</v>
      </c>
      <c r="G2608" s="3">
        <v>58230</v>
      </c>
    </row>
    <row r="2609" spans="1:7" x14ac:dyDescent="0.2">
      <c r="A2609" t="s" s="0">
        <v>1388</v>
      </c>
      <c r="B2609" s="3">
        <v>1301974</v>
      </c>
      <c r="C2609" s="3">
        <v>52443</v>
      </c>
      <c r="D2609" s="3">
        <v>54684</v>
      </c>
      <c r="E2609" s="3">
        <v>52464</v>
      </c>
      <c r="F2609" s="3">
        <v>60831</v>
      </c>
      <c r="G2609" s="3">
        <v>58230</v>
      </c>
    </row>
    <row r="2610" spans="1:7" x14ac:dyDescent="0.2">
      <c r="A2610" t="s" s="0">
        <v>1387</v>
      </c>
      <c r="B2610" s="2">
        <v>1442099</v>
      </c>
      <c r="C2610" s="2">
        <v>28411</v>
      </c>
      <c r="D2610" s="2">
        <v>56202</v>
      </c>
      <c r="E2610" s="2">
        <v>52306</v>
      </c>
      <c r="F2610" s="2">
        <v>83147</v>
      </c>
      <c r="G2610" s="2">
        <v>67678</v>
      </c>
    </row>
    <row r="2611" spans="1:7" x14ac:dyDescent="0.2">
      <c r="A2611" t="s" s="0">
        <v>1386</v>
      </c>
      <c r="B2611" s="2">
        <v>1475130</v>
      </c>
      <c r="C2611" s="2">
        <v>44372</v>
      </c>
      <c r="D2611" s="2">
        <v>57914</v>
      </c>
      <c r="E2611" s="2">
        <v>52977</v>
      </c>
      <c r="F2611" s="2">
        <v>84857</v>
      </c>
      <c r="G2611" s="2">
        <v>70060</v>
      </c>
    </row>
    <row r="2612" spans="1:7" x14ac:dyDescent="0.2">
      <c r="A2612" t="s" s="0">
        <v>1385</v>
      </c>
      <c r="B2612" s="2">
        <v>1526071</v>
      </c>
      <c r="C2612" s="2">
        <v>50436</v>
      </c>
      <c r="D2612" s="2">
        <v>53882</v>
      </c>
      <c r="E2612" s="2">
        <v>52552</v>
      </c>
      <c r="F2612" s="2">
        <v>73409</v>
      </c>
      <c r="G2612" s="2">
        <v>71539</v>
      </c>
    </row>
    <row r="2613" spans="1:7" x14ac:dyDescent="0.2">
      <c r="A2613" t="s" s="0">
        <v>1384</v>
      </c>
      <c r="B2613" s="2">
        <v>1498687</v>
      </c>
      <c r="C2613" s="2">
        <v>48568</v>
      </c>
      <c r="D2613" s="2">
        <v>55905</v>
      </c>
      <c r="E2613" s="2">
        <v>53185</v>
      </c>
      <c r="F2613" s="2">
        <v>80663</v>
      </c>
      <c r="G2613" s="2">
        <v>67236</v>
      </c>
    </row>
    <row r="2614" spans="1:7" x14ac:dyDescent="0.2">
      <c r="A2614" t="s" s="0">
        <v>1383</v>
      </c>
      <c r="B2614" s="2">
        <v>1458672</v>
      </c>
      <c r="C2614" s="2">
        <v>43296</v>
      </c>
      <c r="D2614" s="2">
        <v>58437</v>
      </c>
      <c r="E2614" s="2">
        <v>53378</v>
      </c>
      <c r="F2614" s="2">
        <v>80689</v>
      </c>
      <c r="G2614" s="2">
        <v>66192</v>
      </c>
    </row>
    <row r="2615" spans="1:7" x14ac:dyDescent="0.2">
      <c r="A2615" t="s" s="0">
        <v>1382</v>
      </c>
      <c r="B2615" s="3">
        <v>1458672</v>
      </c>
      <c r="C2615" s="3">
        <v>43296</v>
      </c>
      <c r="D2615" s="3">
        <v>58437</v>
      </c>
      <c r="E2615" s="3">
        <v>53378</v>
      </c>
      <c r="F2615" s="3">
        <v>80689</v>
      </c>
      <c r="G2615" s="3">
        <v>66192</v>
      </c>
    </row>
    <row r="2616" spans="1:7" x14ac:dyDescent="0.2">
      <c r="A2616" t="s" s="0">
        <v>1381</v>
      </c>
      <c r="B2616" s="3">
        <v>1458672</v>
      </c>
      <c r="C2616" s="3">
        <v>43296</v>
      </c>
      <c r="D2616" s="3">
        <v>58437</v>
      </c>
      <c r="E2616" s="3">
        <v>53378</v>
      </c>
      <c r="F2616" s="3">
        <v>80689</v>
      </c>
      <c r="G2616" s="3">
        <v>66192</v>
      </c>
    </row>
    <row r="2617" spans="1:7" x14ac:dyDescent="0.2">
      <c r="A2617" t="s" s="0">
        <v>1380</v>
      </c>
      <c r="B2617" s="2">
        <v>1447491</v>
      </c>
      <c r="C2617" s="2">
        <v>26006</v>
      </c>
      <c r="D2617" s="2">
        <v>53335</v>
      </c>
      <c r="E2617" s="2">
        <v>52751</v>
      </c>
      <c r="F2617" s="2">
        <v>53972</v>
      </c>
      <c r="G2617" s="2">
        <v>66822</v>
      </c>
    </row>
    <row r="2618" spans="1:7" x14ac:dyDescent="0.2">
      <c r="A2618" t="s" s="0">
        <v>1379</v>
      </c>
      <c r="B2618" s="2">
        <v>1365437</v>
      </c>
      <c r="C2618" s="2">
        <v>44361</v>
      </c>
      <c r="D2618" s="2">
        <v>50468</v>
      </c>
      <c r="E2618" s="2">
        <v>52589</v>
      </c>
      <c r="F2618" s="2">
        <v>34626</v>
      </c>
      <c r="G2618" s="2">
        <v>62841</v>
      </c>
    </row>
    <row r="2619" spans="1:7" x14ac:dyDescent="0.2">
      <c r="A2619" t="s" s="0">
        <v>1378</v>
      </c>
      <c r="B2619" s="2">
        <v>1355927</v>
      </c>
      <c r="C2619" s="2">
        <v>47928</v>
      </c>
      <c r="D2619" s="2">
        <v>50109</v>
      </c>
      <c r="E2619" s="2">
        <v>52180</v>
      </c>
      <c r="F2619" s="2">
        <v>25735</v>
      </c>
      <c r="G2619" s="2">
        <v>62474</v>
      </c>
    </row>
    <row r="2620" spans="1:7" x14ac:dyDescent="0.2">
      <c r="A2620" t="s" s="0">
        <v>1377</v>
      </c>
      <c r="B2620" s="2">
        <v>1385609</v>
      </c>
      <c r="C2620" s="2">
        <v>51773</v>
      </c>
      <c r="D2620" s="2">
        <v>47146</v>
      </c>
      <c r="E2620" s="2">
        <v>52190</v>
      </c>
      <c r="F2620" s="2">
        <v>30924</v>
      </c>
      <c r="G2620" s="2">
        <v>62522</v>
      </c>
    </row>
    <row r="2621" spans="1:7" x14ac:dyDescent="0.2">
      <c r="A2621" t="s" s="0">
        <v>1376</v>
      </c>
      <c r="B2621" s="2">
        <v>1352999</v>
      </c>
      <c r="C2621" s="2">
        <v>52603</v>
      </c>
      <c r="D2621" s="2">
        <v>44638</v>
      </c>
      <c r="E2621" s="2">
        <v>51543</v>
      </c>
      <c r="F2621" s="2">
        <v>29473</v>
      </c>
      <c r="G2621" s="2">
        <v>59724</v>
      </c>
    </row>
    <row r="2622" spans="1:7" x14ac:dyDescent="0.2">
      <c r="A2622" t="s" s="0">
        <v>1375</v>
      </c>
      <c r="B2622" s="3">
        <v>1352999</v>
      </c>
      <c r="C2622" s="3">
        <v>52603</v>
      </c>
      <c r="D2622" s="3">
        <v>44638</v>
      </c>
      <c r="E2622" s="3">
        <v>51543</v>
      </c>
      <c r="F2622" s="3">
        <v>29473</v>
      </c>
      <c r="G2622" s="3">
        <v>59724</v>
      </c>
    </row>
    <row r="2623" spans="1:7" x14ac:dyDescent="0.2">
      <c r="A2623" t="s" s="0">
        <v>1374</v>
      </c>
      <c r="B2623" s="3">
        <v>1352999</v>
      </c>
      <c r="C2623" s="3">
        <v>52603</v>
      </c>
      <c r="D2623" s="3">
        <v>44638</v>
      </c>
      <c r="E2623" s="3">
        <v>51543</v>
      </c>
      <c r="F2623" s="3">
        <v>29473</v>
      </c>
      <c r="G2623" s="3">
        <v>59724</v>
      </c>
    </row>
    <row r="2624" spans="1:7" x14ac:dyDescent="0.2">
      <c r="A2624" t="s" s="0">
        <v>1373</v>
      </c>
      <c r="B2624" s="2">
        <v>1322104</v>
      </c>
      <c r="C2624" s="2">
        <v>27132</v>
      </c>
      <c r="D2624" s="2">
        <v>48473</v>
      </c>
      <c r="E2624" s="2">
        <v>51823</v>
      </c>
      <c r="F2624" s="2">
        <v>30492</v>
      </c>
      <c r="G2624" s="2">
        <v>63064</v>
      </c>
    </row>
    <row r="2625" spans="1:7" x14ac:dyDescent="0.2">
      <c r="A2625" t="s" s="0">
        <v>1372</v>
      </c>
      <c r="B2625" s="2">
        <v>1313175</v>
      </c>
      <c r="C2625" s="2">
        <v>34001</v>
      </c>
      <c r="D2625" s="2">
        <v>47026</v>
      </c>
      <c r="E2625" s="2">
        <v>51469</v>
      </c>
      <c r="F2625" s="2">
        <v>39583</v>
      </c>
      <c r="G2625" s="2">
        <v>62037</v>
      </c>
    </row>
    <row r="2626" spans="1:7" x14ac:dyDescent="0.2">
      <c r="A2626" t="s" s="0">
        <v>1371</v>
      </c>
      <c r="B2626" s="2">
        <v>1265400</v>
      </c>
      <c r="C2626" s="2">
        <v>49805</v>
      </c>
      <c r="D2626" s="2">
        <v>48722</v>
      </c>
      <c r="E2626" s="2">
        <v>51391</v>
      </c>
      <c r="F2626" s="2">
        <v>35678</v>
      </c>
      <c r="G2626" s="2">
        <v>58487</v>
      </c>
    </row>
    <row r="2627" spans="1:7" x14ac:dyDescent="0.2">
      <c r="A2627" t="s" s="0">
        <v>1370</v>
      </c>
      <c r="B2627" s="2">
        <v>1209372</v>
      </c>
      <c r="C2627" s="2">
        <v>46460</v>
      </c>
      <c r="D2627" s="2">
        <v>50674</v>
      </c>
      <c r="E2627" s="2">
        <v>51946</v>
      </c>
      <c r="F2627" s="2">
        <v>25386</v>
      </c>
      <c r="G2627" s="2">
        <v>51423</v>
      </c>
    </row>
    <row r="2628" spans="1:7" x14ac:dyDescent="0.2">
      <c r="A2628" t="s" s="0">
        <v>1369</v>
      </c>
      <c r="B2628" s="2">
        <v>1183138</v>
      </c>
      <c r="C2628" s="2">
        <v>46409</v>
      </c>
      <c r="D2628" s="2">
        <v>49789</v>
      </c>
      <c r="E2628" s="2">
        <v>51887</v>
      </c>
      <c r="F2628" s="2">
        <v>25412</v>
      </c>
      <c r="G2628" s="2">
        <v>49101</v>
      </c>
    </row>
    <row r="2629" spans="1:7" x14ac:dyDescent="0.2">
      <c r="A2629" t="s" s="0">
        <v>1368</v>
      </c>
      <c r="B2629" s="3">
        <v>1183138</v>
      </c>
      <c r="C2629" s="3">
        <v>46409</v>
      </c>
      <c r="D2629" s="3">
        <v>49789</v>
      </c>
      <c r="E2629" s="3">
        <v>51887</v>
      </c>
      <c r="F2629" s="3">
        <v>25412</v>
      </c>
      <c r="G2629" s="3">
        <v>49101</v>
      </c>
    </row>
    <row r="2630" spans="1:7" x14ac:dyDescent="0.2">
      <c r="A2630" t="s" s="0">
        <v>1367</v>
      </c>
      <c r="B2630" s="3">
        <v>1183138</v>
      </c>
      <c r="C2630" s="3">
        <v>46409</v>
      </c>
      <c r="D2630" s="3">
        <v>49789</v>
      </c>
      <c r="E2630" s="3">
        <v>51887</v>
      </c>
      <c r="F2630" s="3">
        <v>25412</v>
      </c>
      <c r="G2630" s="3">
        <v>49101</v>
      </c>
    </row>
    <row r="2631" spans="1:7" x14ac:dyDescent="0.2">
      <c r="A2631" t="s" s="0">
        <v>1366</v>
      </c>
      <c r="B2631" s="2">
        <v>1128267</v>
      </c>
      <c r="C2631" s="2">
        <v>25598</v>
      </c>
      <c r="D2631" s="2">
        <v>47057</v>
      </c>
      <c r="E2631" s="2">
        <v>51267</v>
      </c>
      <c r="F2631" s="2">
        <v>19243</v>
      </c>
      <c r="G2631" s="2">
        <v>46714</v>
      </c>
    </row>
    <row r="2632" spans="1:7" x14ac:dyDescent="0.2">
      <c r="A2632" t="s" s="0">
        <v>1365</v>
      </c>
      <c r="B2632" s="2">
        <v>1088536</v>
      </c>
      <c r="C2632" s="2">
        <v>39594</v>
      </c>
      <c r="D2632" s="2">
        <v>47820</v>
      </c>
      <c r="E2632" s="2">
        <v>50807</v>
      </c>
      <c r="F2632" s="2">
        <v>14946</v>
      </c>
      <c r="G2632" s="2">
        <v>43503</v>
      </c>
    </row>
    <row r="2633" spans="1:7" x14ac:dyDescent="0.2">
      <c r="A2633" t="s" s="0">
        <v>1364</v>
      </c>
      <c r="B2633" s="2">
        <v>1039609</v>
      </c>
      <c r="C2633" s="2">
        <v>46928</v>
      </c>
      <c r="D2633" s="2">
        <v>45980</v>
      </c>
      <c r="E2633" s="2">
        <v>49674</v>
      </c>
      <c r="F2633" s="2">
        <v>13053</v>
      </c>
      <c r="G2633" s="2">
        <v>36969</v>
      </c>
    </row>
    <row r="2634" spans="1:7" x14ac:dyDescent="0.2">
      <c r="A2634" t="s" s="0">
        <v>1363</v>
      </c>
      <c r="B2634" s="2">
        <v>1037262</v>
      </c>
      <c r="C2634" s="2">
        <v>42347</v>
      </c>
      <c r="D2634" s="2">
        <v>41983</v>
      </c>
      <c r="E2634" s="2">
        <v>48927</v>
      </c>
      <c r="F2634" s="2">
        <v>16725</v>
      </c>
      <c r="G2634" s="2">
        <v>38425</v>
      </c>
    </row>
    <row r="2635" spans="1:7" x14ac:dyDescent="0.2">
      <c r="A2635" t="s" s="0">
        <v>1362</v>
      </c>
      <c r="B2635" s="2">
        <v>1015319</v>
      </c>
      <c r="C2635" s="2">
        <v>45248</v>
      </c>
      <c r="D2635" s="2">
        <v>42095</v>
      </c>
      <c r="E2635" s="2">
        <v>48740</v>
      </c>
      <c r="F2635" s="2">
        <v>16698</v>
      </c>
      <c r="G2635" s="2">
        <v>38068</v>
      </c>
    </row>
    <row r="2636" spans="1:7" x14ac:dyDescent="0.2">
      <c r="A2636" t="s" s="0">
        <v>1361</v>
      </c>
      <c r="B2636" s="3">
        <v>1015319</v>
      </c>
      <c r="C2636" s="3">
        <v>45248</v>
      </c>
      <c r="D2636" s="3">
        <v>42095</v>
      </c>
      <c r="E2636" s="3">
        <v>48740</v>
      </c>
      <c r="F2636" s="3">
        <v>16698</v>
      </c>
      <c r="G2636" s="3">
        <v>38068</v>
      </c>
    </row>
    <row r="2637" spans="1:7" x14ac:dyDescent="0.2">
      <c r="A2637" t="s" s="0">
        <v>1360</v>
      </c>
      <c r="B2637" s="3">
        <v>1015319</v>
      </c>
      <c r="C2637" s="3">
        <v>45248</v>
      </c>
      <c r="D2637" s="3">
        <v>42095</v>
      </c>
      <c r="E2637" s="3">
        <v>48740</v>
      </c>
      <c r="F2637" s="3">
        <v>16698</v>
      </c>
      <c r="G2637" s="3">
        <v>38068</v>
      </c>
    </row>
    <row r="2638" spans="1:7" x14ac:dyDescent="0.2">
      <c r="A2638" t="s" s="0">
        <v>1359</v>
      </c>
      <c r="B2638" s="2">
        <v>1088901</v>
      </c>
      <c r="C2638" s="2">
        <v>27182</v>
      </c>
      <c r="D2638" s="2">
        <v>43520</v>
      </c>
      <c r="E2638" s="2">
        <v>48096</v>
      </c>
      <c r="F2638" s="2">
        <v>36484</v>
      </c>
      <c r="G2638" s="2">
        <v>35048</v>
      </c>
    </row>
    <row r="2639" spans="1:7" x14ac:dyDescent="0.2">
      <c r="A2639" t="s" s="0">
        <v>1358</v>
      </c>
      <c r="B2639" s="2">
        <v>1077853</v>
      </c>
      <c r="C2639" s="2">
        <v>42381</v>
      </c>
      <c r="D2639" s="2">
        <v>46771</v>
      </c>
      <c r="E2639" s="2">
        <v>48021</v>
      </c>
      <c r="F2639" s="2">
        <v>43631</v>
      </c>
      <c r="G2639" s="2">
        <v>33196</v>
      </c>
    </row>
    <row r="2640" spans="1:7" x14ac:dyDescent="0.2">
      <c r="A2640" t="s" s="0">
        <v>1357</v>
      </c>
      <c r="B2640" s="2">
        <v>1023071</v>
      </c>
      <c r="C2640" s="2">
        <v>51431</v>
      </c>
      <c r="D2640" s="2">
        <v>47893</v>
      </c>
      <c r="E2640" s="2">
        <v>48176</v>
      </c>
      <c r="F2640" s="2">
        <v>43917</v>
      </c>
      <c r="G2640" s="2">
        <v>29596</v>
      </c>
    </row>
    <row r="2641" spans="1:7" x14ac:dyDescent="0.2">
      <c r="A2641" t="s" s="0">
        <v>1356</v>
      </c>
      <c r="B2641" s="2">
        <v>965985</v>
      </c>
      <c r="C2641" s="2">
        <v>50245</v>
      </c>
      <c r="D2641" s="2">
        <v>49998</v>
      </c>
      <c r="E2641" s="2">
        <v>47451</v>
      </c>
      <c r="F2641" s="2">
        <v>38202</v>
      </c>
      <c r="G2641" s="2">
        <v>27809</v>
      </c>
    </row>
    <row r="2642" spans="1:7" x14ac:dyDescent="0.2">
      <c r="A2642" t="s" s="0">
        <v>1355</v>
      </c>
      <c r="B2642" s="2">
        <v>1002113</v>
      </c>
      <c r="C2642" s="2">
        <v>51213</v>
      </c>
      <c r="D2642" s="2">
        <v>50573</v>
      </c>
      <c r="E2642" s="2">
        <v>46774</v>
      </c>
      <c r="F2642" s="2">
        <v>47475</v>
      </c>
      <c r="G2642" s="2">
        <v>29764</v>
      </c>
    </row>
    <row r="2643" spans="1:7" x14ac:dyDescent="0.2">
      <c r="A2643" t="s" s="0">
        <v>1354</v>
      </c>
      <c r="B2643" s="3">
        <v>1002113</v>
      </c>
      <c r="C2643" s="3">
        <v>51213</v>
      </c>
      <c r="D2643" s="3">
        <v>50573</v>
      </c>
      <c r="E2643" s="3">
        <v>46774</v>
      </c>
      <c r="F2643" s="3">
        <v>47475</v>
      </c>
      <c r="G2643" s="3">
        <v>29764</v>
      </c>
    </row>
    <row r="2644" spans="1:7" x14ac:dyDescent="0.2">
      <c r="A2644" t="s" s="0">
        <v>1353</v>
      </c>
      <c r="B2644" s="3">
        <v>1002113</v>
      </c>
      <c r="C2644" s="3">
        <v>51213</v>
      </c>
      <c r="D2644" s="3">
        <v>50573</v>
      </c>
      <c r="E2644" s="3">
        <v>46774</v>
      </c>
      <c r="F2644" s="3">
        <v>47475</v>
      </c>
      <c r="G2644" s="3">
        <v>29764</v>
      </c>
    </row>
    <row r="2645" spans="1:7" x14ac:dyDescent="0.2">
      <c r="A2645" t="s" s="0">
        <v>1352</v>
      </c>
      <c r="B2645" s="2">
        <v>1063532</v>
      </c>
      <c r="C2645" s="2">
        <v>24333</v>
      </c>
      <c r="D2645" s="2">
        <v>47387</v>
      </c>
      <c r="E2645" s="2">
        <v>46609</v>
      </c>
      <c r="F2645" s="2">
        <v>42551</v>
      </c>
      <c r="G2645" s="2">
        <v>32193</v>
      </c>
    </row>
    <row r="2646" spans="1:7" x14ac:dyDescent="0.2">
      <c r="A2646" t="s" s="0">
        <v>1351</v>
      </c>
      <c r="B2646" s="2">
        <v>995016</v>
      </c>
      <c r="C2646" s="2">
        <v>42595</v>
      </c>
      <c r="D2646" s="2">
        <v>48321</v>
      </c>
      <c r="E2646" s="2">
        <v>47484</v>
      </c>
      <c r="F2646" s="2">
        <v>35405</v>
      </c>
      <c r="G2646" s="2">
        <v>33391</v>
      </c>
    </row>
    <row r="2647" spans="1:7" x14ac:dyDescent="0.2">
      <c r="A2647" t="s" s="0">
        <v>1350</v>
      </c>
      <c r="B2647" s="2">
        <v>991580</v>
      </c>
      <c r="C2647" s="2">
        <v>44027</v>
      </c>
      <c r="D2647" s="2">
        <v>46785</v>
      </c>
      <c r="E2647" s="2">
        <v>47345</v>
      </c>
      <c r="F2647" s="2">
        <v>41204</v>
      </c>
      <c r="G2647" s="2">
        <v>33463</v>
      </c>
    </row>
    <row r="2648" spans="1:7" x14ac:dyDescent="0.2">
      <c r="A2648" t="s" s="0">
        <v>1349</v>
      </c>
      <c r="B2648" s="2">
        <v>1014409</v>
      </c>
      <c r="C2648" s="2">
        <v>45575</v>
      </c>
      <c r="D2648" s="2">
        <v>45140</v>
      </c>
      <c r="E2648" s="2">
        <v>46949</v>
      </c>
      <c r="F2648" s="2">
        <v>50976</v>
      </c>
      <c r="G2648" s="2">
        <v>32822</v>
      </c>
    </row>
    <row r="2649" spans="1:7" x14ac:dyDescent="0.2">
      <c r="A2649" t="s" s="0">
        <v>1348</v>
      </c>
      <c r="B2649" s="2">
        <v>1110309</v>
      </c>
      <c r="C2649" s="2">
        <v>44102</v>
      </c>
      <c r="D2649" s="2">
        <v>44125</v>
      </c>
      <c r="E2649" s="2">
        <v>46645</v>
      </c>
      <c r="F2649" s="2">
        <v>58006</v>
      </c>
      <c r="G2649" s="2">
        <v>36898</v>
      </c>
    </row>
    <row r="2650" spans="1:7" x14ac:dyDescent="0.2">
      <c r="A2650" t="s" s="0">
        <v>1347</v>
      </c>
      <c r="B2650" s="3">
        <v>1110309</v>
      </c>
      <c r="C2650" s="3">
        <v>44102</v>
      </c>
      <c r="D2650" s="3">
        <v>44125</v>
      </c>
      <c r="E2650" s="3">
        <v>46645</v>
      </c>
      <c r="F2650" s="3">
        <v>58006</v>
      </c>
      <c r="G2650" s="3">
        <v>36898</v>
      </c>
    </row>
    <row r="2651" spans="1:7" x14ac:dyDescent="0.2">
      <c r="A2651" t="s" s="0">
        <v>1346</v>
      </c>
      <c r="B2651" s="3">
        <v>1110309</v>
      </c>
      <c r="C2651" s="3">
        <v>44102</v>
      </c>
      <c r="D2651" s="3">
        <v>44125</v>
      </c>
      <c r="E2651" s="3">
        <v>46645</v>
      </c>
      <c r="F2651" s="3">
        <v>58006</v>
      </c>
      <c r="G2651" s="3">
        <v>36898</v>
      </c>
    </row>
    <row r="2652" spans="1:7" x14ac:dyDescent="0.2">
      <c r="A2652" t="s" s="0">
        <v>1345</v>
      </c>
      <c r="B2652" s="2">
        <v>1102898</v>
      </c>
      <c r="C2652" s="2">
        <v>26474</v>
      </c>
      <c r="D2652" s="2">
        <v>43409</v>
      </c>
      <c r="E2652" s="2">
        <v>45343</v>
      </c>
      <c r="F2652" s="2">
        <v>47458</v>
      </c>
      <c r="G2652" s="2">
        <v>36434</v>
      </c>
    </row>
    <row r="2653" spans="1:7" x14ac:dyDescent="0.2">
      <c r="A2653" t="s" s="0">
        <v>1344</v>
      </c>
      <c r="B2653" s="2">
        <v>1125290</v>
      </c>
      <c r="C2653" s="2">
        <v>45527</v>
      </c>
      <c r="D2653" s="2">
        <v>41457</v>
      </c>
      <c r="E2653" s="2">
        <v>46092</v>
      </c>
      <c r="F2653" s="2">
        <v>58175</v>
      </c>
      <c r="G2653" s="2">
        <v>38039</v>
      </c>
    </row>
    <row r="2654" spans="1:7" x14ac:dyDescent="0.2">
      <c r="A2654" t="s" s="0">
        <v>1343</v>
      </c>
      <c r="B2654" s="2">
        <v>1064261</v>
      </c>
      <c r="C2654" s="2">
        <v>46227</v>
      </c>
      <c r="D2654" s="2">
        <v>43894</v>
      </c>
      <c r="E2654" s="2">
        <v>46138</v>
      </c>
      <c r="F2654" s="2">
        <v>52384</v>
      </c>
      <c r="G2654" s="2">
        <v>37639</v>
      </c>
    </row>
    <row r="2655" spans="1:7" x14ac:dyDescent="0.2">
      <c r="A2655" t="s" s="0">
        <v>1342</v>
      </c>
      <c r="B2655" s="2">
        <v>1019077</v>
      </c>
      <c r="C2655" s="2">
        <v>45183</v>
      </c>
      <c r="D2655" s="2">
        <v>43838</v>
      </c>
      <c r="E2655" s="2">
        <v>45240</v>
      </c>
      <c r="F2655" s="2">
        <v>42612</v>
      </c>
      <c r="G2655" s="2">
        <v>37129</v>
      </c>
    </row>
    <row r="2656" spans="1:7" x14ac:dyDescent="0.2">
      <c r="A2656" t="s" s="0">
        <v>1341</v>
      </c>
      <c r="B2656" s="2">
        <v>1042407</v>
      </c>
      <c r="C2656" s="2">
        <v>48952</v>
      </c>
      <c r="D2656" s="2">
        <v>44531</v>
      </c>
      <c r="E2656" s="2">
        <v>45331</v>
      </c>
      <c r="F2656" s="2">
        <v>33422</v>
      </c>
      <c r="G2656" s="2">
        <v>38900</v>
      </c>
    </row>
    <row r="2657" spans="1:7" x14ac:dyDescent="0.2">
      <c r="A2657" t="s" s="0">
        <v>1340</v>
      </c>
      <c r="B2657" s="3">
        <v>1042407</v>
      </c>
      <c r="C2657" s="3">
        <v>48952</v>
      </c>
      <c r="D2657" s="3">
        <v>44531</v>
      </c>
      <c r="E2657" s="3">
        <v>45331</v>
      </c>
      <c r="F2657" s="3">
        <v>33422</v>
      </c>
      <c r="G2657" s="3">
        <v>38900</v>
      </c>
    </row>
    <row r="2658" spans="1:7" x14ac:dyDescent="0.2">
      <c r="A2658" t="s" s="0">
        <v>1339</v>
      </c>
      <c r="B2658" s="3">
        <v>1042407</v>
      </c>
      <c r="C2658" s="3">
        <v>48952</v>
      </c>
      <c r="D2658" s="3">
        <v>44531</v>
      </c>
      <c r="E2658" s="3">
        <v>45331</v>
      </c>
      <c r="F2658" s="3">
        <v>33422</v>
      </c>
      <c r="G2658" s="3">
        <v>38900</v>
      </c>
    </row>
    <row r="2659" spans="1:7" x14ac:dyDescent="0.2">
      <c r="A2659" t="s" s="0">
        <v>1338</v>
      </c>
      <c r="B2659" s="2">
        <v>1107552</v>
      </c>
      <c r="C2659" s="2">
        <v>25085</v>
      </c>
      <c r="D2659" s="2">
        <v>44816</v>
      </c>
      <c r="E2659" s="2">
        <v>44783</v>
      </c>
      <c r="F2659" s="2">
        <v>43613</v>
      </c>
      <c r="G2659" s="2">
        <v>42527</v>
      </c>
    </row>
    <row r="2660" spans="1:7" x14ac:dyDescent="0.2">
      <c r="A2660" t="s" s="0">
        <v>1337</v>
      </c>
      <c r="B2660" s="2">
        <v>1110849</v>
      </c>
      <c r="C2660" s="2">
        <v>42901</v>
      </c>
      <c r="D2660" s="2">
        <v>44147</v>
      </c>
      <c r="E2660" s="2">
        <v>45174</v>
      </c>
      <c r="F2660" s="2">
        <v>40591</v>
      </c>
      <c r="G2660" s="2">
        <v>44450</v>
      </c>
    </row>
    <row r="2661" spans="1:7" x14ac:dyDescent="0.2">
      <c r="A2661" t="s" s="0">
        <v>1336</v>
      </c>
      <c r="B2661" s="2">
        <v>1111324</v>
      </c>
      <c r="C2661" s="2">
        <v>41387</v>
      </c>
      <c r="D2661" s="2">
        <v>43839</v>
      </c>
      <c r="E2661" s="2">
        <v>45603</v>
      </c>
      <c r="F2661" s="2">
        <v>49070</v>
      </c>
      <c r="G2661" s="2">
        <v>46643</v>
      </c>
    </row>
    <row r="2662" spans="1:7" x14ac:dyDescent="0.2">
      <c r="A2662" t="s" s="0">
        <v>1335</v>
      </c>
      <c r="B2662" s="2">
        <v>1115812</v>
      </c>
      <c r="C2662" s="2">
        <v>45512</v>
      </c>
      <c r="D2662" s="2">
        <v>43886</v>
      </c>
      <c r="E2662" s="2">
        <v>45716</v>
      </c>
      <c r="F2662" s="2">
        <v>56212</v>
      </c>
      <c r="G2662" s="2">
        <v>47001</v>
      </c>
    </row>
    <row r="2663" spans="1:7" x14ac:dyDescent="0.2">
      <c r="A2663" t="s" s="0">
        <v>1334</v>
      </c>
      <c r="B2663" s="2">
        <v>1222440</v>
      </c>
      <c r="C2663" s="2">
        <v>43326</v>
      </c>
      <c r="D2663" s="2">
        <v>43082</v>
      </c>
      <c r="E2663" s="2">
        <v>45578</v>
      </c>
      <c r="F2663" s="2">
        <v>66943</v>
      </c>
      <c r="G2663" s="2">
        <v>51461</v>
      </c>
    </row>
    <row r="2664" spans="1:7" x14ac:dyDescent="0.2">
      <c r="A2664" t="s" s="0">
        <v>1333</v>
      </c>
      <c r="B2664" s="3">
        <v>1222440</v>
      </c>
      <c r="C2664" s="3">
        <v>43326</v>
      </c>
      <c r="D2664" s="3">
        <v>43082</v>
      </c>
      <c r="E2664" s="3">
        <v>45578</v>
      </c>
      <c r="F2664" s="3">
        <v>66943</v>
      </c>
      <c r="G2664" s="3">
        <v>51461</v>
      </c>
    </row>
    <row r="2665" spans="1:7" x14ac:dyDescent="0.2">
      <c r="A2665" t="s" s="0">
        <v>1332</v>
      </c>
      <c r="B2665" s="3">
        <v>1222440</v>
      </c>
      <c r="C2665" s="3">
        <v>43326</v>
      </c>
      <c r="D2665" s="3">
        <v>43082</v>
      </c>
      <c r="E2665" s="3">
        <v>45578</v>
      </c>
      <c r="F2665" s="3">
        <v>66943</v>
      </c>
      <c r="G2665" s="3">
        <v>51461</v>
      </c>
    </row>
    <row r="2666" spans="1:7" x14ac:dyDescent="0.2">
      <c r="A2666" t="s" s="0">
        <v>1331</v>
      </c>
      <c r="B2666" s="2">
        <v>1166343</v>
      </c>
      <c r="C2666" s="2">
        <v>21841</v>
      </c>
      <c r="D2666" s="2">
        <v>43329</v>
      </c>
      <c r="E2666" s="2">
        <v>44735</v>
      </c>
      <c r="F2666" s="2">
        <v>50329</v>
      </c>
      <c r="G2666" s="2">
        <v>45988</v>
      </c>
    </row>
    <row r="2667" spans="1:7" x14ac:dyDescent="0.2">
      <c r="A2667" t="s" s="0">
        <v>1330</v>
      </c>
      <c r="B2667" s="2">
        <v>1120706</v>
      </c>
      <c r="C2667" s="2">
        <v>40806</v>
      </c>
      <c r="D2667" s="2">
        <v>42117</v>
      </c>
      <c r="E2667" s="2">
        <v>44011</v>
      </c>
      <c r="F2667" s="2">
        <v>42594</v>
      </c>
      <c r="G2667" s="2">
        <v>44191</v>
      </c>
    </row>
    <row r="2668" spans="1:7" x14ac:dyDescent="0.2">
      <c r="A2668" t="s" s="0">
        <v>1329</v>
      </c>
      <c r="B2668" s="2">
        <v>1117666</v>
      </c>
      <c r="C2668" s="2">
        <v>43633</v>
      </c>
      <c r="D2668" s="2">
        <v>39887</v>
      </c>
      <c r="E2668" s="2">
        <v>43601</v>
      </c>
      <c r="F2668" s="2">
        <v>39819</v>
      </c>
      <c r="G2668" s="2">
        <v>45619</v>
      </c>
    </row>
    <row r="2669" spans="1:7" x14ac:dyDescent="0.2">
      <c r="A2669" t="s" s="0">
        <v>1328</v>
      </c>
      <c r="B2669" s="2">
        <v>1125404</v>
      </c>
      <c r="C2669" s="2">
        <v>41662</v>
      </c>
      <c r="D2669" s="2">
        <v>40019</v>
      </c>
      <c r="E2669" s="2">
        <v>43221</v>
      </c>
      <c r="F2669" s="2">
        <v>40416</v>
      </c>
      <c r="G2669" s="2">
        <v>47554</v>
      </c>
    </row>
    <row r="2670" spans="1:7" x14ac:dyDescent="0.2">
      <c r="A2670" t="s" s="0">
        <v>1327</v>
      </c>
      <c r="B2670" s="2">
        <v>1161838</v>
      </c>
      <c r="C2670" s="2">
        <v>43396</v>
      </c>
      <c r="D2670" s="2">
        <v>42173</v>
      </c>
      <c r="E2670" s="2">
        <v>43478</v>
      </c>
      <c r="F2670" s="2">
        <v>32663</v>
      </c>
      <c r="G2670" s="2">
        <v>47758</v>
      </c>
    </row>
    <row r="2671" spans="1:7" x14ac:dyDescent="0.2">
      <c r="A2671" t="s" s="0">
        <v>1326</v>
      </c>
      <c r="B2671" s="3">
        <v>1161838</v>
      </c>
      <c r="C2671" s="3">
        <v>43396</v>
      </c>
      <c r="D2671" s="3">
        <v>42173</v>
      </c>
      <c r="E2671" s="3">
        <v>43478</v>
      </c>
      <c r="F2671" s="3">
        <v>32663</v>
      </c>
      <c r="G2671" s="3">
        <v>47758</v>
      </c>
    </row>
    <row r="2672" spans="1:7" x14ac:dyDescent="0.2">
      <c r="A2672" t="s" s="0">
        <v>1325</v>
      </c>
      <c r="B2672" s="3">
        <v>1161838</v>
      </c>
      <c r="C2672" s="3">
        <v>43396</v>
      </c>
      <c r="D2672" s="3">
        <v>42173</v>
      </c>
      <c r="E2672" s="3">
        <v>43478</v>
      </c>
      <c r="F2672" s="3">
        <v>32663</v>
      </c>
      <c r="G2672" s="3">
        <v>47758</v>
      </c>
    </row>
    <row r="2673" spans="1:7" x14ac:dyDescent="0.2">
      <c r="A2673" t="s" s="0">
        <v>1324</v>
      </c>
      <c r="B2673" s="2">
        <v>1143193</v>
      </c>
      <c r="C2673" s="2">
        <v>23979</v>
      </c>
      <c r="D2673" s="2">
        <v>43990</v>
      </c>
      <c r="E2673" s="2">
        <v>43886</v>
      </c>
      <c r="F2673" s="2">
        <v>39830</v>
      </c>
      <c r="G2673" s="2">
        <v>45307</v>
      </c>
    </row>
    <row r="2674" spans="1:7" x14ac:dyDescent="0.2">
      <c r="A2674" t="s" s="0">
        <v>1323</v>
      </c>
      <c r="B2674" s="2">
        <v>1166855</v>
      </c>
      <c r="C2674" s="2">
        <v>40501</v>
      </c>
      <c r="D2674" s="2">
        <v>44241</v>
      </c>
      <c r="E2674" s="2">
        <v>42991</v>
      </c>
      <c r="F2674" s="2">
        <v>49866</v>
      </c>
      <c r="G2674" s="2">
        <v>47807</v>
      </c>
    </row>
    <row r="2675" spans="1:7" x14ac:dyDescent="0.2">
      <c r="A2675" t="s" s="0">
        <v>1322</v>
      </c>
      <c r="B2675" s="2">
        <v>1114712</v>
      </c>
      <c r="C2675" s="2">
        <v>41878</v>
      </c>
      <c r="D2675" s="2">
        <v>44531</v>
      </c>
      <c r="E2675" s="2">
        <v>43038</v>
      </c>
      <c r="F2675" s="2">
        <v>43134</v>
      </c>
      <c r="G2675" s="2">
        <v>46102</v>
      </c>
    </row>
    <row r="2676" spans="1:7" x14ac:dyDescent="0.2">
      <c r="A2676" t="s" s="0">
        <v>1321</v>
      </c>
      <c r="B2676" s="2">
        <v>1090559</v>
      </c>
      <c r="C2676" s="2">
        <v>39265</v>
      </c>
      <c r="D2676" s="2">
        <v>44938</v>
      </c>
      <c r="E2676" s="2">
        <v>43170</v>
      </c>
      <c r="F2676" s="2">
        <v>38985</v>
      </c>
      <c r="G2676" s="2">
        <v>44556</v>
      </c>
    </row>
    <row r="2677" spans="1:7" x14ac:dyDescent="0.2">
      <c r="A2677" t="s" s="0">
        <v>1320</v>
      </c>
      <c r="B2677" s="2">
        <v>1120399</v>
      </c>
      <c r="C2677" s="2">
        <v>37497</v>
      </c>
      <c r="D2677" s="2">
        <v>41951</v>
      </c>
      <c r="E2677" s="2">
        <v>42934</v>
      </c>
      <c r="F2677" s="2">
        <v>35351</v>
      </c>
      <c r="G2677" s="2">
        <v>42094</v>
      </c>
    </row>
    <row r="2678" spans="1:7" x14ac:dyDescent="0.2">
      <c r="A2678" t="s" s="0">
        <v>1319</v>
      </c>
      <c r="B2678" s="3">
        <v>1120399</v>
      </c>
      <c r="C2678" s="3">
        <v>37497</v>
      </c>
      <c r="D2678" s="3">
        <v>41951</v>
      </c>
      <c r="E2678" s="3">
        <v>42934</v>
      </c>
      <c r="F2678" s="3">
        <v>35351</v>
      </c>
      <c r="G2678" s="3">
        <v>42094</v>
      </c>
    </row>
    <row r="2679" spans="1:7" x14ac:dyDescent="0.2">
      <c r="A2679" t="s" s="0">
        <v>1318</v>
      </c>
      <c r="B2679" s="3">
        <v>1120399</v>
      </c>
      <c r="C2679" s="3">
        <v>37497</v>
      </c>
      <c r="D2679" s="3">
        <v>41951</v>
      </c>
      <c r="E2679" s="3">
        <v>42934</v>
      </c>
      <c r="F2679" s="3">
        <v>35351</v>
      </c>
      <c r="G2679" s="3">
        <v>42094</v>
      </c>
    </row>
    <row r="2680" spans="1:7" x14ac:dyDescent="0.2">
      <c r="A2680" t="s" s="0">
        <v>1317</v>
      </c>
      <c r="B2680" s="2">
        <v>1098466</v>
      </c>
      <c r="C2680" s="2">
        <v>23791</v>
      </c>
      <c r="D2680" s="2">
        <v>39904</v>
      </c>
      <c r="E2680" s="2">
        <v>43010</v>
      </c>
      <c r="F2680" s="2">
        <v>32607</v>
      </c>
      <c r="G2680" s="2">
        <v>41595</v>
      </c>
    </row>
    <row r="2681" spans="1:7" x14ac:dyDescent="0.2">
      <c r="A2681" t="s" s="0">
        <v>1316</v>
      </c>
      <c r="B2681" s="2">
        <v>1067966</v>
      </c>
      <c r="C2681" s="2">
        <v>37653</v>
      </c>
      <c r="D2681" s="2">
        <v>38345</v>
      </c>
      <c r="E2681" s="2">
        <v>42212</v>
      </c>
      <c r="F2681" s="2">
        <v>22724</v>
      </c>
      <c r="G2681" s="2">
        <v>38944</v>
      </c>
    </row>
    <row r="2682" spans="1:7" x14ac:dyDescent="0.2">
      <c r="A2682" t="s" s="0">
        <v>1315</v>
      </c>
      <c r="B2682" s="2">
        <v>1021639</v>
      </c>
      <c r="C2682" s="2">
        <v>39404</v>
      </c>
      <c r="D2682" s="2">
        <v>38496</v>
      </c>
      <c r="E2682" s="2">
        <v>41688</v>
      </c>
      <c r="F2682" s="2">
        <v>23755</v>
      </c>
      <c r="G2682" s="2">
        <v>38944</v>
      </c>
    </row>
    <row r="2683" spans="1:7" x14ac:dyDescent="0.2">
      <c r="A2683" t="s" s="0">
        <v>1314</v>
      </c>
      <c r="B2683" s="2">
        <v>1027800</v>
      </c>
      <c r="C2683" s="2">
        <v>34404</v>
      </c>
      <c r="D2683" s="2">
        <v>39195</v>
      </c>
      <c r="E2683" s="2">
        <v>42009</v>
      </c>
      <c r="F2683" s="2">
        <v>28785</v>
      </c>
      <c r="G2683" s="2">
        <v>41100</v>
      </c>
    </row>
    <row r="2684" spans="1:7" x14ac:dyDescent="0.2">
      <c r="A2684" t="s" s="0">
        <v>1313</v>
      </c>
      <c r="B2684" s="2">
        <v>1066803</v>
      </c>
      <c r="C2684" s="2">
        <v>38779</v>
      </c>
      <c r="D2684" s="2">
        <v>39378</v>
      </c>
      <c r="E2684" s="2">
        <v>41646</v>
      </c>
      <c r="F2684" s="2">
        <v>30186</v>
      </c>
      <c r="G2684" s="2">
        <v>41286</v>
      </c>
    </row>
    <row r="2685" spans="1:7" x14ac:dyDescent="0.2">
      <c r="A2685" t="s" s="0">
        <v>1312</v>
      </c>
      <c r="B2685" s="3">
        <v>1066803</v>
      </c>
      <c r="C2685" s="3">
        <v>38779</v>
      </c>
      <c r="D2685" s="3">
        <v>39378</v>
      </c>
      <c r="E2685" s="3">
        <v>41646</v>
      </c>
      <c r="F2685" s="3">
        <v>30186</v>
      </c>
      <c r="G2685" s="3">
        <v>41286</v>
      </c>
    </row>
    <row r="2686" spans="1:7" x14ac:dyDescent="0.2">
      <c r="A2686" t="s" s="0">
        <v>1311</v>
      </c>
      <c r="B2686" s="3">
        <v>1066803</v>
      </c>
      <c r="C2686" s="3">
        <v>38779</v>
      </c>
      <c r="D2686" s="3">
        <v>39378</v>
      </c>
      <c r="E2686" s="3">
        <v>41646</v>
      </c>
      <c r="F2686" s="3">
        <v>30186</v>
      </c>
      <c r="G2686" s="3">
        <v>41286</v>
      </c>
    </row>
    <row r="2687" spans="1:7" x14ac:dyDescent="0.2">
      <c r="A2687" t="s" s="0">
        <v>1310</v>
      </c>
      <c r="B2687" s="2">
        <v>1119190</v>
      </c>
      <c r="C2687" s="2">
        <v>22363</v>
      </c>
      <c r="D2687" s="2">
        <v>40646</v>
      </c>
      <c r="E2687" s="2">
        <v>41967</v>
      </c>
      <c r="F2687" s="2">
        <v>42298</v>
      </c>
      <c r="G2687" s="2">
        <v>41266</v>
      </c>
    </row>
    <row r="2688" spans="1:7" x14ac:dyDescent="0.2">
      <c r="A2688" t="s" s="0">
        <v>1309</v>
      </c>
      <c r="B2688" s="2">
        <v>1094338</v>
      </c>
      <c r="C2688" s="2">
        <v>33997</v>
      </c>
      <c r="D2688" s="2">
        <v>41554</v>
      </c>
      <c r="E2688" s="2">
        <v>41564</v>
      </c>
      <c r="F2688" s="2">
        <v>44240</v>
      </c>
      <c r="G2688" s="2">
        <v>39856</v>
      </c>
    </row>
    <row r="2689" spans="1:7" x14ac:dyDescent="0.2">
      <c r="A2689" t="s" s="0">
        <v>1308</v>
      </c>
      <c r="B2689" s="2">
        <v>1053828</v>
      </c>
      <c r="C2689" s="2">
        <v>38749</v>
      </c>
      <c r="D2689" s="2">
        <v>40713</v>
      </c>
      <c r="E2689" s="2">
        <v>40907</v>
      </c>
      <c r="F2689" s="2">
        <v>44227</v>
      </c>
      <c r="G2689" s="2">
        <v>37734</v>
      </c>
    </row>
    <row r="2690" spans="1:7" x14ac:dyDescent="0.2">
      <c r="A2690" t="s" s="0">
        <v>1307</v>
      </c>
      <c r="B2690" s="2">
        <v>1143323</v>
      </c>
      <c r="C2690" s="2">
        <v>37492</v>
      </c>
      <c r="D2690" s="2">
        <v>39473</v>
      </c>
      <c r="E2690" s="2">
        <v>40906</v>
      </c>
      <c r="F2690" s="2">
        <v>54892</v>
      </c>
      <c r="G2690" s="2">
        <v>40769</v>
      </c>
    </row>
    <row r="2691" spans="1:7" x14ac:dyDescent="0.2">
      <c r="A2691" t="s" s="0">
        <v>1306</v>
      </c>
      <c r="B2691" s="2">
        <v>1221020</v>
      </c>
      <c r="C2691" s="2">
        <v>43497</v>
      </c>
      <c r="D2691" s="2">
        <v>40147</v>
      </c>
      <c r="E2691" s="2">
        <v>40912</v>
      </c>
      <c r="F2691" s="2">
        <v>61077</v>
      </c>
      <c r="G2691" s="2">
        <v>39819</v>
      </c>
    </row>
    <row r="2692" spans="1:7" x14ac:dyDescent="0.2">
      <c r="A2692" t="s" s="0">
        <v>1305</v>
      </c>
      <c r="B2692" s="3">
        <v>1221020</v>
      </c>
      <c r="C2692" s="3">
        <v>43497</v>
      </c>
      <c r="D2692" s="3">
        <v>40147</v>
      </c>
      <c r="E2692" s="3">
        <v>40912</v>
      </c>
      <c r="F2692" s="3">
        <v>61077</v>
      </c>
      <c r="G2692" s="3">
        <v>39819</v>
      </c>
    </row>
    <row r="2693" spans="1:7" x14ac:dyDescent="0.2">
      <c r="A2693" t="s" s="0">
        <v>1304</v>
      </c>
      <c r="B2693" s="3">
        <v>1221020</v>
      </c>
      <c r="C2693" s="3">
        <v>43497</v>
      </c>
      <c r="D2693" s="3">
        <v>40147</v>
      </c>
      <c r="E2693" s="3">
        <v>40912</v>
      </c>
      <c r="F2693" s="3">
        <v>61077</v>
      </c>
      <c r="G2693" s="3">
        <v>39819</v>
      </c>
    </row>
    <row r="2694" spans="1:7" x14ac:dyDescent="0.2">
      <c r="A2694" t="s" s="0">
        <v>1303</v>
      </c>
      <c r="B2694" s="2">
        <v>1211962</v>
      </c>
      <c r="C2694" s="2">
        <v>22683</v>
      </c>
      <c r="D2694" s="2">
        <v>37810</v>
      </c>
      <c r="E2694" s="2">
        <v>40588</v>
      </c>
      <c r="F2694" s="2">
        <v>49962</v>
      </c>
      <c r="G2694" s="2">
        <v>41174</v>
      </c>
    </row>
    <row r="2695" spans="1:7" x14ac:dyDescent="0.2">
      <c r="A2695" t="s" s="0">
        <v>1302</v>
      </c>
      <c r="B2695" s="2">
        <v>1265269</v>
      </c>
      <c r="C2695" s="2">
        <v>35722</v>
      </c>
      <c r="D2695" s="2">
        <v>36626</v>
      </c>
      <c r="E2695" s="2">
        <v>40192</v>
      </c>
      <c r="F2695" s="2">
        <v>60042</v>
      </c>
      <c r="G2695" s="2">
        <v>44218</v>
      </c>
    </row>
    <row r="2696" spans="1:7" x14ac:dyDescent="0.2">
      <c r="A2696" t="s" s="0">
        <v>1301</v>
      </c>
      <c r="B2696" s="2">
        <v>1278202</v>
      </c>
      <c r="C2696" s="2">
        <v>40171</v>
      </c>
      <c r="D2696" s="2">
        <v>37837</v>
      </c>
      <c r="E2696" s="2">
        <v>40394</v>
      </c>
      <c r="F2696" s="2">
        <v>68891</v>
      </c>
      <c r="G2696" s="2">
        <v>45002</v>
      </c>
    </row>
    <row r="2697" spans="1:7" x14ac:dyDescent="0.2">
      <c r="A2697" t="s" s="0">
        <v>1300</v>
      </c>
      <c r="B2697" s="2">
        <v>1328114</v>
      </c>
      <c r="C2697" s="2">
        <v>40154</v>
      </c>
      <c r="D2697" s="2">
        <v>37073</v>
      </c>
      <c r="E2697" s="2">
        <v>40170</v>
      </c>
      <c r="F2697" s="2">
        <v>62472</v>
      </c>
      <c r="G2697" s="2">
        <v>46284</v>
      </c>
    </row>
    <row r="2698" spans="1:7" x14ac:dyDescent="0.2">
      <c r="A2698" t="s" s="0">
        <v>1299</v>
      </c>
      <c r="B2698" s="2">
        <v>1263025</v>
      </c>
      <c r="C2698" s="2">
        <v>39631</v>
      </c>
      <c r="D2698" s="2">
        <v>40365</v>
      </c>
      <c r="E2698" s="2">
        <v>40460</v>
      </c>
      <c r="F2698" s="2">
        <v>45565</v>
      </c>
      <c r="G2698" s="2">
        <v>43045</v>
      </c>
    </row>
    <row r="2699" spans="1:7" x14ac:dyDescent="0.2">
      <c r="A2699" t="s" s="0">
        <v>1298</v>
      </c>
      <c r="B2699" s="3">
        <v>1263025</v>
      </c>
      <c r="C2699" s="3">
        <v>39631</v>
      </c>
      <c r="D2699" s="3">
        <v>40365</v>
      </c>
      <c r="E2699" s="3">
        <v>40460</v>
      </c>
      <c r="F2699" s="3">
        <v>45565</v>
      </c>
      <c r="G2699" s="3">
        <v>43045</v>
      </c>
    </row>
    <row r="2700" spans="1:7" x14ac:dyDescent="0.2">
      <c r="A2700" t="s" s="0">
        <v>1297</v>
      </c>
      <c r="B2700" s="3">
        <v>1263025</v>
      </c>
      <c r="C2700" s="3">
        <v>39631</v>
      </c>
      <c r="D2700" s="3">
        <v>40365</v>
      </c>
      <c r="E2700" s="3">
        <v>40460</v>
      </c>
      <c r="F2700" s="3">
        <v>45565</v>
      </c>
      <c r="G2700" s="3">
        <v>43045</v>
      </c>
    </row>
    <row r="2701" spans="1:7" x14ac:dyDescent="0.2">
      <c r="A2701" t="s" s="0">
        <v>1296</v>
      </c>
      <c r="B2701" s="2">
        <v>1350146</v>
      </c>
      <c r="C2701" s="2">
        <v>25542</v>
      </c>
      <c r="D2701" s="2">
        <v>42231</v>
      </c>
      <c r="E2701" s="2">
        <v>40148</v>
      </c>
      <c r="F2701" s="2">
        <v>61171</v>
      </c>
      <c r="G2701" s="2">
        <v>46510</v>
      </c>
    </row>
    <row r="2702" spans="1:7" x14ac:dyDescent="0.2">
      <c r="A2702" t="s" s="0">
        <v>1295</v>
      </c>
      <c r="B2702" s="2">
        <v>1406156</v>
      </c>
      <c r="C2702" s="2">
        <v>39433</v>
      </c>
      <c r="D2702" s="2">
        <v>43446</v>
      </c>
      <c r="E2702" s="2">
        <v>39993</v>
      </c>
      <c r="F2702" s="2">
        <v>63355</v>
      </c>
      <c r="G2702" s="2">
        <v>47590</v>
      </c>
    </row>
    <row r="2703" spans="1:7" x14ac:dyDescent="0.2">
      <c r="A2703" t="s" s="0">
        <v>1294</v>
      </c>
      <c r="B2703" s="2">
        <v>1390019</v>
      </c>
      <c r="C2703" s="2">
        <v>45778</v>
      </c>
      <c r="D2703" s="2">
        <v>43550</v>
      </c>
      <c r="E2703" s="2">
        <v>40149</v>
      </c>
      <c r="F2703" s="2">
        <v>58807</v>
      </c>
      <c r="G2703" s="2">
        <v>48920</v>
      </c>
    </row>
    <row r="2704" spans="1:7" x14ac:dyDescent="0.2">
      <c r="A2704" t="s" s="0">
        <v>1293</v>
      </c>
      <c r="B2704" s="2">
        <v>1399496</v>
      </c>
      <c r="C2704" s="2">
        <v>40184</v>
      </c>
      <c r="D2704" s="2">
        <v>43554</v>
      </c>
      <c r="E2704" s="2">
        <v>39824</v>
      </c>
      <c r="F2704" s="2">
        <v>53035</v>
      </c>
      <c r="G2704" s="2">
        <v>49796</v>
      </c>
    </row>
    <row r="2705" spans="1:7" x14ac:dyDescent="0.2">
      <c r="A2705" t="s" s="0">
        <v>1292</v>
      </c>
      <c r="B2705" s="2">
        <v>1439721</v>
      </c>
      <c r="C2705" s="2">
        <v>24729</v>
      </c>
      <c r="D2705" s="2">
        <v>38297</v>
      </c>
      <c r="E2705" s="2">
        <v>39547</v>
      </c>
      <c r="F2705" s="2">
        <v>63040</v>
      </c>
      <c r="G2705" s="2">
        <v>49967</v>
      </c>
    </row>
    <row r="2706" spans="1:7" x14ac:dyDescent="0.2">
      <c r="A2706" t="s" s="0">
        <v>1291</v>
      </c>
      <c r="B2706" s="3">
        <v>1439721</v>
      </c>
      <c r="C2706" s="3">
        <v>24729</v>
      </c>
      <c r="D2706" s="3">
        <v>38297</v>
      </c>
      <c r="E2706" s="3">
        <v>39547</v>
      </c>
      <c r="F2706" s="3">
        <v>63040</v>
      </c>
      <c r="G2706" s="3">
        <v>49967</v>
      </c>
    </row>
    <row r="2707" spans="1:7" x14ac:dyDescent="0.2">
      <c r="A2707" t="s" s="0">
        <v>1290</v>
      </c>
      <c r="B2707" s="3">
        <v>1439721</v>
      </c>
      <c r="C2707" s="3">
        <v>24729</v>
      </c>
      <c r="D2707" s="3">
        <v>38297</v>
      </c>
      <c r="E2707" s="3">
        <v>39547</v>
      </c>
      <c r="F2707" s="3">
        <v>63040</v>
      </c>
      <c r="G2707" s="3">
        <v>49967</v>
      </c>
    </row>
    <row r="2708" spans="1:7" x14ac:dyDescent="0.2">
      <c r="A2708" t="s" s="0">
        <v>1289</v>
      </c>
      <c r="B2708" s="2">
        <v>1378399</v>
      </c>
      <c r="C2708" s="2">
        <v>27645</v>
      </c>
      <c r="D2708" s="2">
        <v>36462</v>
      </c>
      <c r="E2708" s="2">
        <v>39287</v>
      </c>
      <c r="F2708" s="2">
        <v>39999</v>
      </c>
      <c r="G2708" s="2">
        <v>48357</v>
      </c>
    </row>
    <row r="2709" spans="1:7" x14ac:dyDescent="0.2">
      <c r="A2709" t="s" s="0">
        <v>1288</v>
      </c>
      <c r="B2709" s="2">
        <v>1392043</v>
      </c>
      <c r="C2709" s="2">
        <v>42745</v>
      </c>
      <c r="D2709" s="2">
        <v>36251</v>
      </c>
      <c r="E2709" s="2">
        <v>39469</v>
      </c>
      <c r="F2709" s="2">
        <v>32846</v>
      </c>
      <c r="G2709" s="2">
        <v>50121</v>
      </c>
    </row>
    <row r="2710" spans="1:7" x14ac:dyDescent="0.2">
      <c r="A2710" t="s" s="0">
        <v>1287</v>
      </c>
      <c r="B2710" s="2">
        <v>1402933</v>
      </c>
      <c r="C2710" s="2">
        <v>44325</v>
      </c>
      <c r="D2710" s="2">
        <v>36341</v>
      </c>
      <c r="E2710" s="2">
        <v>39610</v>
      </c>
      <c r="F2710" s="2">
        <v>37108</v>
      </c>
      <c r="G2710" s="2">
        <v>52258</v>
      </c>
    </row>
    <row r="2711" spans="1:7" x14ac:dyDescent="0.2">
      <c r="A2711" t="s" s="0">
        <v>1286</v>
      </c>
      <c r="B2711" s="2">
        <v>1433087</v>
      </c>
      <c r="C2711" s="2">
        <v>41101</v>
      </c>
      <c r="D2711" s="2">
        <v>37191</v>
      </c>
      <c r="E2711" s="2">
        <v>39323</v>
      </c>
      <c r="F2711" s="2">
        <v>40912</v>
      </c>
      <c r="G2711" s="2">
        <v>52828</v>
      </c>
    </row>
    <row r="2712" spans="1:7" x14ac:dyDescent="0.2">
      <c r="A2712" t="s" s="0">
        <v>1285</v>
      </c>
      <c r="B2712" s="2">
        <v>1389456</v>
      </c>
      <c r="C2712" s="2">
        <v>39251</v>
      </c>
      <c r="D2712" s="2">
        <v>39276</v>
      </c>
      <c r="E2712" s="2">
        <v>39521</v>
      </c>
      <c r="F2712" s="2">
        <v>30912</v>
      </c>
      <c r="G2712" s="2">
        <v>50149</v>
      </c>
    </row>
    <row r="2713" spans="1:7" x14ac:dyDescent="0.2">
      <c r="A2713" t="s" s="0">
        <v>1284</v>
      </c>
      <c r="B2713" s="3">
        <v>1389456</v>
      </c>
      <c r="C2713" s="3">
        <v>39251</v>
      </c>
      <c r="D2713" s="3">
        <v>39276</v>
      </c>
      <c r="E2713" s="3">
        <v>39521</v>
      </c>
      <c r="F2713" s="3">
        <v>30912</v>
      </c>
      <c r="G2713" s="3">
        <v>50149</v>
      </c>
    </row>
    <row r="2714" spans="1:7" x14ac:dyDescent="0.2">
      <c r="A2714" t="s" s="0">
        <v>1283</v>
      </c>
      <c r="B2714" s="3">
        <v>1389456</v>
      </c>
      <c r="C2714" s="3">
        <v>39251</v>
      </c>
      <c r="D2714" s="3">
        <v>39276</v>
      </c>
      <c r="E2714" s="3">
        <v>39521</v>
      </c>
      <c r="F2714" s="3">
        <v>30912</v>
      </c>
      <c r="G2714" s="3">
        <v>50149</v>
      </c>
    </row>
    <row r="2715" spans="1:7" x14ac:dyDescent="0.2">
      <c r="A2715" t="s" s="0">
        <v>1282</v>
      </c>
      <c r="B2715" s="2">
        <v>1435529</v>
      </c>
      <c r="C2715" s="2">
        <v>22163</v>
      </c>
      <c r="D2715" s="2">
        <v>39057</v>
      </c>
      <c r="E2715" s="2">
        <v>38890</v>
      </c>
      <c r="F2715" s="2">
        <v>46034</v>
      </c>
      <c r="G2715" s="2">
        <v>49292</v>
      </c>
    </row>
    <row r="2716" spans="1:7" x14ac:dyDescent="0.2">
      <c r="A2716" t="s" s="0">
        <v>1281</v>
      </c>
      <c r="B2716" s="2">
        <v>1404202</v>
      </c>
      <c r="C2716" s="2">
        <v>39471</v>
      </c>
      <c r="D2716" s="2">
        <v>41750</v>
      </c>
      <c r="E2716" s="2">
        <v>39518</v>
      </c>
      <c r="F2716" s="2">
        <v>42894</v>
      </c>
      <c r="G2716" s="2">
        <v>49784</v>
      </c>
    </row>
    <row r="2717" spans="1:7" x14ac:dyDescent="0.2">
      <c r="A2717" t="s" s="0">
        <v>1280</v>
      </c>
      <c r="B2717" s="2">
        <v>1433941</v>
      </c>
      <c r="C2717" s="2">
        <v>40464</v>
      </c>
      <c r="D2717" s="2">
        <v>40338</v>
      </c>
      <c r="E2717" s="2">
        <v>39516</v>
      </c>
      <c r="F2717" s="2">
        <v>44364</v>
      </c>
      <c r="G2717" s="2">
        <v>52292</v>
      </c>
    </row>
    <row r="2718" spans="1:7" x14ac:dyDescent="0.2">
      <c r="A2718" t="s" s="0">
        <v>1279</v>
      </c>
      <c r="B2718" s="2">
        <v>1427170</v>
      </c>
      <c r="C2718" s="2">
        <v>38249</v>
      </c>
      <c r="D2718" s="2">
        <v>40496</v>
      </c>
      <c r="E2718" s="2">
        <v>39579</v>
      </c>
      <c r="F2718" s="2">
        <v>39205</v>
      </c>
      <c r="G2718" s="2">
        <v>48906</v>
      </c>
    </row>
    <row r="2719" spans="1:7" x14ac:dyDescent="0.2">
      <c r="A2719" t="s" s="0">
        <v>1278</v>
      </c>
      <c r="B2719" s="2">
        <v>1420787</v>
      </c>
      <c r="C2719" s="2">
        <v>39008</v>
      </c>
      <c r="D2719" s="2">
        <v>41164</v>
      </c>
      <c r="E2719" s="2">
        <v>39775</v>
      </c>
      <c r="F2719" s="2">
        <v>44931</v>
      </c>
      <c r="G2719" s="2">
        <v>46112</v>
      </c>
    </row>
    <row r="2720" spans="1:7" x14ac:dyDescent="0.2">
      <c r="A2720" t="s" s="0">
        <v>1277</v>
      </c>
      <c r="B2720" s="3">
        <v>1420787</v>
      </c>
      <c r="C2720" s="3">
        <v>39008</v>
      </c>
      <c r="D2720" s="3">
        <v>41164</v>
      </c>
      <c r="E2720" s="3">
        <v>39775</v>
      </c>
      <c r="F2720" s="3">
        <v>44931</v>
      </c>
      <c r="G2720" s="3">
        <v>46112</v>
      </c>
    </row>
    <row r="2721" spans="1:7" x14ac:dyDescent="0.2">
      <c r="A2721" t="s" s="0">
        <v>1276</v>
      </c>
      <c r="B2721" s="3">
        <v>1420787</v>
      </c>
      <c r="C2721" s="3">
        <v>39008</v>
      </c>
      <c r="D2721" s="3">
        <v>41164</v>
      </c>
      <c r="E2721" s="3">
        <v>39775</v>
      </c>
      <c r="F2721" s="3">
        <v>44931</v>
      </c>
      <c r="G2721" s="3">
        <v>46112</v>
      </c>
    </row>
    <row r="2722" spans="1:7" x14ac:dyDescent="0.2">
      <c r="A2722" t="s" s="0">
        <v>1275</v>
      </c>
      <c r="B2722" s="2">
        <v>1497323</v>
      </c>
      <c r="C2722" s="2">
        <v>22744</v>
      </c>
      <c r="D2722" s="2">
        <v>40824</v>
      </c>
      <c r="E2722" s="2">
        <v>39643</v>
      </c>
      <c r="F2722" s="2">
        <v>48943</v>
      </c>
      <c r="G2722" s="2">
        <v>49037</v>
      </c>
    </row>
    <row r="2723" spans="1:7" x14ac:dyDescent="0.2">
      <c r="A2723" t="s" s="0">
        <v>1274</v>
      </c>
      <c r="B2723" s="2">
        <v>1501343</v>
      </c>
      <c r="C2723" s="2">
        <v>40012</v>
      </c>
      <c r="D2723" s="2">
        <v>41310</v>
      </c>
      <c r="E2723" s="2">
        <v>40689</v>
      </c>
      <c r="F2723" s="2">
        <v>54221</v>
      </c>
      <c r="G2723" s="2">
        <v>48329</v>
      </c>
    </row>
    <row r="2724" spans="1:7" x14ac:dyDescent="0.2">
      <c r="A2724" t="s" s="0">
        <v>1273</v>
      </c>
      <c r="B2724" s="2">
        <v>1459570</v>
      </c>
      <c r="C2724" s="2">
        <v>38447</v>
      </c>
      <c r="D2724" s="2">
        <v>41746</v>
      </c>
      <c r="E2724" s="2">
        <v>40494</v>
      </c>
      <c r="F2724" s="2">
        <v>44440</v>
      </c>
      <c r="G2724" s="2">
        <v>46180</v>
      </c>
    </row>
    <row r="2725" spans="1:7" x14ac:dyDescent="0.2">
      <c r="A2725" t="s" s="0">
        <v>1272</v>
      </c>
      <c r="B2725" s="2">
        <v>1446716</v>
      </c>
      <c r="C2725" s="2">
        <v>35842</v>
      </c>
      <c r="D2725" s="2">
        <v>41270</v>
      </c>
      <c r="E2725" s="2">
        <v>40628</v>
      </c>
      <c r="F2725" s="2">
        <v>43138</v>
      </c>
      <c r="G2725" s="2">
        <v>44072</v>
      </c>
    </row>
    <row r="2726" spans="1:7" x14ac:dyDescent="0.2">
      <c r="A2726" t="s" s="0">
        <v>1271</v>
      </c>
      <c r="B2726" s="2">
        <v>1464037</v>
      </c>
      <c r="C2726" s="2">
        <v>38282</v>
      </c>
      <c r="D2726" s="2">
        <v>39738</v>
      </c>
      <c r="E2726" s="2">
        <v>39619</v>
      </c>
      <c r="F2726" s="2">
        <v>45298</v>
      </c>
      <c r="G2726" s="2">
        <v>46045</v>
      </c>
    </row>
    <row r="2727" spans="1:7" x14ac:dyDescent="0.2">
      <c r="A2727" t="s" s="0">
        <v>1270</v>
      </c>
      <c r="B2727" s="3">
        <v>1464037</v>
      </c>
      <c r="C2727" s="3">
        <v>38282</v>
      </c>
      <c r="D2727" s="3">
        <v>39738</v>
      </c>
      <c r="E2727" s="3">
        <v>39619</v>
      </c>
      <c r="F2727" s="3">
        <v>45298</v>
      </c>
      <c r="G2727" s="3">
        <v>46045</v>
      </c>
    </row>
    <row r="2728" spans="1:7" x14ac:dyDescent="0.2">
      <c r="A2728" t="s" s="0">
        <v>1269</v>
      </c>
      <c r="B2728" s="3">
        <v>1464037</v>
      </c>
      <c r="C2728" s="3">
        <v>38282</v>
      </c>
      <c r="D2728" s="3">
        <v>39738</v>
      </c>
      <c r="E2728" s="3">
        <v>39619</v>
      </c>
      <c r="F2728" s="3">
        <v>45298</v>
      </c>
      <c r="G2728" s="3">
        <v>46045</v>
      </c>
    </row>
    <row r="2729" spans="1:7" x14ac:dyDescent="0.2">
      <c r="A2729" t="s" s="0">
        <v>1268</v>
      </c>
      <c r="B2729" s="2">
        <v>1502759</v>
      </c>
      <c r="C2729" s="2">
        <v>24083</v>
      </c>
      <c r="D2729" s="2">
        <v>43100</v>
      </c>
      <c r="E2729" s="2">
        <v>39860</v>
      </c>
      <c r="F2729" s="2">
        <v>43258</v>
      </c>
      <c r="G2729" s="2">
        <v>44558</v>
      </c>
    </row>
    <row r="2730" spans="1:7" x14ac:dyDescent="0.2">
      <c r="A2730" t="s" s="0">
        <v>1267</v>
      </c>
      <c r="B2730" s="2">
        <v>1521760</v>
      </c>
      <c r="C2730" s="2">
        <v>39600</v>
      </c>
      <c r="D2730" s="2">
        <v>39665</v>
      </c>
      <c r="E2730" s="2">
        <v>39744</v>
      </c>
      <c r="F2730" s="2">
        <v>42081</v>
      </c>
      <c r="G2730" s="2">
        <v>43011</v>
      </c>
    </row>
    <row r="2731" spans="1:7" x14ac:dyDescent="0.2">
      <c r="A2731" t="s" s="0">
        <v>1266</v>
      </c>
      <c r="B2731" s="2">
        <v>1484931</v>
      </c>
      <c r="C2731" s="2">
        <v>50108</v>
      </c>
      <c r="D2731" s="2">
        <v>44709</v>
      </c>
      <c r="E2731" s="2">
        <v>40783</v>
      </c>
      <c r="F2731" s="2">
        <v>47831</v>
      </c>
      <c r="G2731" s="2">
        <v>43436</v>
      </c>
    </row>
    <row r="2732" spans="1:7" x14ac:dyDescent="0.2">
      <c r="A2732" t="s" s="0">
        <v>1265</v>
      </c>
      <c r="B2732" s="2">
        <v>1489563</v>
      </c>
      <c r="C2732" s="2">
        <v>47217</v>
      </c>
      <c r="D2732" s="2">
        <v>46608</v>
      </c>
      <c r="E2732" s="2">
        <v>41391</v>
      </c>
      <c r="F2732" s="2">
        <v>52228</v>
      </c>
      <c r="G2732" s="2">
        <v>43871</v>
      </c>
    </row>
    <row r="2733" spans="1:7" x14ac:dyDescent="0.2">
      <c r="A2733" t="s" s="0">
        <v>1264</v>
      </c>
      <c r="B2733" s="2">
        <v>1482414</v>
      </c>
      <c r="C2733" s="2">
        <v>47303</v>
      </c>
      <c r="D2733" s="2">
        <v>49325</v>
      </c>
      <c r="E2733" s="2">
        <v>42376</v>
      </c>
      <c r="F2733" s="2">
        <v>50790</v>
      </c>
      <c r="G2733" s="2">
        <v>42983</v>
      </c>
    </row>
    <row r="2734" spans="1:7" x14ac:dyDescent="0.2">
      <c r="A2734" t="s" s="0">
        <v>1263</v>
      </c>
      <c r="B2734" s="3">
        <v>1482414</v>
      </c>
      <c r="C2734" s="3">
        <v>47303</v>
      </c>
      <c r="D2734" s="3">
        <v>49325</v>
      </c>
      <c r="E2734" s="3">
        <v>42376</v>
      </c>
      <c r="F2734" s="3">
        <v>50790</v>
      </c>
      <c r="G2734" s="3">
        <v>42983</v>
      </c>
    </row>
    <row r="2735" spans="1:7" x14ac:dyDescent="0.2">
      <c r="A2735" t="s" s="0">
        <v>1262</v>
      </c>
      <c r="B2735" s="3">
        <v>1482414</v>
      </c>
      <c r="C2735" s="3">
        <v>47303</v>
      </c>
      <c r="D2735" s="3">
        <v>49325</v>
      </c>
      <c r="E2735" s="3">
        <v>42376</v>
      </c>
      <c r="F2735" s="3">
        <v>50790</v>
      </c>
      <c r="G2735" s="3">
        <v>42983</v>
      </c>
    </row>
    <row r="2736" spans="1:7" x14ac:dyDescent="0.2">
      <c r="A2736" t="s" s="0">
        <v>1261</v>
      </c>
      <c r="B2736" s="2">
        <v>1487969</v>
      </c>
      <c r="C2736" s="2">
        <v>23633</v>
      </c>
      <c r="D2736" s="2">
        <v>43932</v>
      </c>
      <c r="E2736" s="2">
        <v>41728</v>
      </c>
      <c r="F2736" s="2">
        <v>40659</v>
      </c>
      <c r="G2736" s="2">
        <v>44723</v>
      </c>
    </row>
    <row r="2737" spans="1:7" x14ac:dyDescent="0.2">
      <c r="A2737" t="s" s="0">
        <v>1260</v>
      </c>
      <c r="B2737" s="2">
        <v>1463720</v>
      </c>
      <c r="C2737" s="2">
        <v>40513</v>
      </c>
      <c r="D2737" s="2">
        <v>43867</v>
      </c>
      <c r="E2737" s="2">
        <v>41648</v>
      </c>
      <c r="F2737" s="2">
        <v>34854</v>
      </c>
      <c r="G2737" s="2">
        <v>43513</v>
      </c>
    </row>
    <row r="2738" spans="1:7" x14ac:dyDescent="0.2">
      <c r="A2738" t="s" s="0">
        <v>1259</v>
      </c>
      <c r="B2738" s="2">
        <v>1343728</v>
      </c>
      <c r="C2738" s="2">
        <v>41924</v>
      </c>
      <c r="D2738" s="2">
        <v>50052</v>
      </c>
      <c r="E2738" s="2">
        <v>44211</v>
      </c>
      <c r="F2738" s="2">
        <v>28859</v>
      </c>
      <c r="G2738" s="2">
        <v>41374</v>
      </c>
    </row>
    <row r="2739" spans="1:7" x14ac:dyDescent="0.2">
      <c r="A2739" t="s" s="0">
        <v>1258</v>
      </c>
      <c r="B2739" s="2">
        <v>1348061</v>
      </c>
      <c r="C2739" s="2">
        <v>36535</v>
      </c>
      <c r="D2739" s="2">
        <v>47093</v>
      </c>
      <c r="E2739" s="2">
        <v>43867</v>
      </c>
      <c r="F2739" s="2">
        <v>25857</v>
      </c>
      <c r="G2739" s="2">
        <v>40107</v>
      </c>
    </row>
    <row r="2740" spans="1:7" x14ac:dyDescent="0.2">
      <c r="A2740" t="s" s="0">
        <v>1257</v>
      </c>
      <c r="B2740" s="2">
        <v>1330409</v>
      </c>
      <c r="C2740" s="2">
        <v>39145</v>
      </c>
      <c r="D2740" s="2">
        <v>44498</v>
      </c>
      <c r="E2740" s="2">
        <v>43681</v>
      </c>
      <c r="F2740" s="2">
        <v>22255</v>
      </c>
      <c r="G2740" s="2">
        <v>40819</v>
      </c>
    </row>
    <row r="2741" spans="1:7" x14ac:dyDescent="0.2">
      <c r="A2741" t="s" s="0">
        <v>1256</v>
      </c>
      <c r="B2741" s="3">
        <v>1330409</v>
      </c>
      <c r="C2741" s="3">
        <v>39145</v>
      </c>
      <c r="D2741" s="3">
        <v>44498</v>
      </c>
      <c r="E2741" s="3">
        <v>43681</v>
      </c>
      <c r="F2741" s="3">
        <v>22255</v>
      </c>
      <c r="G2741" s="3">
        <v>40819</v>
      </c>
    </row>
    <row r="2742" spans="1:7" x14ac:dyDescent="0.2">
      <c r="A2742" t="s" s="0">
        <v>1255</v>
      </c>
      <c r="B2742" s="3">
        <v>1330409</v>
      </c>
      <c r="C2742" s="3">
        <v>39145</v>
      </c>
      <c r="D2742" s="3">
        <v>44498</v>
      </c>
      <c r="E2742" s="3">
        <v>43681</v>
      </c>
      <c r="F2742" s="3">
        <v>22255</v>
      </c>
      <c r="G2742" s="3">
        <v>40819</v>
      </c>
    </row>
    <row r="2743" spans="1:7" x14ac:dyDescent="0.2">
      <c r="A2743" t="s" s="0">
        <v>1254</v>
      </c>
      <c r="B2743" s="2">
        <v>1282173</v>
      </c>
      <c r="C2743" s="2">
        <v>19883</v>
      </c>
      <c r="D2743" s="2">
        <v>44738</v>
      </c>
      <c r="E2743" s="2">
        <v>43148</v>
      </c>
      <c r="F2743" s="2">
        <v>14674</v>
      </c>
      <c r="G2743" s="2">
        <v>36883</v>
      </c>
    </row>
    <row r="2744" spans="1:7" x14ac:dyDescent="0.2">
      <c r="A2744" t="s" s="0">
        <v>1253</v>
      </c>
      <c r="B2744" s="2">
        <v>1272305</v>
      </c>
      <c r="C2744" s="2">
        <v>33275</v>
      </c>
      <c r="D2744" s="2">
        <v>43704</v>
      </c>
      <c r="E2744" s="2">
        <v>42137</v>
      </c>
      <c r="F2744" s="2">
        <v>15334</v>
      </c>
      <c r="G2744" s="2">
        <v>36623</v>
      </c>
    </row>
    <row r="2745" spans="1:7" x14ac:dyDescent="0.2">
      <c r="A2745" t="s" s="0">
        <v>1252</v>
      </c>
      <c r="B2745" s="2">
        <v>1232873</v>
      </c>
      <c r="C2745" s="2">
        <v>39152</v>
      </c>
      <c r="D2745" s="2">
        <v>33464</v>
      </c>
      <c r="E2745" s="2">
        <v>42493</v>
      </c>
      <c r="F2745" s="2">
        <v>16902</v>
      </c>
      <c r="G2745" s="2">
        <v>34508</v>
      </c>
    </row>
    <row r="2746" spans="1:7" x14ac:dyDescent="0.2">
      <c r="A2746" t="s" s="0">
        <v>1251</v>
      </c>
      <c r="B2746" s="2">
        <v>1210534</v>
      </c>
      <c r="C2746" s="2">
        <v>37311</v>
      </c>
      <c r="D2746" s="2">
        <v>33581</v>
      </c>
      <c r="E2746" s="2">
        <v>42138</v>
      </c>
      <c r="F2746" s="2">
        <v>13209</v>
      </c>
      <c r="G2746" s="2">
        <v>33608</v>
      </c>
    </row>
    <row r="2747" spans="1:7" x14ac:dyDescent="0.2">
      <c r="A2747" t="s" s="0">
        <v>1250</v>
      </c>
      <c r="B2747" s="2">
        <v>1251591</v>
      </c>
      <c r="C2747" s="2">
        <v>34103</v>
      </c>
      <c r="D2747" s="2">
        <v>32861</v>
      </c>
      <c r="E2747" s="2">
        <v>41606</v>
      </c>
      <c r="F2747" s="2">
        <v>21077</v>
      </c>
      <c r="G2747" s="2">
        <v>34855</v>
      </c>
    </row>
    <row r="2748" spans="1:7" x14ac:dyDescent="0.2">
      <c r="A2748" t="s" s="0">
        <v>1249</v>
      </c>
      <c r="B2748" s="3">
        <v>1251591</v>
      </c>
      <c r="C2748" s="3">
        <v>34103</v>
      </c>
      <c r="D2748" s="3">
        <v>32861</v>
      </c>
      <c r="E2748" s="3">
        <v>41606</v>
      </c>
      <c r="F2748" s="3">
        <v>21077</v>
      </c>
      <c r="G2748" s="3">
        <v>34855</v>
      </c>
    </row>
    <row r="2749" spans="1:7" x14ac:dyDescent="0.2">
      <c r="A2749" t="s" s="0">
        <v>1248</v>
      </c>
      <c r="B2749" s="3">
        <v>1251591</v>
      </c>
      <c r="C2749" s="3">
        <v>34103</v>
      </c>
      <c r="D2749" s="3">
        <v>32861</v>
      </c>
      <c r="E2749" s="3">
        <v>41606</v>
      </c>
      <c r="F2749" s="3">
        <v>21077</v>
      </c>
      <c r="G2749" s="3">
        <v>34855</v>
      </c>
    </row>
    <row r="2750" spans="1:7" x14ac:dyDescent="0.2">
      <c r="A2750" t="s" s="0">
        <v>1247</v>
      </c>
      <c r="B2750" s="2">
        <v>1237693</v>
      </c>
      <c r="C2750" s="2">
        <v>20321</v>
      </c>
      <c r="D2750" s="2">
        <v>32711</v>
      </c>
      <c r="E2750" s="2">
        <v>41120</v>
      </c>
      <c r="F2750" s="2">
        <v>25969</v>
      </c>
      <c r="G2750" s="2">
        <v>31140</v>
      </c>
    </row>
    <row r="2751" spans="1:7" x14ac:dyDescent="0.2">
      <c r="A2751" t="s" s="0">
        <v>1246</v>
      </c>
      <c r="B2751" s="2">
        <v>1276007</v>
      </c>
      <c r="C2751" s="2">
        <v>32397</v>
      </c>
      <c r="D2751" s="2">
        <v>34014</v>
      </c>
      <c r="E2751" s="2">
        <v>40313</v>
      </c>
      <c r="F2751" s="2">
        <v>34136</v>
      </c>
      <c r="G2751" s="2">
        <v>31601</v>
      </c>
    </row>
    <row r="2752" spans="1:7" x14ac:dyDescent="0.2">
      <c r="A2752" t="s" s="0">
        <v>1245</v>
      </c>
      <c r="B2752" s="2">
        <v>1329056</v>
      </c>
      <c r="C2752" s="2">
        <v>36425</v>
      </c>
      <c r="D2752" s="2">
        <v>32013</v>
      </c>
      <c r="E2752" s="2">
        <v>40060</v>
      </c>
      <c r="F2752" s="2">
        <v>45347</v>
      </c>
      <c r="G2752" s="2">
        <v>34735</v>
      </c>
    </row>
    <row r="2753" spans="1:7" x14ac:dyDescent="0.2">
      <c r="A2753" t="s" s="0">
        <v>1244</v>
      </c>
      <c r="B2753" s="2">
        <v>1315119</v>
      </c>
      <c r="C2753" s="2">
        <v>34301</v>
      </c>
      <c r="D2753" s="2">
        <v>32281</v>
      </c>
      <c r="E2753" s="2">
        <v>39891</v>
      </c>
      <c r="F2753" s="2">
        <v>46815</v>
      </c>
      <c r="G2753" s="2">
        <v>34527</v>
      </c>
    </row>
    <row r="2754" spans="1:7" x14ac:dyDescent="0.2">
      <c r="A2754" t="s" s="0">
        <v>1243</v>
      </c>
      <c r="B2754" s="2">
        <v>1379280</v>
      </c>
      <c r="C2754" s="2">
        <v>36186</v>
      </c>
      <c r="D2754" s="2">
        <v>32578</v>
      </c>
      <c r="E2754" s="2">
        <v>39816</v>
      </c>
      <c r="F2754" s="2">
        <v>50416</v>
      </c>
      <c r="G2754" s="2">
        <v>36134</v>
      </c>
    </row>
    <row r="2755" spans="1:7" x14ac:dyDescent="0.2">
      <c r="A2755" t="s" s="0">
        <v>1242</v>
      </c>
      <c r="B2755" s="3">
        <v>1379280</v>
      </c>
      <c r="C2755" s="3">
        <v>36186</v>
      </c>
      <c r="D2755" s="3">
        <v>32578</v>
      </c>
      <c r="E2755" s="3">
        <v>39816</v>
      </c>
      <c r="F2755" s="3">
        <v>50416</v>
      </c>
      <c r="G2755" s="3">
        <v>36134</v>
      </c>
    </row>
    <row r="2756" spans="1:7" x14ac:dyDescent="0.2">
      <c r="A2756" t="s" s="0">
        <v>1241</v>
      </c>
      <c r="B2756" s="3">
        <v>1379280</v>
      </c>
      <c r="C2756" s="3">
        <v>36186</v>
      </c>
      <c r="D2756" s="3">
        <v>32578</v>
      </c>
      <c r="E2756" s="3">
        <v>39816</v>
      </c>
      <c r="F2756" s="3">
        <v>50416</v>
      </c>
      <c r="G2756" s="3">
        <v>36134</v>
      </c>
    </row>
    <row r="2757" spans="1:7" x14ac:dyDescent="0.2">
      <c r="A2757" t="s" s="0">
        <v>1240</v>
      </c>
      <c r="B2757" s="2">
        <v>1395671</v>
      </c>
      <c r="C2757" s="2">
        <v>18092</v>
      </c>
      <c r="D2757" s="2">
        <v>33516</v>
      </c>
      <c r="E2757" s="2">
        <v>38724</v>
      </c>
      <c r="F2757" s="2">
        <v>55680</v>
      </c>
      <c r="G2757" s="2">
        <v>34245</v>
      </c>
    </row>
    <row r="2758" spans="1:7" x14ac:dyDescent="0.2">
      <c r="A2758" t="s" s="0">
        <v>1239</v>
      </c>
      <c r="B2758" s="2">
        <v>1379965</v>
      </c>
      <c r="C2758" s="2">
        <v>31866</v>
      </c>
      <c r="D2758" s="2">
        <v>32729</v>
      </c>
      <c r="E2758" s="2">
        <v>38579</v>
      </c>
      <c r="F2758" s="2">
        <v>47387</v>
      </c>
      <c r="G2758" s="2">
        <v>32928</v>
      </c>
    </row>
    <row r="2759" spans="1:7" x14ac:dyDescent="0.2">
      <c r="A2759" t="s" s="0">
        <v>1238</v>
      </c>
      <c r="B2759" s="2">
        <v>1341811</v>
      </c>
      <c r="C2759" s="2">
        <v>36161</v>
      </c>
      <c r="D2759" s="2">
        <v>34547</v>
      </c>
      <c r="E2759" s="2">
        <v>37519</v>
      </c>
      <c r="F2759" s="2">
        <v>36177</v>
      </c>
      <c r="G2759" s="2">
        <v>31821</v>
      </c>
    </row>
    <row r="2760" spans="1:7" x14ac:dyDescent="0.2">
      <c r="A2760" t="s" s="0">
        <v>1237</v>
      </c>
      <c r="B2760" s="2">
        <v>1391946</v>
      </c>
      <c r="C2760" s="2">
        <v>34810</v>
      </c>
      <c r="D2760" s="2">
        <v>33923</v>
      </c>
      <c r="E2760" s="2">
        <v>36719</v>
      </c>
      <c r="F2760" s="2">
        <v>44705</v>
      </c>
      <c r="G2760" s="2">
        <v>32646</v>
      </c>
    </row>
    <row r="2761" spans="1:7" x14ac:dyDescent="0.2">
      <c r="A2761" t="s" s="0">
        <v>1236</v>
      </c>
      <c r="B2761" s="2">
        <v>1364368</v>
      </c>
      <c r="C2761" s="2">
        <v>29978</v>
      </c>
      <c r="D2761" s="2">
        <v>33036</v>
      </c>
      <c r="E2761" s="2">
        <v>35743</v>
      </c>
      <c r="F2761" s="2">
        <v>30412</v>
      </c>
      <c r="G2761" s="2">
        <v>31040</v>
      </c>
    </row>
    <row r="2762" spans="1:7" x14ac:dyDescent="0.2">
      <c r="A2762" t="s" s="0">
        <v>1235</v>
      </c>
      <c r="B2762" s="3">
        <v>1364368</v>
      </c>
      <c r="C2762" s="3">
        <v>29978</v>
      </c>
      <c r="D2762" s="3">
        <v>33036</v>
      </c>
      <c r="E2762" s="3">
        <v>35743</v>
      </c>
      <c r="F2762" s="3">
        <v>30412</v>
      </c>
      <c r="G2762" s="3">
        <v>31040</v>
      </c>
    </row>
    <row r="2763" spans="1:7" x14ac:dyDescent="0.2">
      <c r="A2763" t="s" s="0">
        <v>1234</v>
      </c>
      <c r="B2763" s="3">
        <v>1364368</v>
      </c>
      <c r="C2763" s="3">
        <v>29978</v>
      </c>
      <c r="D2763" s="3">
        <v>33036</v>
      </c>
      <c r="E2763" s="3">
        <v>35743</v>
      </c>
      <c r="F2763" s="3">
        <v>30412</v>
      </c>
      <c r="G2763" s="3">
        <v>31040</v>
      </c>
    </row>
    <row r="2764" spans="1:7" x14ac:dyDescent="0.2">
      <c r="A2764" t="s" s="0">
        <v>1233</v>
      </c>
      <c r="B2764" s="2">
        <v>1405521</v>
      </c>
      <c r="C2764" s="2">
        <v>20757</v>
      </c>
      <c r="D2764" s="2">
        <v>32591</v>
      </c>
      <c r="E2764" s="2">
        <v>35889</v>
      </c>
      <c r="F2764" s="2">
        <v>33504</v>
      </c>
      <c r="G2764" s="2">
        <v>32457</v>
      </c>
    </row>
    <row r="2765" spans="1:7" x14ac:dyDescent="0.2">
      <c r="A2765" t="s" s="0">
        <v>1232</v>
      </c>
      <c r="B2765" s="2">
        <v>1367329</v>
      </c>
      <c r="C2765" s="2">
        <v>32680</v>
      </c>
      <c r="D2765" s="2">
        <v>32696</v>
      </c>
      <c r="E2765" s="2">
        <v>35786</v>
      </c>
      <c r="F2765" s="2">
        <v>30426</v>
      </c>
      <c r="G2765" s="2">
        <v>31821</v>
      </c>
    </row>
    <row r="2766" spans="1:7" x14ac:dyDescent="0.2">
      <c r="A2766" t="s" s="0">
        <v>1231</v>
      </c>
      <c r="B2766" s="2">
        <v>1352494</v>
      </c>
      <c r="C2766" s="2">
        <v>36746</v>
      </c>
      <c r="D2766" s="2">
        <v>33462</v>
      </c>
      <c r="E2766" s="2">
        <v>33372</v>
      </c>
      <c r="F2766" s="2">
        <v>34524</v>
      </c>
      <c r="G2766" s="2">
        <v>33237</v>
      </c>
    </row>
    <row r="2767" spans="1:7" x14ac:dyDescent="0.2">
      <c r="A2767" t="s" s="0">
        <v>1230</v>
      </c>
      <c r="B2767" s="2">
        <v>1351904</v>
      </c>
      <c r="C2767" s="2">
        <v>35590</v>
      </c>
      <c r="D2767" s="2">
        <v>33573</v>
      </c>
      <c r="E2767" s="2">
        <v>33340</v>
      </c>
      <c r="F2767" s="2">
        <v>27389</v>
      </c>
      <c r="G2767" s="2">
        <v>33029</v>
      </c>
    </row>
    <row r="2768" spans="1:7" x14ac:dyDescent="0.2">
      <c r="A2768" t="s" s="0">
        <v>1229</v>
      </c>
      <c r="B2768" s="2">
        <v>1345763</v>
      </c>
      <c r="C2768" s="2">
        <v>32410</v>
      </c>
      <c r="D2768" s="2">
        <v>33921</v>
      </c>
      <c r="E2768" s="2">
        <v>33099</v>
      </c>
      <c r="F2768" s="2">
        <v>30929</v>
      </c>
      <c r="G2768" s="2">
        <v>33208</v>
      </c>
    </row>
    <row r="2769" spans="1:7" x14ac:dyDescent="0.2">
      <c r="A2769" t="s" s="0">
        <v>1228</v>
      </c>
      <c r="B2769" s="3">
        <v>1345763</v>
      </c>
      <c r="C2769" s="3">
        <v>32410</v>
      </c>
      <c r="D2769" s="3">
        <v>33921</v>
      </c>
      <c r="E2769" s="3">
        <v>33099</v>
      </c>
      <c r="F2769" s="3">
        <v>30929</v>
      </c>
      <c r="G2769" s="3">
        <v>33208</v>
      </c>
    </row>
    <row r="2770" spans="1:7" x14ac:dyDescent="0.2">
      <c r="A2770" t="s" s="0">
        <v>1227</v>
      </c>
      <c r="B2770" s="3">
        <v>1345763</v>
      </c>
      <c r="C2770" s="3">
        <v>32410</v>
      </c>
      <c r="D2770" s="3">
        <v>33921</v>
      </c>
      <c r="E2770" s="3">
        <v>33099</v>
      </c>
      <c r="F2770" s="3">
        <v>30929</v>
      </c>
      <c r="G2770" s="3">
        <v>33208</v>
      </c>
    </row>
    <row r="2771" spans="1:7" x14ac:dyDescent="0.2">
      <c r="A2771" t="s" s="0">
        <v>1226</v>
      </c>
      <c r="B2771" s="2">
        <v>1405221</v>
      </c>
      <c r="C2771" s="2">
        <v>20019</v>
      </c>
      <c r="D2771" s="2">
        <v>34833</v>
      </c>
      <c r="E2771" s="2">
        <v>33413</v>
      </c>
      <c r="F2771" s="2">
        <v>34456</v>
      </c>
      <c r="G2771" s="2">
        <v>37402</v>
      </c>
    </row>
    <row r="2772" spans="1:7" x14ac:dyDescent="0.2">
      <c r="A2772" t="s" s="0">
        <v>1225</v>
      </c>
      <c r="B2772" s="2">
        <v>1386976</v>
      </c>
      <c r="C2772" s="2">
        <v>40558</v>
      </c>
      <c r="D2772" s="2">
        <v>38098</v>
      </c>
      <c r="E2772" s="2">
        <v>34385</v>
      </c>
      <c r="F2772" s="2">
        <v>40426</v>
      </c>
      <c r="G2772" s="2">
        <v>38094</v>
      </c>
    </row>
    <row r="2773" spans="1:7" x14ac:dyDescent="0.2">
      <c r="A2773" t="s" s="0">
        <v>1224</v>
      </c>
      <c r="B2773" s="2">
        <v>1341099</v>
      </c>
      <c r="C2773" s="2">
        <v>41500</v>
      </c>
      <c r="D2773" s="2">
        <v>36239</v>
      </c>
      <c r="E2773" s="2">
        <v>34066</v>
      </c>
      <c r="F2773" s="2">
        <v>34132</v>
      </c>
      <c r="G2773" s="2">
        <v>37545</v>
      </c>
    </row>
    <row r="2774" spans="1:7" x14ac:dyDescent="0.2">
      <c r="A2774" t="s" s="0">
        <v>1223</v>
      </c>
      <c r="B2774" s="2">
        <v>1322900</v>
      </c>
      <c r="C2774" s="2">
        <v>32965</v>
      </c>
      <c r="D2774" s="2">
        <v>37293</v>
      </c>
      <c r="E2774" s="2">
        <v>34268</v>
      </c>
      <c r="F2774" s="2">
        <v>32670</v>
      </c>
      <c r="G2774" s="2">
        <v>37895</v>
      </c>
    </row>
    <row r="2775" spans="1:7" x14ac:dyDescent="0.2">
      <c r="A2775" t="s" s="0">
        <v>1222</v>
      </c>
      <c r="B2775" s="2">
        <v>1359542</v>
      </c>
      <c r="C2775" s="2">
        <v>18780</v>
      </c>
      <c r="D2775" s="2">
        <v>36060</v>
      </c>
      <c r="E2775" s="2">
        <v>33899</v>
      </c>
      <c r="F2775" s="2">
        <v>37727</v>
      </c>
      <c r="G2775" s="2">
        <v>37371</v>
      </c>
    </row>
    <row r="2776" spans="1:7" x14ac:dyDescent="0.2">
      <c r="A2776" t="s" s="0">
        <v>1221</v>
      </c>
      <c r="B2776" s="3">
        <v>1359542</v>
      </c>
      <c r="C2776" s="3">
        <v>18780</v>
      </c>
      <c r="D2776" s="3">
        <v>36060</v>
      </c>
      <c r="E2776" s="3">
        <v>33899</v>
      </c>
      <c r="F2776" s="3">
        <v>37727</v>
      </c>
      <c r="G2776" s="3">
        <v>37371</v>
      </c>
    </row>
    <row r="2777" spans="1:7" x14ac:dyDescent="0.2">
      <c r="A2777" t="s" s="0">
        <v>1220</v>
      </c>
      <c r="B2777" s="3">
        <v>1359542</v>
      </c>
      <c r="C2777" s="3">
        <v>18780</v>
      </c>
      <c r="D2777" s="3">
        <v>36060</v>
      </c>
      <c r="E2777" s="3">
        <v>33899</v>
      </c>
      <c r="F2777" s="3">
        <v>37727</v>
      </c>
      <c r="G2777" s="3">
        <v>37371</v>
      </c>
    </row>
    <row r="2778" spans="1:7" x14ac:dyDescent="0.2">
      <c r="A2778" t="s" s="0">
        <v>1219</v>
      </c>
      <c r="B2778" s="2">
        <v>1322036</v>
      </c>
      <c r="C2778" s="2">
        <v>25225</v>
      </c>
      <c r="D2778" s="2">
        <v>35544</v>
      </c>
      <c r="E2778" s="2">
        <v>34121</v>
      </c>
      <c r="F2778" s="2">
        <v>23359</v>
      </c>
      <c r="G2778" s="2">
        <v>36750</v>
      </c>
    </row>
    <row r="2779" spans="1:7" x14ac:dyDescent="0.2">
      <c r="A2779" t="s" s="0">
        <v>1218</v>
      </c>
      <c r="B2779" s="2">
        <v>1305637</v>
      </c>
      <c r="C2779" s="2">
        <v>34553</v>
      </c>
      <c r="D2779" s="2">
        <v>31839</v>
      </c>
      <c r="E2779" s="2">
        <v>33841</v>
      </c>
      <c r="F2779" s="2">
        <v>19988</v>
      </c>
      <c r="G2779" s="2">
        <v>34557</v>
      </c>
    </row>
    <row r="2780" spans="1:7" x14ac:dyDescent="0.2">
      <c r="A2780" t="s" s="0">
        <v>1217</v>
      </c>
      <c r="B2780" s="2">
        <v>1310236</v>
      </c>
      <c r="C2780" s="2">
        <v>32445</v>
      </c>
      <c r="D2780" s="2">
        <v>31675</v>
      </c>
      <c r="E2780" s="2">
        <v>33981</v>
      </c>
      <c r="F2780" s="2">
        <v>27034</v>
      </c>
      <c r="G2780" s="2">
        <v>32967</v>
      </c>
    </row>
    <row r="2781" spans="1:7" x14ac:dyDescent="0.2">
      <c r="A2781" t="s" s="0">
        <v>1216</v>
      </c>
      <c r="B2781" s="2">
        <v>1359905</v>
      </c>
      <c r="C2781" s="2">
        <v>38298</v>
      </c>
      <c r="D2781" s="2">
        <v>31008</v>
      </c>
      <c r="E2781" s="2">
        <v>33949</v>
      </c>
      <c r="F2781" s="2">
        <v>36062</v>
      </c>
      <c r="G2781" s="2">
        <v>35207</v>
      </c>
    </row>
    <row r="2782" spans="1:7" x14ac:dyDescent="0.2">
      <c r="A2782" t="s" s="0">
        <v>1215</v>
      </c>
      <c r="B2782" s="2">
        <v>1336473</v>
      </c>
      <c r="C2782" s="2">
        <v>35185</v>
      </c>
      <c r="D2782" s="2">
        <v>32637</v>
      </c>
      <c r="E2782" s="2">
        <v>33914</v>
      </c>
      <c r="F2782" s="2">
        <v>28605</v>
      </c>
      <c r="G2782" s="2">
        <v>31918</v>
      </c>
    </row>
    <row r="2783" spans="1:7" x14ac:dyDescent="0.2">
      <c r="A2783" t="s" s="0">
        <v>1214</v>
      </c>
      <c r="B2783" s="3">
        <v>1336473</v>
      </c>
      <c r="C2783" s="3">
        <v>35185</v>
      </c>
      <c r="D2783" s="3">
        <v>32637</v>
      </c>
      <c r="E2783" s="3">
        <v>33914</v>
      </c>
      <c r="F2783" s="3">
        <v>28605</v>
      </c>
      <c r="G2783" s="3">
        <v>31918</v>
      </c>
    </row>
    <row r="2784" spans="1:7" x14ac:dyDescent="0.2">
      <c r="A2784" t="s" s="0">
        <v>1213</v>
      </c>
      <c r="B2784" s="3">
        <v>1336473</v>
      </c>
      <c r="C2784" s="3">
        <v>35185</v>
      </c>
      <c r="D2784" s="3">
        <v>32637</v>
      </c>
      <c r="E2784" s="3">
        <v>33914</v>
      </c>
      <c r="F2784" s="3">
        <v>28605</v>
      </c>
      <c r="G2784" s="3">
        <v>31918</v>
      </c>
    </row>
    <row r="2785" spans="1:7" x14ac:dyDescent="0.2">
      <c r="A2785" t="s" s="0">
        <v>1212</v>
      </c>
      <c r="B2785" s="2">
        <v>1385320</v>
      </c>
      <c r="C2785" s="2">
        <v>18580</v>
      </c>
      <c r="D2785" s="2">
        <v>33218</v>
      </c>
      <c r="E2785" s="2">
        <v>34047</v>
      </c>
      <c r="F2785" s="2">
        <v>41523</v>
      </c>
      <c r="G2785" s="2">
        <v>33210</v>
      </c>
    </row>
    <row r="2786" spans="1:7" x14ac:dyDescent="0.2">
      <c r="A2786" t="s" s="0">
        <v>1211</v>
      </c>
      <c r="B2786" s="2">
        <v>1378613</v>
      </c>
      <c r="C2786" s="2">
        <v>32515</v>
      </c>
      <c r="D2786" s="2">
        <v>32927</v>
      </c>
      <c r="E2786" s="2">
        <v>33890</v>
      </c>
      <c r="F2786" s="2">
        <v>42714</v>
      </c>
      <c r="G2786" s="2">
        <v>33388</v>
      </c>
    </row>
    <row r="2787" spans="1:7" x14ac:dyDescent="0.2">
      <c r="A2787" t="s" s="0">
        <v>1210</v>
      </c>
      <c r="B2787" s="2">
        <v>1318099</v>
      </c>
      <c r="C2787" s="2">
        <v>31309</v>
      </c>
      <c r="D2787" s="2">
        <v>35918</v>
      </c>
      <c r="E2787" s="2">
        <v>34324</v>
      </c>
      <c r="F2787" s="2">
        <v>36403</v>
      </c>
      <c r="G2787" s="2">
        <v>33023</v>
      </c>
    </row>
    <row r="2788" spans="1:7" x14ac:dyDescent="0.2">
      <c r="A2788" t="s" s="0">
        <v>1209</v>
      </c>
      <c r="B2788" s="2">
        <v>1335222</v>
      </c>
      <c r="C2788" s="2">
        <v>37877</v>
      </c>
      <c r="D2788" s="2">
        <v>35858</v>
      </c>
      <c r="E2788" s="2">
        <v>34433</v>
      </c>
      <c r="F2788" s="2">
        <v>31693</v>
      </c>
      <c r="G2788" s="2">
        <v>31954</v>
      </c>
    </row>
    <row r="2789" spans="1:7" x14ac:dyDescent="0.2">
      <c r="A2789" t="s" s="0">
        <v>1208</v>
      </c>
      <c r="B2789" s="2">
        <v>1364291</v>
      </c>
      <c r="C2789" s="2">
        <v>30968</v>
      </c>
      <c r="D2789" s="2">
        <v>35256</v>
      </c>
      <c r="E2789" s="2">
        <v>34468</v>
      </c>
      <c r="F2789" s="2">
        <v>39001</v>
      </c>
      <c r="G2789" s="2">
        <v>34066</v>
      </c>
    </row>
    <row r="2790" spans="1:7" x14ac:dyDescent="0.2">
      <c r="A2790" t="s" s="0">
        <v>1207</v>
      </c>
      <c r="B2790" s="3">
        <v>1364291</v>
      </c>
      <c r="C2790" s="3">
        <v>30968</v>
      </c>
      <c r="D2790" s="3">
        <v>35256</v>
      </c>
      <c r="E2790" s="3">
        <v>34468</v>
      </c>
      <c r="F2790" s="3">
        <v>39001</v>
      </c>
      <c r="G2790" s="3">
        <v>34066</v>
      </c>
    </row>
    <row r="2791" spans="1:7" x14ac:dyDescent="0.2">
      <c r="A2791" t="s" s="0">
        <v>1206</v>
      </c>
      <c r="B2791" s="3">
        <v>1364291</v>
      </c>
      <c r="C2791" s="3">
        <v>30968</v>
      </c>
      <c r="D2791" s="3">
        <v>35256</v>
      </c>
      <c r="E2791" s="3">
        <v>34468</v>
      </c>
      <c r="F2791" s="3">
        <v>39001</v>
      </c>
      <c r="G2791" s="3">
        <v>34066</v>
      </c>
    </row>
    <row r="2792" spans="1:7" x14ac:dyDescent="0.2">
      <c r="A2792" t="s" s="0">
        <v>1205</v>
      </c>
      <c r="B2792" s="2">
        <v>1440814</v>
      </c>
      <c r="C2792" s="2">
        <v>21706</v>
      </c>
      <c r="D2792" s="2">
        <v>34438</v>
      </c>
      <c r="E2792" s="2">
        <v>34508</v>
      </c>
      <c r="F2792" s="2">
        <v>42137</v>
      </c>
      <c r="G2792" s="2">
        <v>35369</v>
      </c>
    </row>
    <row r="2793" spans="1:7" x14ac:dyDescent="0.2">
      <c r="A2793" t="s" s="0">
        <v>1204</v>
      </c>
      <c r="B2793" s="2">
        <v>1432249</v>
      </c>
      <c r="C2793" s="2">
        <v>35038</v>
      </c>
      <c r="D2793" s="2">
        <v>35370</v>
      </c>
      <c r="E2793" s="2">
        <v>34559</v>
      </c>
      <c r="F2793" s="2">
        <v>42794</v>
      </c>
      <c r="G2793" s="2">
        <v>36480</v>
      </c>
    </row>
    <row r="2794" spans="1:7" x14ac:dyDescent="0.2">
      <c r="A2794" t="s" s="0">
        <v>1203</v>
      </c>
      <c r="B2794" s="2">
        <v>1376736</v>
      </c>
      <c r="C2794" s="2">
        <v>36720</v>
      </c>
      <c r="D2794" s="2">
        <v>35974</v>
      </c>
      <c r="E2794" s="2">
        <v>34951</v>
      </c>
      <c r="F2794" s="2">
        <v>44112</v>
      </c>
      <c r="G2794" s="2">
        <v>35420</v>
      </c>
    </row>
    <row r="2795" spans="1:7" x14ac:dyDescent="0.2">
      <c r="A2795" t="s" s="0">
        <v>1202</v>
      </c>
      <c r="B2795" s="2">
        <v>1395379</v>
      </c>
      <c r="C2795" s="2">
        <v>33577</v>
      </c>
      <c r="D2795" s="2">
        <v>35359</v>
      </c>
      <c r="E2795" s="2">
        <v>34880</v>
      </c>
      <c r="F2795" s="2">
        <v>43715</v>
      </c>
      <c r="G2795" s="2">
        <v>36035</v>
      </c>
    </row>
    <row r="2796" spans="1:7" x14ac:dyDescent="0.2">
      <c r="A2796" t="s" s="0">
        <v>1201</v>
      </c>
      <c r="B2796" s="2">
        <v>1385036</v>
      </c>
      <c r="C2796" s="2">
        <v>29320</v>
      </c>
      <c r="D2796" s="2">
        <v>35124</v>
      </c>
      <c r="E2796" s="2">
        <v>34769</v>
      </c>
      <c r="F2796" s="2">
        <v>37098</v>
      </c>
      <c r="G2796" s="2">
        <v>35608</v>
      </c>
    </row>
    <row r="2797" spans="1:7" x14ac:dyDescent="0.2">
      <c r="A2797" t="s" s="0">
        <v>1200</v>
      </c>
      <c r="B2797" s="3">
        <v>1385036</v>
      </c>
      <c r="C2797" s="3">
        <v>29320</v>
      </c>
      <c r="D2797" s="3">
        <v>35124</v>
      </c>
      <c r="E2797" s="3">
        <v>34769</v>
      </c>
      <c r="F2797" s="3">
        <v>37098</v>
      </c>
      <c r="G2797" s="3">
        <v>35608</v>
      </c>
    </row>
    <row r="2798" spans="1:7" x14ac:dyDescent="0.2">
      <c r="A2798" t="s" s="0">
        <v>1199</v>
      </c>
      <c r="B2798" s="3">
        <v>1385036</v>
      </c>
      <c r="C2798" s="3">
        <v>29320</v>
      </c>
      <c r="D2798" s="3">
        <v>35124</v>
      </c>
      <c r="E2798" s="3">
        <v>34769</v>
      </c>
      <c r="F2798" s="3">
        <v>37098</v>
      </c>
      <c r="G2798" s="3">
        <v>35608</v>
      </c>
    </row>
    <row r="2799" spans="1:7" x14ac:dyDescent="0.2">
      <c r="A2799" t="s" s="0">
        <v>1198</v>
      </c>
      <c r="B2799" s="2">
        <v>1433945</v>
      </c>
      <c r="C2799" s="2">
        <v>22769</v>
      </c>
      <c r="D2799" s="2">
        <v>36513</v>
      </c>
      <c r="E2799" s="2">
        <v>34928</v>
      </c>
      <c r="F2799" s="2">
        <v>34542</v>
      </c>
      <c r="G2799" s="2">
        <v>35390</v>
      </c>
    </row>
    <row r="2800" spans="1:7" x14ac:dyDescent="0.2">
      <c r="A2800" t="s" s="0">
        <v>1197</v>
      </c>
      <c r="B2800" s="2">
        <v>1403088</v>
      </c>
      <c r="C2800" s="2">
        <v>37806</v>
      </c>
      <c r="D2800" s="2">
        <v>36337</v>
      </c>
      <c r="E2800" s="2">
        <v>34118</v>
      </c>
      <c r="F2800" s="2">
        <v>31250</v>
      </c>
      <c r="G2800" s="2">
        <v>34186</v>
      </c>
    </row>
    <row r="2801" spans="1:7" x14ac:dyDescent="0.2">
      <c r="A2801" t="s" s="0">
        <v>1196</v>
      </c>
      <c r="B2801" s="2">
        <v>1351638</v>
      </c>
      <c r="C2801" s="2">
        <v>44663</v>
      </c>
      <c r="D2801" s="2">
        <v>34130</v>
      </c>
      <c r="E2801" s="2">
        <v>34424</v>
      </c>
      <c r="F2801" s="2">
        <v>29624</v>
      </c>
      <c r="G2801" s="2">
        <v>34293</v>
      </c>
    </row>
    <row r="2802" spans="1:7" x14ac:dyDescent="0.2">
      <c r="A2802" t="s" s="0">
        <v>1195</v>
      </c>
      <c r="B2802" s="2">
        <v>1383627</v>
      </c>
      <c r="C2802" s="2">
        <v>38006</v>
      </c>
      <c r="D2802" s="2">
        <v>34762</v>
      </c>
      <c r="E2802" s="2">
        <v>34247</v>
      </c>
      <c r="F2802" s="2">
        <v>32163</v>
      </c>
      <c r="G2802" s="2">
        <v>35908</v>
      </c>
    </row>
    <row r="2803" spans="1:7" x14ac:dyDescent="0.2">
      <c r="A2803" t="s" s="0">
        <v>1194</v>
      </c>
      <c r="B2803" s="2">
        <v>1359085</v>
      </c>
      <c r="C2803" s="2">
        <v>37360</v>
      </c>
      <c r="D2803" s="2">
        <v>35911</v>
      </c>
      <c r="E2803" s="2">
        <v>34732</v>
      </c>
      <c r="F2803" s="2">
        <v>32029</v>
      </c>
      <c r="G2803" s="2">
        <v>34183</v>
      </c>
    </row>
    <row r="2804" spans="1:7" x14ac:dyDescent="0.2">
      <c r="A2804" t="s" s="0">
        <v>1193</v>
      </c>
      <c r="B2804" s="3">
        <v>1359085</v>
      </c>
      <c r="C2804" s="3">
        <v>37360</v>
      </c>
      <c r="D2804" s="3">
        <v>35911</v>
      </c>
      <c r="E2804" s="3">
        <v>34732</v>
      </c>
      <c r="F2804" s="3">
        <v>32029</v>
      </c>
      <c r="G2804" s="3">
        <v>34183</v>
      </c>
    </row>
    <row r="2805" spans="1:7" x14ac:dyDescent="0.2">
      <c r="A2805" t="s" s="0">
        <v>1192</v>
      </c>
      <c r="B2805" s="3">
        <v>1359085</v>
      </c>
      <c r="C2805" s="3">
        <v>37360</v>
      </c>
      <c r="D2805" s="3">
        <v>35911</v>
      </c>
      <c r="E2805" s="3">
        <v>34732</v>
      </c>
      <c r="F2805" s="3">
        <v>32029</v>
      </c>
      <c r="G2805" s="3">
        <v>34183</v>
      </c>
    </row>
    <row r="2806" spans="1:7" x14ac:dyDescent="0.2">
      <c r="A2806" t="s" s="0">
        <v>1191</v>
      </c>
      <c r="B2806" s="2">
        <v>1267747</v>
      </c>
      <c r="C2806" s="2">
        <v>21042</v>
      </c>
      <c r="D2806" s="2">
        <v>36356</v>
      </c>
      <c r="E2806" s="2">
        <v>35131</v>
      </c>
      <c r="F2806" s="2">
        <v>12439</v>
      </c>
      <c r="G2806" s="2">
        <v>32660</v>
      </c>
    </row>
    <row r="2807" spans="1:7" x14ac:dyDescent="0.2">
      <c r="A2807" t="s" s="0">
        <v>1190</v>
      </c>
      <c r="B2807" s="2">
        <v>1253175</v>
      </c>
      <c r="C2807" s="2">
        <v>32374</v>
      </c>
      <c r="D2807" s="2">
        <v>36010</v>
      </c>
      <c r="E2807" s="2">
        <v>35161</v>
      </c>
      <c r="F2807" s="2">
        <v>13656</v>
      </c>
      <c r="G2807" s="2">
        <v>32603</v>
      </c>
    </row>
    <row r="2808" spans="1:7" x14ac:dyDescent="0.2">
      <c r="A2808" t="s" s="0">
        <v>1189</v>
      </c>
      <c r="B2808" s="2">
        <v>1208651</v>
      </c>
      <c r="C2808" s="2">
        <v>36512</v>
      </c>
      <c r="D2808" s="2">
        <v>35219</v>
      </c>
      <c r="E2808" s="2">
        <v>35310</v>
      </c>
      <c r="F2808" s="2">
        <v>13854</v>
      </c>
      <c r="G2808" s="2">
        <v>30998</v>
      </c>
    </row>
    <row r="2809" spans="1:7" x14ac:dyDescent="0.2">
      <c r="A2809" t="s" s="0">
        <v>1188</v>
      </c>
      <c r="B2809" s="2">
        <v>1235346</v>
      </c>
      <c r="C2809" s="2">
        <v>29460</v>
      </c>
      <c r="D2809" s="2">
        <v>34979</v>
      </c>
      <c r="E2809" s="2">
        <v>35240</v>
      </c>
      <c r="F2809" s="2">
        <v>12424</v>
      </c>
      <c r="G2809" s="2">
        <v>29999</v>
      </c>
    </row>
    <row r="2810" spans="1:7" x14ac:dyDescent="0.2">
      <c r="A2810" t="s" s="0">
        <v>1187</v>
      </c>
      <c r="B2810" s="2">
        <v>1289132</v>
      </c>
      <c r="C2810" s="2">
        <v>37898</v>
      </c>
      <c r="D2810" s="2">
        <v>35056</v>
      </c>
      <c r="E2810" s="2">
        <v>35337</v>
      </c>
      <c r="F2810" s="2">
        <v>23446</v>
      </c>
      <c r="G2810" s="2">
        <v>32894</v>
      </c>
    </row>
    <row r="2811" spans="1:7" x14ac:dyDescent="0.2">
      <c r="A2811" t="s" s="0">
        <v>1186</v>
      </c>
      <c r="B2811" s="3">
        <v>1289132</v>
      </c>
      <c r="C2811" s="3">
        <v>37898</v>
      </c>
      <c r="D2811" s="3">
        <v>35056</v>
      </c>
      <c r="E2811" s="3">
        <v>35337</v>
      </c>
      <c r="F2811" s="3">
        <v>23446</v>
      </c>
      <c r="G2811" s="3">
        <v>32894</v>
      </c>
    </row>
    <row r="2812" spans="1:7" x14ac:dyDescent="0.2">
      <c r="A2812" t="s" s="0">
        <v>1185</v>
      </c>
      <c r="B2812" s="3">
        <v>1289132</v>
      </c>
      <c r="C2812" s="3">
        <v>37898</v>
      </c>
      <c r="D2812" s="3">
        <v>35056</v>
      </c>
      <c r="E2812" s="3">
        <v>35337</v>
      </c>
      <c r="F2812" s="3">
        <v>23446</v>
      </c>
      <c r="G2812" s="3">
        <v>32894</v>
      </c>
    </row>
    <row r="2813" spans="1:7" x14ac:dyDescent="0.2">
      <c r="A2813" t="s" s="0">
        <v>1184</v>
      </c>
      <c r="B2813" s="2">
        <v>1265046</v>
      </c>
      <c r="C2813" s="2">
        <v>21174</v>
      </c>
      <c r="D2813" s="2">
        <v>34476</v>
      </c>
      <c r="E2813" s="2">
        <v>35446</v>
      </c>
      <c r="F2813" s="2">
        <v>32473</v>
      </c>
      <c r="G2813" s="2">
        <v>30398</v>
      </c>
    </row>
    <row r="2814" spans="1:7" x14ac:dyDescent="0.2">
      <c r="A2814" t="s" s="0">
        <v>1183</v>
      </c>
      <c r="B2814" s="2">
        <v>1249501</v>
      </c>
      <c r="C2814" s="2">
        <v>28733</v>
      </c>
      <c r="D2814" s="2">
        <v>34097</v>
      </c>
      <c r="E2814" s="2">
        <v>35453</v>
      </c>
      <c r="F2814" s="2">
        <v>32447</v>
      </c>
      <c r="G2814" s="2">
        <v>30037</v>
      </c>
    </row>
    <row r="2815" spans="1:7" x14ac:dyDescent="0.2">
      <c r="A2815" t="s" s="0">
        <v>1182</v>
      </c>
      <c r="B2815" s="2">
        <v>1276384</v>
      </c>
      <c r="C2815" s="2">
        <v>34117</v>
      </c>
      <c r="D2815" s="2">
        <v>32610</v>
      </c>
      <c r="E2815" s="2">
        <v>34483</v>
      </c>
      <c r="F2815" s="2">
        <v>41161</v>
      </c>
      <c r="G2815" s="2">
        <v>32188</v>
      </c>
    </row>
    <row r="2816" spans="1:7" x14ac:dyDescent="0.2">
      <c r="A2816" t="s" s="0">
        <v>1181</v>
      </c>
      <c r="B2816" s="2">
        <v>1246059</v>
      </c>
      <c r="C2816" s="2">
        <v>36360</v>
      </c>
      <c r="D2816" s="2">
        <v>33901</v>
      </c>
      <c r="E2816" s="2">
        <v>34750</v>
      </c>
      <c r="F2816" s="2">
        <v>34740</v>
      </c>
      <c r="G2816" s="2">
        <v>30761</v>
      </c>
    </row>
    <row r="2817" spans="1:7" x14ac:dyDescent="0.2">
      <c r="A2817" t="s" s="0">
        <v>1180</v>
      </c>
      <c r="B2817" s="2">
        <v>1270224</v>
      </c>
      <c r="C2817" s="2">
        <v>36971</v>
      </c>
      <c r="D2817" s="2">
        <v>33769</v>
      </c>
      <c r="E2817" s="2">
        <v>34965</v>
      </c>
      <c r="F2817" s="2">
        <v>30576</v>
      </c>
      <c r="G2817" s="2">
        <v>30787</v>
      </c>
    </row>
    <row r="2818" spans="1:7" x14ac:dyDescent="0.2">
      <c r="A2818" t="s" s="0">
        <v>1179</v>
      </c>
      <c r="B2818" s="3">
        <v>1270224</v>
      </c>
      <c r="C2818" s="3">
        <v>36971</v>
      </c>
      <c r="D2818" s="3">
        <v>33769</v>
      </c>
      <c r="E2818" s="3">
        <v>34965</v>
      </c>
      <c r="F2818" s="3">
        <v>30576</v>
      </c>
      <c r="G2818" s="3">
        <v>30787</v>
      </c>
    </row>
    <row r="2819" spans="1:7" x14ac:dyDescent="0.2">
      <c r="A2819" t="s" s="0">
        <v>1178</v>
      </c>
      <c r="B2819" s="3">
        <v>1270224</v>
      </c>
      <c r="C2819" s="3">
        <v>36971</v>
      </c>
      <c r="D2819" s="3">
        <v>33769</v>
      </c>
      <c r="E2819" s="3">
        <v>34965</v>
      </c>
      <c r="F2819" s="3">
        <v>30576</v>
      </c>
      <c r="G2819" s="3">
        <v>30787</v>
      </c>
    </row>
    <row r="2820" spans="1:7" x14ac:dyDescent="0.2">
      <c r="A2820" t="s" s="0">
        <v>1177</v>
      </c>
      <c r="B2820" s="2">
        <v>1276339</v>
      </c>
      <c r="C2820" s="2">
        <v>20744</v>
      </c>
      <c r="D2820" s="2">
        <v>31942</v>
      </c>
      <c r="E2820" s="2">
        <v>34822</v>
      </c>
      <c r="F2820" s="2">
        <v>33064</v>
      </c>
      <c r="G2820" s="2">
        <v>28130</v>
      </c>
    </row>
    <row r="2821" spans="1:7" x14ac:dyDescent="0.2">
      <c r="A2821" t="s" s="0">
        <v>1176</v>
      </c>
      <c r="B2821" s="2">
        <v>1241634</v>
      </c>
      <c r="C2821" s="2">
        <v>36630</v>
      </c>
      <c r="D2821" s="2">
        <v>32499</v>
      </c>
      <c r="E2821" s="2">
        <v>34736</v>
      </c>
      <c r="F2821" s="2">
        <v>30932</v>
      </c>
      <c r="G2821" s="2">
        <v>27071</v>
      </c>
    </row>
    <row r="2822" spans="1:7" x14ac:dyDescent="0.2">
      <c r="A2822" t="s" s="0">
        <v>1175</v>
      </c>
      <c r="B2822" s="2">
        <v>1209529</v>
      </c>
      <c r="C2822" s="2">
        <v>32041</v>
      </c>
      <c r="D2822" s="2">
        <v>33636</v>
      </c>
      <c r="E2822" s="2">
        <v>33899</v>
      </c>
      <c r="F2822" s="2">
        <v>23642</v>
      </c>
      <c r="G2822" s="2">
        <v>27070</v>
      </c>
    </row>
    <row r="2823" spans="1:7" x14ac:dyDescent="0.2">
      <c r="A2823" t="s" s="0">
        <v>1174</v>
      </c>
      <c r="B2823" s="2">
        <v>1238012</v>
      </c>
      <c r="C2823" s="2">
        <v>36511</v>
      </c>
      <c r="D2823" s="2">
        <v>33800</v>
      </c>
      <c r="E2823" s="2">
        <v>34361</v>
      </c>
      <c r="F2823" s="2">
        <v>32207</v>
      </c>
      <c r="G2823" s="2">
        <v>27884</v>
      </c>
    </row>
    <row r="2824" spans="1:7" x14ac:dyDescent="0.2">
      <c r="A2824" t="s" s="0">
        <v>1173</v>
      </c>
      <c r="B2824" s="2">
        <v>1204071</v>
      </c>
      <c r="C2824" s="2">
        <v>28730</v>
      </c>
      <c r="D2824" s="2">
        <v>33766</v>
      </c>
      <c r="E2824" s="2">
        <v>34625</v>
      </c>
      <c r="F2824" s="2">
        <v>23655</v>
      </c>
      <c r="G2824" s="2">
        <v>27426</v>
      </c>
    </row>
    <row r="2825" spans="1:7" x14ac:dyDescent="0.2">
      <c r="A2825" t="s" s="0">
        <v>1172</v>
      </c>
      <c r="B2825" s="3">
        <v>1204071</v>
      </c>
      <c r="C2825" s="3">
        <v>28730</v>
      </c>
      <c r="D2825" s="3">
        <v>33766</v>
      </c>
      <c r="E2825" s="3">
        <v>34625</v>
      </c>
      <c r="F2825" s="3">
        <v>23655</v>
      </c>
      <c r="G2825" s="3">
        <v>27426</v>
      </c>
    </row>
    <row r="2826" spans="1:7" x14ac:dyDescent="0.2">
      <c r="A2826" t="s" s="0">
        <v>1171</v>
      </c>
      <c r="B2826" s="3">
        <v>1204071</v>
      </c>
      <c r="C2826" s="3">
        <v>28730</v>
      </c>
      <c r="D2826" s="3">
        <v>33766</v>
      </c>
      <c r="E2826" s="3">
        <v>34625</v>
      </c>
      <c r="F2826" s="3">
        <v>23655</v>
      </c>
      <c r="G2826" s="3">
        <v>27426</v>
      </c>
    </row>
    <row r="2827" spans="1:7" x14ac:dyDescent="0.2">
      <c r="A2827" t="s" s="0">
        <v>1170</v>
      </c>
      <c r="B2827" s="2">
        <v>1190358</v>
      </c>
      <c r="C2827" s="2">
        <v>19901</v>
      </c>
      <c r="D2827" s="2">
        <v>34634</v>
      </c>
      <c r="E2827" s="2">
        <v>34352</v>
      </c>
      <c r="F2827" s="2">
        <v>21690</v>
      </c>
      <c r="G2827" s="2">
        <v>24917</v>
      </c>
    </row>
    <row r="2828" spans="1:7" x14ac:dyDescent="0.2">
      <c r="A2828" t="s" s="0">
        <v>1169</v>
      </c>
      <c r="B2828" s="2">
        <v>1164890</v>
      </c>
      <c r="C2828" s="2">
        <v>28479</v>
      </c>
      <c r="D2828" s="2">
        <v>33470</v>
      </c>
      <c r="E2828" s="2">
        <v>34019</v>
      </c>
      <c r="F2828" s="2">
        <v>21696</v>
      </c>
      <c r="G2828" s="2">
        <v>24683</v>
      </c>
    </row>
    <row r="2829" spans="1:7" x14ac:dyDescent="0.2">
      <c r="A2829" t="s" s="0">
        <v>1168</v>
      </c>
      <c r="B2829" s="2">
        <v>1150439</v>
      </c>
      <c r="C2829" s="2">
        <v>34313</v>
      </c>
      <c r="D2829" s="2">
        <v>33075</v>
      </c>
      <c r="E2829" s="2">
        <v>33635</v>
      </c>
      <c r="F2829" s="2">
        <v>23823</v>
      </c>
      <c r="G2829" s="2">
        <v>25620</v>
      </c>
    </row>
    <row r="2830" spans="1:7" x14ac:dyDescent="0.2">
      <c r="A2830" t="s" s="0">
        <v>1167</v>
      </c>
      <c r="B2830" s="2">
        <v>1204225</v>
      </c>
      <c r="C2830" s="2">
        <v>35009</v>
      </c>
      <c r="D2830" s="2">
        <v>31432</v>
      </c>
      <c r="E2830" s="2">
        <v>33528</v>
      </c>
      <c r="F2830" s="2">
        <v>25794</v>
      </c>
      <c r="G2830" s="2">
        <v>26291</v>
      </c>
    </row>
    <row r="2831" spans="1:7" x14ac:dyDescent="0.2">
      <c r="A2831" t="s" s="0">
        <v>1166</v>
      </c>
      <c r="B2831" s="2">
        <v>1175810</v>
      </c>
      <c r="C2831" s="2">
        <v>34026</v>
      </c>
      <c r="D2831" s="2">
        <v>31045</v>
      </c>
      <c r="E2831" s="2">
        <v>33409</v>
      </c>
      <c r="F2831" s="2">
        <v>25781</v>
      </c>
      <c r="G2831" s="2">
        <v>25864</v>
      </c>
    </row>
    <row r="2832" spans="1:7" x14ac:dyDescent="0.2">
      <c r="A2832" t="s" s="0">
        <v>1165</v>
      </c>
      <c r="B2832" s="3">
        <v>1175810</v>
      </c>
      <c r="C2832" s="3">
        <v>34026</v>
      </c>
      <c r="D2832" s="3">
        <v>31045</v>
      </c>
      <c r="E2832" s="3">
        <v>33409</v>
      </c>
      <c r="F2832" s="3">
        <v>25781</v>
      </c>
      <c r="G2832" s="3">
        <v>25864</v>
      </c>
    </row>
    <row r="2833" spans="1:7" x14ac:dyDescent="0.2">
      <c r="A2833" t="s" s="0">
        <v>1164</v>
      </c>
      <c r="B2833" s="3">
        <v>1175810</v>
      </c>
      <c r="C2833" s="3">
        <v>34026</v>
      </c>
      <c r="D2833" s="3">
        <v>31045</v>
      </c>
      <c r="E2833" s="3">
        <v>33409</v>
      </c>
      <c r="F2833" s="3">
        <v>25781</v>
      </c>
      <c r="G2833" s="3">
        <v>25864</v>
      </c>
    </row>
    <row r="2834" spans="1:7" x14ac:dyDescent="0.2">
      <c r="A2834" t="s" s="0">
        <v>1163</v>
      </c>
      <c r="B2834" s="2">
        <v>1150694</v>
      </c>
      <c r="C2834" s="2">
        <v>18086</v>
      </c>
      <c r="D2834" s="2">
        <v>29493</v>
      </c>
      <c r="E2834" s="2">
        <v>32636</v>
      </c>
      <c r="F2834" s="2">
        <v>22601</v>
      </c>
      <c r="G2834" s="2">
        <v>27457</v>
      </c>
    </row>
    <row r="2835" spans="1:7" x14ac:dyDescent="0.2">
      <c r="A2835" t="s" s="0">
        <v>1162</v>
      </c>
      <c r="B2835" s="2">
        <v>1133427</v>
      </c>
      <c r="C2835" s="2">
        <v>34935</v>
      </c>
      <c r="D2835" s="2">
        <v>31561</v>
      </c>
      <c r="E2835" s="2">
        <v>32907</v>
      </c>
      <c r="F2835" s="2">
        <v>26185</v>
      </c>
      <c r="G2835" s="2">
        <v>27815</v>
      </c>
    </row>
    <row r="2836" spans="1:7" x14ac:dyDescent="0.2">
      <c r="A2836" t="s" s="0">
        <v>1161</v>
      </c>
      <c r="B2836" s="2">
        <v>1098742</v>
      </c>
      <c r="C2836" s="2">
        <v>34685</v>
      </c>
      <c r="D2836" s="2">
        <v>30900</v>
      </c>
      <c r="E2836" s="2">
        <v>32555</v>
      </c>
      <c r="F2836" s="2">
        <v>22634</v>
      </c>
      <c r="G2836" s="2">
        <v>27815</v>
      </c>
    </row>
    <row r="2837" spans="1:7" x14ac:dyDescent="0.2">
      <c r="A2837" t="s" s="0">
        <v>1160</v>
      </c>
      <c r="B2837" s="2">
        <v>1095742</v>
      </c>
      <c r="C2837" s="2">
        <v>36979</v>
      </c>
      <c r="D2837" s="2">
        <v>31327</v>
      </c>
      <c r="E2837" s="2">
        <v>32615</v>
      </c>
      <c r="F2837" s="2">
        <v>14949</v>
      </c>
      <c r="G2837" s="2">
        <v>26923</v>
      </c>
    </row>
    <row r="2838" spans="1:7" x14ac:dyDescent="0.2">
      <c r="A2838" t="s" s="0">
        <v>1159</v>
      </c>
      <c r="B2838" s="2">
        <v>1136354</v>
      </c>
      <c r="C2838" s="2">
        <v>35050</v>
      </c>
      <c r="D2838" s="2">
        <v>31473</v>
      </c>
      <c r="E2838" s="2">
        <v>32513</v>
      </c>
      <c r="F2838" s="2">
        <v>25624</v>
      </c>
      <c r="G2838" s="2">
        <v>26409</v>
      </c>
    </row>
    <row r="2839" spans="1:7" x14ac:dyDescent="0.2">
      <c r="A2839" t="s" s="0">
        <v>1158</v>
      </c>
      <c r="B2839" s="3">
        <v>1136354</v>
      </c>
      <c r="C2839" s="3">
        <v>35050</v>
      </c>
      <c r="D2839" s="3">
        <v>31473</v>
      </c>
      <c r="E2839" s="3">
        <v>32513</v>
      </c>
      <c r="F2839" s="3">
        <v>25624</v>
      </c>
      <c r="G2839" s="3">
        <v>26409</v>
      </c>
    </row>
    <row r="2840" spans="1:7" x14ac:dyDescent="0.2">
      <c r="A2840" t="s" s="0">
        <v>1157</v>
      </c>
      <c r="B2840" s="3">
        <v>1136354</v>
      </c>
      <c r="C2840" s="3">
        <v>35050</v>
      </c>
      <c r="D2840" s="3">
        <v>31473</v>
      </c>
      <c r="E2840" s="3">
        <v>32513</v>
      </c>
      <c r="F2840" s="3">
        <v>25624</v>
      </c>
      <c r="G2840" s="3">
        <v>26409</v>
      </c>
    </row>
    <row r="2841" spans="1:7" x14ac:dyDescent="0.2">
      <c r="A2841" t="s" s="0">
        <v>1156</v>
      </c>
      <c r="B2841" s="2">
        <v>1167498</v>
      </c>
      <c r="C2841" s="2">
        <v>21419</v>
      </c>
      <c r="D2841" s="2">
        <v>32089</v>
      </c>
      <c r="E2841" s="2">
        <v>32040</v>
      </c>
      <c r="F2841" s="2">
        <v>34158</v>
      </c>
      <c r="G2841" s="2">
        <v>27878</v>
      </c>
    </row>
    <row r="2842" spans="1:7" x14ac:dyDescent="0.2">
      <c r="A2842" t="s" s="0">
        <v>1155</v>
      </c>
      <c r="B2842" s="2">
        <v>1217556</v>
      </c>
      <c r="C2842" s="2">
        <v>28956</v>
      </c>
      <c r="D2842" s="2">
        <v>30526</v>
      </c>
      <c r="E2842" s="2">
        <v>32014</v>
      </c>
      <c r="F2842" s="2">
        <v>42010</v>
      </c>
      <c r="G2842" s="2">
        <v>30206</v>
      </c>
    </row>
    <row r="2843" spans="1:7" x14ac:dyDescent="0.2">
      <c r="A2843" t="s" s="0">
        <v>1154</v>
      </c>
      <c r="B2843" s="2">
        <v>1152529</v>
      </c>
      <c r="C2843" s="2">
        <v>40116</v>
      </c>
      <c r="D2843" s="2">
        <v>34861</v>
      </c>
      <c r="E2843" s="2">
        <v>33118</v>
      </c>
      <c r="F2843" s="2">
        <v>42010</v>
      </c>
      <c r="G2843" s="2">
        <v>28027</v>
      </c>
    </row>
    <row r="2844" spans="1:7" x14ac:dyDescent="0.2">
      <c r="A2844" t="s" s="0">
        <v>1153</v>
      </c>
      <c r="B2844" s="2">
        <v>1156417</v>
      </c>
      <c r="C2844" s="2">
        <v>36463</v>
      </c>
      <c r="D2844" s="2">
        <v>36018</v>
      </c>
      <c r="E2844" s="2">
        <v>33144</v>
      </c>
      <c r="F2844" s="2">
        <v>44151</v>
      </c>
      <c r="G2844" s="2">
        <v>29275</v>
      </c>
    </row>
    <row r="2845" spans="1:7" x14ac:dyDescent="0.2">
      <c r="A2845" t="s" s="0">
        <v>1152</v>
      </c>
      <c r="B2845" s="2">
        <v>1118876</v>
      </c>
      <c r="C2845" s="2">
        <v>33882</v>
      </c>
      <c r="D2845" s="2">
        <v>35851</v>
      </c>
      <c r="E2845" s="2">
        <v>33034</v>
      </c>
      <c r="F2845" s="2">
        <v>32765</v>
      </c>
      <c r="G2845" s="2">
        <v>26956</v>
      </c>
    </row>
    <row r="2846" spans="1:7" x14ac:dyDescent="0.2">
      <c r="A2846" t="s" s="0">
        <v>1151</v>
      </c>
      <c r="B2846" s="3">
        <v>1118876</v>
      </c>
      <c r="C2846" s="3">
        <v>33882</v>
      </c>
      <c r="D2846" s="3">
        <v>35851</v>
      </c>
      <c r="E2846" s="3">
        <v>33034</v>
      </c>
      <c r="F2846" s="3">
        <v>32765</v>
      </c>
      <c r="G2846" s="3">
        <v>26956</v>
      </c>
    </row>
    <row r="2847" spans="1:7" x14ac:dyDescent="0.2">
      <c r="A2847" t="s" s="0">
        <v>1150</v>
      </c>
      <c r="B2847" s="3">
        <v>1118876</v>
      </c>
      <c r="C2847" s="3">
        <v>33882</v>
      </c>
      <c r="D2847" s="3">
        <v>35851</v>
      </c>
      <c r="E2847" s="3">
        <v>33034</v>
      </c>
      <c r="F2847" s="3">
        <v>32765</v>
      </c>
      <c r="G2847" s="3">
        <v>26956</v>
      </c>
    </row>
    <row r="2848" spans="1:7" x14ac:dyDescent="0.2">
      <c r="A2848" t="s" s="0">
        <v>1149</v>
      </c>
      <c r="B2848" s="2">
        <v>1170266</v>
      </c>
      <c r="C2848" s="2">
        <v>19448</v>
      </c>
      <c r="D2848" s="2">
        <v>35632</v>
      </c>
      <c r="E2848" s="2">
        <v>32962</v>
      </c>
      <c r="F2848" s="2">
        <v>35558</v>
      </c>
      <c r="G2848" s="2">
        <v>28502</v>
      </c>
    </row>
    <row r="2849" spans="1:7" x14ac:dyDescent="0.2">
      <c r="A2849" t="s" s="0">
        <v>1148</v>
      </c>
      <c r="B2849" s="2">
        <v>1171067</v>
      </c>
      <c r="C2849" s="2">
        <v>36040</v>
      </c>
      <c r="D2849" s="2">
        <v>36787</v>
      </c>
      <c r="E2849" s="2">
        <v>33086</v>
      </c>
      <c r="F2849" s="2">
        <v>29660</v>
      </c>
      <c r="G2849" s="2">
        <v>29888</v>
      </c>
    </row>
    <row r="2850" spans="1:7" x14ac:dyDescent="0.2">
      <c r="A2850" t="s" s="0">
        <v>1147</v>
      </c>
      <c r="B2850" s="2">
        <v>1180331</v>
      </c>
      <c r="C2850" s="2">
        <v>30404</v>
      </c>
      <c r="D2850" s="2">
        <v>31854</v>
      </c>
      <c r="E2850" s="2">
        <v>32673</v>
      </c>
      <c r="F2850" s="2">
        <v>35341</v>
      </c>
      <c r="G2850" s="2">
        <v>30952</v>
      </c>
    </row>
    <row r="2851" spans="1:7" x14ac:dyDescent="0.2">
      <c r="A2851" t="s" s="0">
        <v>1146</v>
      </c>
      <c r="B2851" s="2">
        <v>1221617</v>
      </c>
      <c r="C2851" s="2">
        <v>41175</v>
      </c>
      <c r="D2851" s="2">
        <v>31151</v>
      </c>
      <c r="E2851" s="2">
        <v>32482</v>
      </c>
      <c r="F2851" s="2">
        <v>39980</v>
      </c>
      <c r="G2851" s="2">
        <v>31218</v>
      </c>
    </row>
    <row r="2852" spans="1:7" x14ac:dyDescent="0.2">
      <c r="A2852" t="s" s="0">
        <v>1145</v>
      </c>
      <c r="B2852" s="2">
        <v>1172146</v>
      </c>
      <c r="C2852" s="2">
        <v>38927</v>
      </c>
      <c r="D2852" s="2">
        <v>33450</v>
      </c>
      <c r="E2852" s="2">
        <v>32955</v>
      </c>
      <c r="F2852" s="2">
        <v>40669</v>
      </c>
      <c r="G2852" s="2">
        <v>31210</v>
      </c>
    </row>
    <row r="2853" spans="1:7" x14ac:dyDescent="0.2">
      <c r="A2853" t="s" s="0">
        <v>1144</v>
      </c>
      <c r="B2853" s="3">
        <v>1172146</v>
      </c>
      <c r="C2853" s="3">
        <v>38927</v>
      </c>
      <c r="D2853" s="3">
        <v>33450</v>
      </c>
      <c r="E2853" s="3">
        <v>32955</v>
      </c>
      <c r="F2853" s="3">
        <v>40669</v>
      </c>
      <c r="G2853" s="3">
        <v>31210</v>
      </c>
    </row>
    <row r="2854" spans="1:7" x14ac:dyDescent="0.2">
      <c r="A2854" t="s" s="0">
        <v>1143</v>
      </c>
      <c r="B2854" s="3">
        <v>1172146</v>
      </c>
      <c r="C2854" s="3">
        <v>38927</v>
      </c>
      <c r="D2854" s="3">
        <v>33450</v>
      </c>
      <c r="E2854" s="3">
        <v>32955</v>
      </c>
      <c r="F2854" s="3">
        <v>40669</v>
      </c>
      <c r="G2854" s="3">
        <v>31210</v>
      </c>
    </row>
    <row r="2855" spans="1:7" x14ac:dyDescent="0.2">
      <c r="A2855" t="s" s="0">
        <v>1142</v>
      </c>
      <c r="B2855" s="2">
        <v>1166844</v>
      </c>
      <c r="C2855" s="2">
        <v>19707</v>
      </c>
      <c r="D2855" s="2">
        <v>35356</v>
      </c>
      <c r="E2855" s="2">
        <v>33143</v>
      </c>
      <c r="F2855" s="2">
        <v>34476</v>
      </c>
      <c r="G2855" s="2">
        <v>31698</v>
      </c>
    </row>
    <row r="2856" spans="1:7" x14ac:dyDescent="0.2">
      <c r="A2856" t="s" s="0">
        <v>1141</v>
      </c>
      <c r="B2856" s="2">
        <v>1180116</v>
      </c>
      <c r="C2856" s="2">
        <v>31685</v>
      </c>
      <c r="D2856" s="2">
        <v>34154</v>
      </c>
      <c r="E2856" s="2">
        <v>33257</v>
      </c>
      <c r="F2856" s="2">
        <v>35359</v>
      </c>
      <c r="G2856" s="2">
        <v>33304</v>
      </c>
    </row>
    <row r="2857" spans="1:7" x14ac:dyDescent="0.2">
      <c r="A2857" t="s" s="0">
        <v>1140</v>
      </c>
      <c r="B2857" s="2">
        <v>1153539</v>
      </c>
      <c r="C2857" s="2">
        <v>38041</v>
      </c>
      <c r="D2857" s="2">
        <v>39772</v>
      </c>
      <c r="E2857" s="2">
        <v>34347</v>
      </c>
      <c r="F2857" s="2">
        <v>35486</v>
      </c>
      <c r="G2857" s="2">
        <v>33867</v>
      </c>
    </row>
    <row r="2858" spans="1:7" x14ac:dyDescent="0.2">
      <c r="A2858" t="s" s="0">
        <v>1139</v>
      </c>
      <c r="B2858" s="2">
        <v>1103075</v>
      </c>
      <c r="C2858" s="2">
        <v>40173</v>
      </c>
      <c r="D2858" s="2">
        <v>41099</v>
      </c>
      <c r="E2858" s="2">
        <v>34899</v>
      </c>
      <c r="F2858" s="2">
        <v>23705</v>
      </c>
      <c r="G2858" s="2">
        <v>30696</v>
      </c>
    </row>
    <row r="2859" spans="1:7" x14ac:dyDescent="0.2">
      <c r="A2859" t="s" s="0">
        <v>1138</v>
      </c>
      <c r="B2859" s="2">
        <v>1116916</v>
      </c>
      <c r="C2859" s="2">
        <v>36149</v>
      </c>
      <c r="D2859" s="2">
        <v>39124</v>
      </c>
      <c r="E2859" s="2">
        <v>34975</v>
      </c>
      <c r="F2859" s="2">
        <v>30862</v>
      </c>
      <c r="G2859" s="2">
        <v>32480</v>
      </c>
    </row>
    <row r="2860" spans="1:7" x14ac:dyDescent="0.2">
      <c r="A2860" t="s" s="0">
        <v>1137</v>
      </c>
      <c r="B2860" s="3">
        <v>1116916</v>
      </c>
      <c r="C2860" s="3">
        <v>36149</v>
      </c>
      <c r="D2860" s="3">
        <v>39124</v>
      </c>
      <c r="E2860" s="3">
        <v>34975</v>
      </c>
      <c r="F2860" s="3">
        <v>30862</v>
      </c>
      <c r="G2860" s="3">
        <v>32480</v>
      </c>
    </row>
    <row r="2861" spans="1:7" x14ac:dyDescent="0.2">
      <c r="A2861" t="s" s="0">
        <v>1136</v>
      </c>
      <c r="B2861" s="3">
        <v>1116916</v>
      </c>
      <c r="C2861" s="3">
        <v>36149</v>
      </c>
      <c r="D2861" s="3">
        <v>39124</v>
      </c>
      <c r="E2861" s="3">
        <v>34975</v>
      </c>
      <c r="F2861" s="3">
        <v>30862</v>
      </c>
      <c r="G2861" s="3">
        <v>32480</v>
      </c>
    </row>
    <row r="2862" spans="1:7" x14ac:dyDescent="0.2">
      <c r="A2862" t="s" s="0">
        <v>1135</v>
      </c>
      <c r="B2862" s="2">
        <v>1109999</v>
      </c>
      <c r="C2862" s="2">
        <v>20395</v>
      </c>
      <c r="D2862" s="2">
        <v>44488</v>
      </c>
      <c r="E2862" s="2">
        <v>36891</v>
      </c>
      <c r="F2862" s="2">
        <v>35798</v>
      </c>
      <c r="G2862" s="2">
        <v>34997</v>
      </c>
    </row>
    <row r="2863" spans="1:7" x14ac:dyDescent="0.2">
      <c r="A2863" t="s" s="0">
        <v>1134</v>
      </c>
      <c r="B2863" s="2">
        <v>1100998</v>
      </c>
      <c r="C2863" s="2">
        <v>35176</v>
      </c>
      <c r="D2863" s="2">
        <v>45634</v>
      </c>
      <c r="E2863" s="2">
        <v>36775</v>
      </c>
      <c r="F2863" s="2">
        <v>33748</v>
      </c>
      <c r="G2863" s="2">
        <v>35194</v>
      </c>
    </row>
    <row r="2864" spans="1:7" x14ac:dyDescent="0.2">
      <c r="A2864" t="s" s="0">
        <v>1133</v>
      </c>
      <c r="B2864" s="2">
        <v>1143159</v>
      </c>
      <c r="C2864" s="2">
        <v>42107</v>
      </c>
      <c r="D2864" s="2">
        <v>41674</v>
      </c>
      <c r="E2864" s="2">
        <v>37040</v>
      </c>
      <c r="F2864" s="2">
        <v>39980</v>
      </c>
      <c r="G2864" s="2">
        <v>38204</v>
      </c>
    </row>
    <row r="2865" spans="1:7" x14ac:dyDescent="0.2">
      <c r="A2865" t="s" s="0">
        <v>1132</v>
      </c>
      <c r="B2865" s="2">
        <v>1101531</v>
      </c>
      <c r="C2865" s="2">
        <v>41628</v>
      </c>
      <c r="D2865" s="2">
        <v>40412</v>
      </c>
      <c r="E2865" s="2">
        <v>37170</v>
      </c>
      <c r="F2865" s="2">
        <v>39980</v>
      </c>
      <c r="G2865" s="2">
        <v>36954</v>
      </c>
    </row>
    <row r="2866" spans="1:7" x14ac:dyDescent="0.2">
      <c r="A2866" t="s" s="0">
        <v>1131</v>
      </c>
      <c r="B2866" s="2">
        <v>1155542</v>
      </c>
      <c r="C2866" s="2">
        <v>36272</v>
      </c>
      <c r="D2866" s="2">
        <v>40429</v>
      </c>
      <c r="E2866" s="2">
        <v>37214</v>
      </c>
      <c r="F2866" s="2">
        <v>45736</v>
      </c>
      <c r="G2866" s="2">
        <v>37508</v>
      </c>
    </row>
    <row r="2867" spans="1:7" x14ac:dyDescent="0.2">
      <c r="A2867" t="s" s="0">
        <v>1130</v>
      </c>
      <c r="B2867" s="3">
        <v>1155542</v>
      </c>
      <c r="C2867" s="3">
        <v>36272</v>
      </c>
      <c r="D2867" s="3">
        <v>40429</v>
      </c>
      <c r="E2867" s="3">
        <v>37214</v>
      </c>
      <c r="F2867" s="3">
        <v>45736</v>
      </c>
      <c r="G2867" s="3">
        <v>37508</v>
      </c>
    </row>
    <row r="2868" spans="1:7" x14ac:dyDescent="0.2">
      <c r="A2868" t="s" s="0">
        <v>1129</v>
      </c>
      <c r="B2868" s="3">
        <v>1155542</v>
      </c>
      <c r="C2868" s="3">
        <v>36272</v>
      </c>
      <c r="D2868" s="3">
        <v>40429</v>
      </c>
      <c r="E2868" s="3">
        <v>37214</v>
      </c>
      <c r="F2868" s="3">
        <v>45736</v>
      </c>
      <c r="G2868" s="3">
        <v>37508</v>
      </c>
    </row>
    <row r="2869" spans="1:7" x14ac:dyDescent="0.2">
      <c r="A2869" t="s" s="0">
        <v>1128</v>
      </c>
      <c r="B2869" s="2">
        <v>1061265</v>
      </c>
      <c r="C2869" s="2">
        <v>20453</v>
      </c>
      <c r="D2869" s="2">
        <v>36311</v>
      </c>
      <c r="E2869" s="2">
        <v>37947</v>
      </c>
      <c r="F2869" s="2">
        <v>29335</v>
      </c>
      <c r="G2869" s="2">
        <v>33792</v>
      </c>
    </row>
    <row r="2870" spans="1:7" x14ac:dyDescent="0.2">
      <c r="A2870" t="s" s="0">
        <v>1127</v>
      </c>
      <c r="B2870" s="2">
        <v>1075555</v>
      </c>
      <c r="C2870" s="2">
        <v>33073</v>
      </c>
      <c r="D2870" s="2">
        <v>36598</v>
      </c>
      <c r="E2870" s="2">
        <v>38293</v>
      </c>
      <c r="F2870" s="2">
        <v>32819</v>
      </c>
      <c r="G2870" s="2">
        <v>32897</v>
      </c>
    </row>
    <row r="2871" spans="1:7" x14ac:dyDescent="0.2">
      <c r="A2871" t="s" s="0">
        <v>1126</v>
      </c>
      <c r="B2871" s="2">
        <v>1128479</v>
      </c>
      <c r="C2871" s="2">
        <v>41854</v>
      </c>
      <c r="D2871" s="2">
        <v>37238</v>
      </c>
      <c r="E2871" s="2">
        <v>37635</v>
      </c>
      <c r="F2871" s="2">
        <v>34996</v>
      </c>
      <c r="G2871" s="2">
        <v>36451</v>
      </c>
    </row>
    <row r="2872" spans="1:7" x14ac:dyDescent="0.2">
      <c r="A2872" t="s" s="0">
        <v>1125</v>
      </c>
      <c r="B2872" s="2">
        <v>1078605</v>
      </c>
      <c r="C2872" s="2">
        <v>49952</v>
      </c>
      <c r="D2872" s="2">
        <v>38427</v>
      </c>
      <c r="E2872" s="2">
        <v>37772</v>
      </c>
      <c r="F2872" s="2">
        <v>34996</v>
      </c>
      <c r="G2872" s="2">
        <v>34665</v>
      </c>
    </row>
    <row r="2873" spans="1:7" x14ac:dyDescent="0.2">
      <c r="A2873" t="s" s="0">
        <v>1124</v>
      </c>
      <c r="B2873" s="2">
        <v>1056302</v>
      </c>
      <c r="C2873" s="2">
        <v>42250</v>
      </c>
      <c r="D2873" s="2">
        <v>41426</v>
      </c>
      <c r="E2873" s="2">
        <v>38607</v>
      </c>
      <c r="F2873" s="2">
        <v>27093</v>
      </c>
      <c r="G2873" s="2">
        <v>36090</v>
      </c>
    </row>
    <row r="2874" spans="1:7" x14ac:dyDescent="0.2">
      <c r="A2874" t="s" s="0">
        <v>1123</v>
      </c>
      <c r="B2874" s="3">
        <v>1056302</v>
      </c>
      <c r="C2874" s="3">
        <v>42250</v>
      </c>
      <c r="D2874" s="3">
        <v>41426</v>
      </c>
      <c r="E2874" s="3">
        <v>38607</v>
      </c>
      <c r="F2874" s="3">
        <v>27093</v>
      </c>
      <c r="G2874" s="3">
        <v>36090</v>
      </c>
    </row>
    <row r="2875" spans="1:7" x14ac:dyDescent="0.2">
      <c r="A2875" t="s" s="0">
        <v>1122</v>
      </c>
      <c r="B2875" s="3">
        <v>1056302</v>
      </c>
      <c r="C2875" s="3">
        <v>42250</v>
      </c>
      <c r="D2875" s="3">
        <v>41426</v>
      </c>
      <c r="E2875" s="3">
        <v>38607</v>
      </c>
      <c r="F2875" s="3">
        <v>27093</v>
      </c>
      <c r="G2875" s="3">
        <v>36090</v>
      </c>
    </row>
    <row r="2876" spans="1:7" x14ac:dyDescent="0.2">
      <c r="A2876" t="s" s="0">
        <v>1121</v>
      </c>
      <c r="B2876" s="2">
        <v>1060925</v>
      </c>
      <c r="C2876" s="2">
        <v>22010</v>
      </c>
      <c r="D2876" s="2">
        <v>42979</v>
      </c>
      <c r="E2876" s="2">
        <v>39784</v>
      </c>
      <c r="F2876" s="2">
        <v>42775</v>
      </c>
      <c r="G2876" s="2">
        <v>35596</v>
      </c>
    </row>
    <row r="2877" spans="1:7" x14ac:dyDescent="0.2">
      <c r="A2877" t="s" s="0">
        <v>1120</v>
      </c>
      <c r="B2877" s="2">
        <v>1021794</v>
      </c>
      <c r="C2877" s="2">
        <v>38908</v>
      </c>
      <c r="D2877" s="2">
        <v>44275</v>
      </c>
      <c r="E2877" s="2">
        <v>40165</v>
      </c>
      <c r="F2877" s="2">
        <v>36534</v>
      </c>
      <c r="G2877" s="2">
        <v>34615</v>
      </c>
    </row>
    <row r="2878" spans="1:7" x14ac:dyDescent="0.2">
      <c r="A2878" t="s" s="0">
        <v>1119</v>
      </c>
      <c r="B2878" s="2">
        <v>1023905</v>
      </c>
      <c r="C2878" s="2">
        <v>46696</v>
      </c>
      <c r="D2878" s="2">
        <v>45875</v>
      </c>
      <c r="E2878" s="2">
        <v>41140</v>
      </c>
      <c r="F2878" s="2">
        <v>30875</v>
      </c>
      <c r="G2878" s="2">
        <v>35334</v>
      </c>
    </row>
    <row r="2879" spans="1:7" x14ac:dyDescent="0.2">
      <c r="A2879" t="s" s="0">
        <v>1118</v>
      </c>
      <c r="B2879" s="2">
        <v>1065955</v>
      </c>
      <c r="C2879" s="2">
        <v>42975</v>
      </c>
      <c r="D2879" s="2">
        <v>45590</v>
      </c>
      <c r="E2879" s="2">
        <v>41382</v>
      </c>
      <c r="F2879" s="2">
        <v>43733</v>
      </c>
      <c r="G2879" s="2">
        <v>35604</v>
      </c>
    </row>
    <row r="2880" spans="1:7" x14ac:dyDescent="0.2">
      <c r="A2880" t="s" s="0">
        <v>1117</v>
      </c>
      <c r="B2880" s="2">
        <v>1105650</v>
      </c>
      <c r="C2880" s="2">
        <v>46198</v>
      </c>
      <c r="D2880" s="2">
        <v>47296</v>
      </c>
      <c r="E2880" s="2">
        <v>42069</v>
      </c>
      <c r="F2880" s="2">
        <v>54296</v>
      </c>
      <c r="G2880" s="2">
        <v>39497</v>
      </c>
    </row>
    <row r="2881" spans="1:7" x14ac:dyDescent="0.2">
      <c r="A2881" t="s" s="0">
        <v>1116</v>
      </c>
      <c r="B2881" s="3">
        <v>1105650</v>
      </c>
      <c r="C2881" s="3">
        <v>46198</v>
      </c>
      <c r="D2881" s="3">
        <v>47296</v>
      </c>
      <c r="E2881" s="3">
        <v>42069</v>
      </c>
      <c r="F2881" s="3">
        <v>54296</v>
      </c>
      <c r="G2881" s="3">
        <v>39497</v>
      </c>
    </row>
    <row r="2882" spans="1:7" x14ac:dyDescent="0.2">
      <c r="A2882" t="s" s="0">
        <v>1115</v>
      </c>
      <c r="B2882" s="3">
        <v>1105650</v>
      </c>
      <c r="C2882" s="3">
        <v>46198</v>
      </c>
      <c r="D2882" s="3">
        <v>47296</v>
      </c>
      <c r="E2882" s="3">
        <v>42069</v>
      </c>
      <c r="F2882" s="3">
        <v>54296</v>
      </c>
      <c r="G2882" s="3">
        <v>39497</v>
      </c>
    </row>
    <row r="2883" spans="1:7" x14ac:dyDescent="0.2">
      <c r="A2883" t="s" s="0">
        <v>1114</v>
      </c>
      <c r="B2883" s="2">
        <v>1106047</v>
      </c>
      <c r="C2883" s="2">
        <v>25015</v>
      </c>
      <c r="D2883" s="2">
        <v>47604</v>
      </c>
      <c r="E2883" s="2">
        <v>42846</v>
      </c>
      <c r="F2883" s="2">
        <v>54000</v>
      </c>
      <c r="G2883" s="2">
        <v>40477</v>
      </c>
    </row>
    <row r="2884" spans="1:7" x14ac:dyDescent="0.2">
      <c r="A2884" t="s" s="0">
        <v>1113</v>
      </c>
      <c r="B2884" s="2">
        <v>1109975</v>
      </c>
      <c r="C2884" s="2">
        <v>41055</v>
      </c>
      <c r="D2884" s="2">
        <v>48356</v>
      </c>
      <c r="E2884" s="2">
        <v>43716</v>
      </c>
      <c r="F2884" s="2">
        <v>60906</v>
      </c>
      <c r="G2884" s="2">
        <v>41002</v>
      </c>
    </row>
    <row r="2885" spans="1:7" x14ac:dyDescent="0.2">
      <c r="A2885" t="s" s="0">
        <v>1112</v>
      </c>
      <c r="B2885" s="2">
        <v>1098681</v>
      </c>
      <c r="C2885" s="2">
        <v>45270</v>
      </c>
      <c r="D2885" s="2">
        <v>46569</v>
      </c>
      <c r="E2885" s="2">
        <v>42839</v>
      </c>
      <c r="F2885" s="2">
        <v>57204</v>
      </c>
      <c r="G2885" s="2">
        <v>40764</v>
      </c>
    </row>
    <row r="2886" spans="1:7" x14ac:dyDescent="0.2">
      <c r="A2886" t="s" s="0">
        <v>1111</v>
      </c>
      <c r="B2886" s="2">
        <v>1037644</v>
      </c>
      <c r="C2886" s="2">
        <v>45260</v>
      </c>
      <c r="D2886" s="2">
        <v>49375</v>
      </c>
      <c r="E2886" s="2">
        <v>43451</v>
      </c>
      <c r="F2886" s="2">
        <v>45283</v>
      </c>
      <c r="G2886" s="2">
        <v>40998</v>
      </c>
    </row>
    <row r="2887" spans="1:7" x14ac:dyDescent="0.2">
      <c r="A2887" t="s" s="0">
        <v>1110</v>
      </c>
      <c r="B2887" s="2">
        <v>1014996</v>
      </c>
      <c r="C2887" s="2">
        <v>47038</v>
      </c>
      <c r="D2887" s="2">
        <v>46208</v>
      </c>
      <c r="E2887" s="2">
        <v>43840</v>
      </c>
      <c r="F2887" s="2">
        <v>33211</v>
      </c>
      <c r="G2887" s="2">
        <v>40084</v>
      </c>
    </row>
    <row r="2888" spans="1:7" x14ac:dyDescent="0.2">
      <c r="A2888" t="s" s="0">
        <v>1109</v>
      </c>
      <c r="B2888" s="3">
        <v>1014996</v>
      </c>
      <c r="C2888" s="3">
        <v>47038</v>
      </c>
      <c r="D2888" s="3">
        <v>46208</v>
      </c>
      <c r="E2888" s="3">
        <v>43840</v>
      </c>
      <c r="F2888" s="3">
        <v>33211</v>
      </c>
      <c r="G2888" s="3">
        <v>40084</v>
      </c>
    </row>
    <row r="2889" spans="1:7" x14ac:dyDescent="0.2">
      <c r="A2889" t="s" s="0">
        <v>1108</v>
      </c>
      <c r="B2889" s="3">
        <v>1014996</v>
      </c>
      <c r="C2889" s="3">
        <v>47038</v>
      </c>
      <c r="D2889" s="3">
        <v>46208</v>
      </c>
      <c r="E2889" s="3">
        <v>43840</v>
      </c>
      <c r="F2889" s="3">
        <v>33211</v>
      </c>
      <c r="G2889" s="3">
        <v>40084</v>
      </c>
    </row>
    <row r="2890" spans="1:7" x14ac:dyDescent="0.2">
      <c r="A2890" t="s" s="0">
        <v>1107</v>
      </c>
      <c r="B2890" s="2">
        <v>1022569</v>
      </c>
      <c r="C2890" s="2">
        <v>26579</v>
      </c>
      <c r="D2890" s="2">
        <v>50897</v>
      </c>
      <c r="E2890" s="2">
        <v>44448</v>
      </c>
      <c r="F2890" s="2">
        <v>38924</v>
      </c>
      <c r="G2890" s="2">
        <v>41259</v>
      </c>
    </row>
    <row r="2891" spans="1:7" x14ac:dyDescent="0.2">
      <c r="A2891" t="s" s="0">
        <v>1106</v>
      </c>
      <c r="B2891" s="2">
        <v>991395</v>
      </c>
      <c r="C2891" s="2">
        <v>36106</v>
      </c>
      <c r="D2891" s="2">
        <v>48762</v>
      </c>
      <c r="E2891" s="2">
        <v>44498</v>
      </c>
      <c r="F2891" s="2">
        <v>31822</v>
      </c>
      <c r="G2891" s="2">
        <v>40520</v>
      </c>
    </row>
    <row r="2892" spans="1:7" x14ac:dyDescent="0.2">
      <c r="A2892" t="s" s="0">
        <v>1105</v>
      </c>
      <c r="B2892" s="2">
        <v>915001</v>
      </c>
      <c r="C2892" s="2">
        <v>50412</v>
      </c>
      <c r="D2892" s="2">
        <v>54146</v>
      </c>
      <c r="E2892" s="2">
        <v>45957</v>
      </c>
      <c r="F2892" s="2">
        <v>27573</v>
      </c>
      <c r="G2892" s="2">
        <v>37662</v>
      </c>
    </row>
    <row r="2893" spans="1:7" x14ac:dyDescent="0.2">
      <c r="A2893" t="s" s="0">
        <v>1104</v>
      </c>
      <c r="B2893" s="2">
        <v>859964</v>
      </c>
      <c r="C2893" s="2">
        <v>44075</v>
      </c>
      <c r="D2893" s="2">
        <v>52457</v>
      </c>
      <c r="E2893" s="2">
        <v>46462</v>
      </c>
      <c r="F2893" s="2">
        <v>26741</v>
      </c>
      <c r="G2893" s="2">
        <v>37688</v>
      </c>
    </row>
    <row r="2894" spans="1:7" x14ac:dyDescent="0.2">
      <c r="A2894" t="s" s="0">
        <v>1103</v>
      </c>
      <c r="B2894" s="2">
        <v>843645</v>
      </c>
      <c r="C2894" s="2">
        <v>36319</v>
      </c>
      <c r="D2894" s="2">
        <v>50925</v>
      </c>
      <c r="E2894" s="2">
        <v>46464</v>
      </c>
      <c r="F2894" s="2">
        <v>26114</v>
      </c>
      <c r="G2894" s="2">
        <v>35178</v>
      </c>
    </row>
    <row r="2895" spans="1:7" x14ac:dyDescent="0.2">
      <c r="A2895" t="s" s="0">
        <v>1102</v>
      </c>
      <c r="B2895" s="3">
        <v>843645</v>
      </c>
      <c r="C2895" s="3">
        <v>36319</v>
      </c>
      <c r="D2895" s="3">
        <v>50925</v>
      </c>
      <c r="E2895" s="3">
        <v>46464</v>
      </c>
      <c r="F2895" s="3">
        <v>26114</v>
      </c>
      <c r="G2895" s="3">
        <v>35178</v>
      </c>
    </row>
    <row r="2896" spans="1:7" x14ac:dyDescent="0.2">
      <c r="A2896" t="s" s="0">
        <v>1101</v>
      </c>
      <c r="B2896" s="3">
        <v>843645</v>
      </c>
      <c r="C2896" s="3">
        <v>36319</v>
      </c>
      <c r="D2896" s="3">
        <v>50925</v>
      </c>
      <c r="E2896" s="3">
        <v>46464</v>
      </c>
      <c r="F2896" s="3">
        <v>26114</v>
      </c>
      <c r="G2896" s="3">
        <v>35178</v>
      </c>
    </row>
    <row r="2897" spans="1:7" x14ac:dyDescent="0.2">
      <c r="A2897" t="s" s="0">
        <v>1100</v>
      </c>
      <c r="B2897" s="2">
        <v>912145</v>
      </c>
      <c r="C2897" s="2">
        <v>23577</v>
      </c>
      <c r="D2897" s="2">
        <v>43623</v>
      </c>
      <c r="E2897" s="2">
        <v>46276</v>
      </c>
      <c r="F2897" s="2">
        <v>27515</v>
      </c>
      <c r="G2897" s="2">
        <v>40804</v>
      </c>
    </row>
    <row r="2898" spans="1:7" x14ac:dyDescent="0.2">
      <c r="A2898" t="s" s="0">
        <v>1099</v>
      </c>
      <c r="B2898" s="2">
        <v>905311</v>
      </c>
      <c r="C2898" s="2">
        <v>34824</v>
      </c>
      <c r="D2898" s="2">
        <v>44441</v>
      </c>
      <c r="E2898" s="2">
        <v>46458</v>
      </c>
      <c r="F2898" s="2">
        <v>31810</v>
      </c>
      <c r="G2898" s="2">
        <v>40268</v>
      </c>
    </row>
    <row r="2899" spans="1:7" x14ac:dyDescent="0.2">
      <c r="A2899" t="s" s="0">
        <v>1098</v>
      </c>
      <c r="B2899" s="2">
        <v>913516</v>
      </c>
      <c r="C2899" s="2">
        <v>36441</v>
      </c>
      <c r="D2899" s="2">
        <v>40653</v>
      </c>
      <c r="E2899" s="2">
        <v>46811</v>
      </c>
      <c r="F2899" s="2">
        <v>40440</v>
      </c>
      <c r="G2899" s="2">
        <v>39023</v>
      </c>
    </row>
    <row r="2900" spans="1:7" x14ac:dyDescent="0.2">
      <c r="A2900" t="s" s="0">
        <v>1097</v>
      </c>
      <c r="B2900" s="2">
        <v>860109</v>
      </c>
      <c r="C2900" s="2">
        <v>38541</v>
      </c>
      <c r="D2900" s="2">
        <v>40335</v>
      </c>
      <c r="E2900" s="2">
        <v>46939</v>
      </c>
      <c r="F2900" s="2">
        <v>40335</v>
      </c>
      <c r="G2900" s="2">
        <v>39023</v>
      </c>
    </row>
    <row r="2901" spans="1:7" x14ac:dyDescent="0.2">
      <c r="A2901" t="s" s="0">
        <v>1096</v>
      </c>
      <c r="B2901" s="2">
        <v>931393</v>
      </c>
      <c r="C2901" s="2">
        <v>34259</v>
      </c>
      <c r="D2901" s="2">
        <v>42041</v>
      </c>
      <c r="E2901" s="2">
        <v>46618</v>
      </c>
      <c r="F2901" s="2">
        <v>54618</v>
      </c>
      <c r="G2901" s="2">
        <v>42060</v>
      </c>
    </row>
    <row r="2902" spans="1:7" x14ac:dyDescent="0.2">
      <c r="A2902" t="s" s="0">
        <v>1095</v>
      </c>
      <c r="B2902" s="3">
        <v>931393</v>
      </c>
      <c r="C2902" s="3">
        <v>34259</v>
      </c>
      <c r="D2902" s="3">
        <v>42041</v>
      </c>
      <c r="E2902" s="3">
        <v>46618</v>
      </c>
      <c r="F2902" s="3">
        <v>54618</v>
      </c>
      <c r="G2902" s="3">
        <v>42060</v>
      </c>
    </row>
    <row r="2903" spans="1:7" x14ac:dyDescent="0.2">
      <c r="A2903" t="s" s="0">
        <v>1094</v>
      </c>
      <c r="B2903" s="3">
        <v>931393</v>
      </c>
      <c r="C2903" s="3">
        <v>34259</v>
      </c>
      <c r="D2903" s="3">
        <v>42041</v>
      </c>
      <c r="E2903" s="3">
        <v>46618</v>
      </c>
      <c r="F2903" s="3">
        <v>54618</v>
      </c>
      <c r="G2903" s="3">
        <v>42060</v>
      </c>
    </row>
    <row r="2904" spans="1:7" x14ac:dyDescent="0.2">
      <c r="A2904" t="s" s="0">
        <v>1093</v>
      </c>
      <c r="B2904" s="2">
        <v>942336</v>
      </c>
      <c r="C2904" s="2">
        <v>22063</v>
      </c>
      <c r="D2904" s="2">
        <v>40470</v>
      </c>
      <c r="E2904" s="2">
        <v>45648</v>
      </c>
      <c r="F2904" s="2">
        <v>44824</v>
      </c>
      <c r="G2904" s="2">
        <v>41316</v>
      </c>
    </row>
    <row r="2905" spans="1:7" x14ac:dyDescent="0.2">
      <c r="A2905" t="s" s="0">
        <v>1092</v>
      </c>
      <c r="B2905" s="2">
        <v>906348</v>
      </c>
      <c r="C2905" s="2">
        <v>31487</v>
      </c>
      <c r="D2905" s="2">
        <v>40069</v>
      </c>
      <c r="E2905" s="2">
        <v>45407</v>
      </c>
      <c r="F2905" s="2">
        <v>40178</v>
      </c>
      <c r="G2905" s="2">
        <v>41179</v>
      </c>
    </row>
    <row r="2906" spans="1:7" x14ac:dyDescent="0.2">
      <c r="A2906" t="s" s="0">
        <v>1091</v>
      </c>
      <c r="B2906" s="2">
        <v>850942</v>
      </c>
      <c r="C2906" s="2">
        <v>39919</v>
      </c>
      <c r="D2906" s="2">
        <v>39916</v>
      </c>
      <c r="E2906" s="2">
        <v>45321</v>
      </c>
      <c r="F2906" s="2">
        <v>30938</v>
      </c>
      <c r="G2906" s="2">
        <v>39039</v>
      </c>
    </row>
    <row r="2907" spans="1:7" x14ac:dyDescent="0.2">
      <c r="A2907" t="s" s="0">
        <v>1090</v>
      </c>
      <c r="B2907" s="2">
        <v>804612</v>
      </c>
      <c r="C2907" s="2">
        <v>38516</v>
      </c>
      <c r="D2907" s="2">
        <v>38884</v>
      </c>
      <c r="E2907" s="2">
        <v>45263</v>
      </c>
      <c r="F2907" s="2">
        <v>30938</v>
      </c>
      <c r="G2907" s="2">
        <v>35824</v>
      </c>
    </row>
    <row r="2908" spans="1:7" x14ac:dyDescent="0.2">
      <c r="A2908" t="s" s="0">
        <v>1089</v>
      </c>
      <c r="B2908" s="2">
        <v>920951</v>
      </c>
      <c r="C2908" s="2">
        <v>38644</v>
      </c>
      <c r="D2908" s="2">
        <v>38230</v>
      </c>
      <c r="E2908" s="2">
        <v>44351</v>
      </c>
      <c r="F2908" s="2">
        <v>36658</v>
      </c>
      <c r="G2908" s="2">
        <v>37650</v>
      </c>
    </row>
    <row r="2909" spans="1:7" x14ac:dyDescent="0.2">
      <c r="A2909" t="s" s="0">
        <v>1088</v>
      </c>
      <c r="B2909" s="3">
        <v>920951</v>
      </c>
      <c r="C2909" s="3">
        <v>38644</v>
      </c>
      <c r="D2909" s="3">
        <v>38230</v>
      </c>
      <c r="E2909" s="3">
        <v>44351</v>
      </c>
      <c r="F2909" s="3">
        <v>36658</v>
      </c>
      <c r="G2909" s="3">
        <v>37650</v>
      </c>
    </row>
    <row r="2910" spans="1:7" x14ac:dyDescent="0.2">
      <c r="A2910" t="s" s="0">
        <v>1087</v>
      </c>
      <c r="B2910" s="3">
        <v>920951</v>
      </c>
      <c r="C2910" s="3">
        <v>38644</v>
      </c>
      <c r="D2910" s="3">
        <v>38230</v>
      </c>
      <c r="E2910" s="3">
        <v>44351</v>
      </c>
      <c r="F2910" s="3">
        <v>36658</v>
      </c>
      <c r="G2910" s="3">
        <v>37650</v>
      </c>
    </row>
    <row r="2911" spans="1:7" x14ac:dyDescent="0.2">
      <c r="A2911" t="s" s="0">
        <v>1086</v>
      </c>
      <c r="B2911" s="2">
        <v>971949</v>
      </c>
      <c r="C2911" s="2">
        <v>19782</v>
      </c>
      <c r="D2911" s="2">
        <v>44328</v>
      </c>
      <c r="E2911" s="2">
        <v>44829</v>
      </c>
      <c r="F2911" s="2">
        <v>48478</v>
      </c>
      <c r="G2911" s="2">
        <v>39935</v>
      </c>
    </row>
    <row r="2912" spans="1:7" x14ac:dyDescent="0.2">
      <c r="A2912" t="s" s="0">
        <v>1085</v>
      </c>
      <c r="B2912" s="2">
        <v>953218</v>
      </c>
      <c r="C2912" s="2">
        <v>41558</v>
      </c>
      <c r="D2912" s="2">
        <v>45110</v>
      </c>
      <c r="E2912" s="2">
        <v>44595</v>
      </c>
      <c r="F2912" s="2">
        <v>51730</v>
      </c>
      <c r="G2912" s="2">
        <v>38885</v>
      </c>
    </row>
    <row r="2913" spans="1:7" x14ac:dyDescent="0.2">
      <c r="A2913" t="s" s="0">
        <v>1084</v>
      </c>
      <c r="B2913" s="2">
        <v>912317</v>
      </c>
      <c r="C2913" s="2">
        <v>39569</v>
      </c>
      <c r="D2913" s="2">
        <v>43078</v>
      </c>
      <c r="E2913" s="2">
        <v>44448</v>
      </c>
      <c r="F2913" s="2">
        <v>51771</v>
      </c>
      <c r="G2913" s="2">
        <v>37681</v>
      </c>
    </row>
    <row r="2914" spans="1:7" x14ac:dyDescent="0.2">
      <c r="A2914" t="s" s="0">
        <v>1083</v>
      </c>
      <c r="B2914" s="2">
        <v>888725</v>
      </c>
      <c r="C2914" s="2">
        <v>43715</v>
      </c>
      <c r="D2914" s="2">
        <v>43419</v>
      </c>
      <c r="E2914" s="2">
        <v>43774</v>
      </c>
      <c r="F2914" s="2">
        <v>55359</v>
      </c>
      <c r="G2914" s="2">
        <v>38343</v>
      </c>
    </row>
    <row r="2915" spans="1:7" x14ac:dyDescent="0.2">
      <c r="A2915" t="s" s="0">
        <v>1082</v>
      </c>
      <c r="B2915" s="2">
        <v>969943</v>
      </c>
      <c r="C2915" s="2">
        <v>43887</v>
      </c>
      <c r="D2915" s="2">
        <v>44144</v>
      </c>
      <c r="E2915" s="2">
        <v>43835</v>
      </c>
      <c r="F2915" s="2">
        <v>51068</v>
      </c>
      <c r="G2915" s="2">
        <v>42114</v>
      </c>
    </row>
    <row r="2916" spans="1:7" x14ac:dyDescent="0.2">
      <c r="A2916" t="s" s="0">
        <v>1081</v>
      </c>
      <c r="B2916" s="3">
        <v>969943</v>
      </c>
      <c r="C2916" s="3">
        <v>43887</v>
      </c>
      <c r="D2916" s="3">
        <v>44144</v>
      </c>
      <c r="E2916" s="3">
        <v>43835</v>
      </c>
      <c r="F2916" s="3">
        <v>51068</v>
      </c>
      <c r="G2916" s="3">
        <v>42114</v>
      </c>
    </row>
    <row r="2917" spans="1:7" x14ac:dyDescent="0.2">
      <c r="A2917" t="s" s="0">
        <v>1080</v>
      </c>
      <c r="B2917" s="3">
        <v>969943</v>
      </c>
      <c r="C2917" s="3">
        <v>43887</v>
      </c>
      <c r="D2917" s="3">
        <v>44144</v>
      </c>
      <c r="E2917" s="3">
        <v>43835</v>
      </c>
      <c r="F2917" s="3">
        <v>51068</v>
      </c>
      <c r="G2917" s="3">
        <v>42114</v>
      </c>
    </row>
    <row r="2918" spans="1:7" x14ac:dyDescent="0.2">
      <c r="A2918" t="s" s="0">
        <v>1079</v>
      </c>
      <c r="B2918" s="2">
        <v>930875</v>
      </c>
      <c r="C2918" s="2">
        <v>23631</v>
      </c>
      <c r="D2918" s="2">
        <v>41126</v>
      </c>
      <c r="E2918" s="2">
        <v>42387</v>
      </c>
      <c r="F2918" s="2">
        <v>35183</v>
      </c>
      <c r="G2918" s="2">
        <v>39000</v>
      </c>
    </row>
    <row r="2919" spans="1:7" x14ac:dyDescent="0.2">
      <c r="A2919" t="s" s="0">
        <v>1078</v>
      </c>
      <c r="B2919" s="2">
        <v>899359</v>
      </c>
      <c r="C2919" s="2">
        <v>41170</v>
      </c>
      <c r="D2919" s="2">
        <v>39936</v>
      </c>
      <c r="E2919" s="2">
        <v>42389</v>
      </c>
      <c r="F2919" s="2">
        <v>32143</v>
      </c>
      <c r="G2919" s="2">
        <v>38965</v>
      </c>
    </row>
    <row r="2920" spans="1:7" x14ac:dyDescent="0.2">
      <c r="A2920" t="s" s="0">
        <v>1077</v>
      </c>
      <c r="B2920" s="2">
        <v>903556</v>
      </c>
      <c r="C2920" s="2">
        <v>47755</v>
      </c>
      <c r="D2920" s="2">
        <v>42310</v>
      </c>
      <c r="E2920" s="2">
        <v>41489</v>
      </c>
      <c r="F2920" s="2">
        <v>40960</v>
      </c>
      <c r="G2920" s="2">
        <v>41027</v>
      </c>
    </row>
    <row r="2921" spans="1:7" x14ac:dyDescent="0.2">
      <c r="A2921" t="s" s="0">
        <v>1076</v>
      </c>
      <c r="B2921" s="2">
        <v>955345</v>
      </c>
      <c r="C2921" s="2">
        <v>38720</v>
      </c>
      <c r="D2921" s="2">
        <v>42231</v>
      </c>
      <c r="E2921" s="2">
        <v>41217</v>
      </c>
      <c r="F2921" s="2">
        <v>51650</v>
      </c>
      <c r="G2921" s="2">
        <v>44570</v>
      </c>
    </row>
    <row r="2922" spans="1:7" x14ac:dyDescent="0.2">
      <c r="A2922" t="s" s="0">
        <v>1075</v>
      </c>
      <c r="B2922" s="2">
        <v>969021</v>
      </c>
      <c r="C2922" s="2">
        <v>45891</v>
      </c>
      <c r="D2922" s="2">
        <v>45683</v>
      </c>
      <c r="E2922" s="2">
        <v>42524</v>
      </c>
      <c r="F2922" s="2">
        <v>45326</v>
      </c>
      <c r="G2922" s="2">
        <v>46917</v>
      </c>
    </row>
    <row r="2923" spans="1:7" x14ac:dyDescent="0.2">
      <c r="A2923" t="s" s="0">
        <v>1074</v>
      </c>
      <c r="B2923" s="3">
        <v>969021</v>
      </c>
      <c r="C2923" s="3">
        <v>45891</v>
      </c>
      <c r="D2923" s="3">
        <v>45683</v>
      </c>
      <c r="E2923" s="3">
        <v>42524</v>
      </c>
      <c r="F2923" s="3">
        <v>45326</v>
      </c>
      <c r="G2923" s="3">
        <v>46917</v>
      </c>
    </row>
    <row r="2924" spans="1:7" x14ac:dyDescent="0.2">
      <c r="A2924" t="s" s="0">
        <v>1073</v>
      </c>
      <c r="B2924" s="3">
        <v>969021</v>
      </c>
      <c r="C2924" s="3">
        <v>45891</v>
      </c>
      <c r="D2924" s="3">
        <v>45683</v>
      </c>
      <c r="E2924" s="3">
        <v>42524</v>
      </c>
      <c r="F2924" s="3">
        <v>45326</v>
      </c>
      <c r="G2924" s="3">
        <v>46917</v>
      </c>
    </row>
    <row r="2925" spans="1:7" x14ac:dyDescent="0.2">
      <c r="A2925" t="s" s="0">
        <v>1072</v>
      </c>
      <c r="B2925" s="2">
        <v>866956</v>
      </c>
      <c r="C2925" s="2">
        <v>23845</v>
      </c>
      <c r="D2925" s="2">
        <v>45594</v>
      </c>
      <c r="E2925" s="2">
        <v>42879</v>
      </c>
      <c r="F2925" s="2">
        <v>36238</v>
      </c>
      <c r="G2925" s="2">
        <v>41181</v>
      </c>
    </row>
    <row r="2926" spans="1:7" x14ac:dyDescent="0.2">
      <c r="A2926" t="s" s="0">
        <v>1071</v>
      </c>
      <c r="B2926" s="2">
        <v>941698</v>
      </c>
      <c r="C2926" s="2">
        <v>29477</v>
      </c>
      <c r="D2926" s="2">
        <v>44639</v>
      </c>
      <c r="E2926" s="2">
        <v>42438</v>
      </c>
      <c r="F2926" s="2">
        <v>50562</v>
      </c>
      <c r="G2926" s="2">
        <v>43653</v>
      </c>
    </row>
    <row r="2927" spans="1:7" x14ac:dyDescent="0.2">
      <c r="A2927" t="s" s="0">
        <v>1070</v>
      </c>
      <c r="B2927" s="2">
        <v>970281</v>
      </c>
      <c r="C2927" s="2">
        <v>38331</v>
      </c>
      <c r="D2927" s="2">
        <v>41862</v>
      </c>
      <c r="E2927" s="2">
        <v>41792</v>
      </c>
      <c r="F2927" s="2">
        <v>51268</v>
      </c>
      <c r="G2927" s="2">
        <v>43734</v>
      </c>
    </row>
    <row r="2928" spans="1:7" x14ac:dyDescent="0.2">
      <c r="A2928" t="s" s="0">
        <v>1069</v>
      </c>
      <c r="B2928" s="2">
        <v>953111</v>
      </c>
      <c r="C2928" s="2">
        <v>39168</v>
      </c>
      <c r="D2928" s="2">
        <v>41292</v>
      </c>
      <c r="E2928" s="2">
        <v>41456</v>
      </c>
      <c r="F2928" s="2">
        <v>40847</v>
      </c>
      <c r="G2928" s="2">
        <v>44698</v>
      </c>
    </row>
    <row r="2929" spans="1:7" x14ac:dyDescent="0.2">
      <c r="A2929" t="s" s="0">
        <v>1068</v>
      </c>
      <c r="B2929" s="2">
        <v>909955</v>
      </c>
      <c r="C2929" s="2">
        <v>40628</v>
      </c>
      <c r="D2929" s="2">
        <v>36679</v>
      </c>
      <c r="E2929" s="2">
        <v>41184</v>
      </c>
      <c r="F2929" s="2">
        <v>28241</v>
      </c>
      <c r="G2929" s="2">
        <v>40323</v>
      </c>
    </row>
    <row r="2930" spans="1:7" x14ac:dyDescent="0.2">
      <c r="A2930" t="s" s="0">
        <v>1067</v>
      </c>
      <c r="B2930" s="3">
        <v>909955</v>
      </c>
      <c r="C2930" s="3">
        <v>40628</v>
      </c>
      <c r="D2930" s="3">
        <v>36679</v>
      </c>
      <c r="E2930" s="3">
        <v>41184</v>
      </c>
      <c r="F2930" s="3">
        <v>28241</v>
      </c>
      <c r="G2930" s="3">
        <v>40323</v>
      </c>
    </row>
    <row r="2931" spans="1:7" x14ac:dyDescent="0.2">
      <c r="A2931" t="s" s="0">
        <v>1066</v>
      </c>
      <c r="B2931" s="3">
        <v>909955</v>
      </c>
      <c r="C2931" s="3">
        <v>40628</v>
      </c>
      <c r="D2931" s="3">
        <v>36679</v>
      </c>
      <c r="E2931" s="3">
        <v>41184</v>
      </c>
      <c r="F2931" s="3">
        <v>28241</v>
      </c>
      <c r="G2931" s="3">
        <v>40323</v>
      </c>
    </row>
    <row r="2932" spans="1:7" x14ac:dyDescent="0.2">
      <c r="A2932" t="s" s="0">
        <v>1065</v>
      </c>
      <c r="B2932" s="2">
        <v>959182</v>
      </c>
      <c r="C2932" s="2">
        <v>22483</v>
      </c>
      <c r="D2932" s="2">
        <v>35100</v>
      </c>
      <c r="E2932" s="2">
        <v>41537</v>
      </c>
      <c r="F2932" s="2">
        <v>48275</v>
      </c>
      <c r="G2932" s="2">
        <v>42044</v>
      </c>
    </row>
    <row r="2933" spans="1:7" x14ac:dyDescent="0.2">
      <c r="A2933" t="s" s="0">
        <v>1064</v>
      </c>
      <c r="B2933" s="2">
        <v>917791</v>
      </c>
      <c r="C2933" s="2">
        <v>36590</v>
      </c>
      <c r="D2933" s="2">
        <v>36098</v>
      </c>
      <c r="E2933" s="2">
        <v>41446</v>
      </c>
      <c r="F2933" s="2">
        <v>32616</v>
      </c>
      <c r="G2933" s="2">
        <v>41763</v>
      </c>
    </row>
    <row r="2934" spans="1:7" x14ac:dyDescent="0.2">
      <c r="A2934" t="s" s="0">
        <v>1063</v>
      </c>
      <c r="B2934" s="2">
        <v>1000617</v>
      </c>
      <c r="C2934" s="2">
        <v>37164</v>
      </c>
      <c r="D2934" s="2">
        <v>35932</v>
      </c>
      <c r="E2934" s="2">
        <v>40796</v>
      </c>
      <c r="F2934" s="2">
        <v>40198</v>
      </c>
      <c r="G2934" s="2">
        <v>46049</v>
      </c>
    </row>
    <row r="2935" spans="1:7" x14ac:dyDescent="0.2">
      <c r="A2935" t="s" s="0">
        <v>1062</v>
      </c>
      <c r="B2935" s="2">
        <v>978423</v>
      </c>
      <c r="C2935" s="2">
        <v>37188</v>
      </c>
      <c r="D2935" s="2">
        <v>36363</v>
      </c>
      <c r="E2935" s="2">
        <v>40826</v>
      </c>
      <c r="F2935" s="2">
        <v>39912</v>
      </c>
      <c r="G2935" s="2">
        <v>46942</v>
      </c>
    </row>
    <row r="2936" spans="1:7" x14ac:dyDescent="0.2">
      <c r="A2936" t="s" s="0">
        <v>1061</v>
      </c>
      <c r="B2936" s="2">
        <v>972992</v>
      </c>
      <c r="C2936" s="2">
        <v>39262</v>
      </c>
      <c r="D2936" s="2">
        <v>36168</v>
      </c>
      <c r="E2936" s="2">
        <v>40668</v>
      </c>
      <c r="F2936" s="2">
        <v>45106</v>
      </c>
      <c r="G2936" s="2">
        <v>42435</v>
      </c>
    </row>
    <row r="2937" spans="1:7" x14ac:dyDescent="0.2">
      <c r="A2937" t="s" s="0">
        <v>1060</v>
      </c>
      <c r="B2937" s="3">
        <v>972992</v>
      </c>
      <c r="C2937" s="3">
        <v>39262</v>
      </c>
      <c r="D2937" s="3">
        <v>36168</v>
      </c>
      <c r="E2937" s="3">
        <v>40668</v>
      </c>
      <c r="F2937" s="3">
        <v>45106</v>
      </c>
      <c r="G2937" s="3">
        <v>42435</v>
      </c>
    </row>
    <row r="2938" spans="1:7" x14ac:dyDescent="0.2">
      <c r="A2938" t="s" s="0">
        <v>1059</v>
      </c>
      <c r="B2938" s="3">
        <v>972992</v>
      </c>
      <c r="C2938" s="3">
        <v>39262</v>
      </c>
      <c r="D2938" s="3">
        <v>36168</v>
      </c>
      <c r="E2938" s="3">
        <v>40668</v>
      </c>
      <c r="F2938" s="3">
        <v>45106</v>
      </c>
      <c r="G2938" s="3">
        <v>42435</v>
      </c>
    </row>
    <row r="2939" spans="1:7" x14ac:dyDescent="0.2">
      <c r="A2939" t="s" s="0">
        <v>1058</v>
      </c>
      <c r="B2939" s="2">
        <v>1026752</v>
      </c>
      <c r="C2939" s="2">
        <v>18647</v>
      </c>
      <c r="D2939" s="2">
        <v>36831</v>
      </c>
      <c r="E2939" s="2">
        <v>39663</v>
      </c>
      <c r="F2939" s="2">
        <v>46416</v>
      </c>
      <c r="G2939" s="2">
        <v>41528</v>
      </c>
    </row>
    <row r="2940" spans="1:7" x14ac:dyDescent="0.2">
      <c r="A2940" t="s" s="0">
        <v>1057</v>
      </c>
      <c r="B2940" s="2">
        <v>1042356</v>
      </c>
      <c r="C2940" s="2">
        <v>34570</v>
      </c>
      <c r="D2940" s="2">
        <v>35844</v>
      </c>
      <c r="E2940" s="2">
        <v>39129</v>
      </c>
      <c r="F2940" s="2">
        <v>53601</v>
      </c>
      <c r="G2940" s="2">
        <v>42230</v>
      </c>
    </row>
    <row r="2941" spans="1:7" x14ac:dyDescent="0.2">
      <c r="A2941" t="s" s="0">
        <v>1056</v>
      </c>
      <c r="B2941" s="2">
        <v>1076159</v>
      </c>
      <c r="C2941" s="2">
        <v>38910</v>
      </c>
      <c r="D2941" s="2">
        <v>36420</v>
      </c>
      <c r="E2941" s="2">
        <v>39131</v>
      </c>
      <c r="F2941" s="2">
        <v>47174</v>
      </c>
      <c r="G2941" s="2">
        <v>44900</v>
      </c>
    </row>
    <row r="2942" spans="1:7" x14ac:dyDescent="0.2">
      <c r="A2942" t="s" s="0">
        <v>1055</v>
      </c>
      <c r="B2942" s="2">
        <v>1010448</v>
      </c>
      <c r="C2942" s="2">
        <v>42473</v>
      </c>
      <c r="D2942" s="2">
        <v>36460</v>
      </c>
      <c r="E2942" s="2">
        <v>39087</v>
      </c>
      <c r="F2942" s="2">
        <v>40997</v>
      </c>
      <c r="G2942" s="2">
        <v>43351</v>
      </c>
    </row>
    <row r="2943" spans="1:7" x14ac:dyDescent="0.2">
      <c r="A2943" t="s" s="0">
        <v>1054</v>
      </c>
      <c r="B2943" s="2">
        <v>1025181</v>
      </c>
      <c r="C2943" s="2">
        <v>39954</v>
      </c>
      <c r="D2943" s="2">
        <v>37688</v>
      </c>
      <c r="E2943" s="2">
        <v>39054</v>
      </c>
      <c r="F2943" s="2">
        <v>45106</v>
      </c>
      <c r="G2943" s="2">
        <v>40945</v>
      </c>
    </row>
    <row r="2944" spans="1:7" x14ac:dyDescent="0.2">
      <c r="A2944" t="s" s="0">
        <v>1053</v>
      </c>
      <c r="B2944" s="3">
        <v>1025181</v>
      </c>
      <c r="C2944" s="3">
        <v>39954</v>
      </c>
      <c r="D2944" s="3">
        <v>37688</v>
      </c>
      <c r="E2944" s="3">
        <v>39054</v>
      </c>
      <c r="F2944" s="3">
        <v>45106</v>
      </c>
      <c r="G2944" s="3">
        <v>40945</v>
      </c>
    </row>
    <row r="2945" spans="1:7" x14ac:dyDescent="0.2">
      <c r="A2945" t="s" s="0">
        <v>1052</v>
      </c>
      <c r="B2945" s="3">
        <v>1025181</v>
      </c>
      <c r="C2945" s="3">
        <v>39954</v>
      </c>
      <c r="D2945" s="3">
        <v>37688</v>
      </c>
      <c r="E2945" s="3">
        <v>39054</v>
      </c>
      <c r="F2945" s="3">
        <v>45106</v>
      </c>
      <c r="G2945" s="3">
        <v>40945</v>
      </c>
    </row>
    <row r="2946" spans="1:7" x14ac:dyDescent="0.2">
      <c r="A2946" t="s" s="0">
        <v>1051</v>
      </c>
      <c r="B2946" s="2">
        <v>977096</v>
      </c>
      <c r="C2946" s="2">
        <v>21073</v>
      </c>
      <c r="D2946" s="2">
        <v>36971</v>
      </c>
      <c r="E2946" s="2">
        <v>38624</v>
      </c>
      <c r="F2946" s="2">
        <v>29839</v>
      </c>
      <c r="G2946" s="2">
        <v>40192</v>
      </c>
    </row>
    <row r="2947" spans="1:7" x14ac:dyDescent="0.2">
      <c r="A2947" t="s" s="0">
        <v>1050</v>
      </c>
      <c r="B2947" s="2">
        <v>936619</v>
      </c>
      <c r="C2947" s="2">
        <v>33574</v>
      </c>
      <c r="D2947" s="2">
        <v>37400</v>
      </c>
      <c r="E2947" s="2">
        <v>38495</v>
      </c>
      <c r="F2947" s="2">
        <v>22253</v>
      </c>
      <c r="G2947" s="2">
        <v>39758</v>
      </c>
    </row>
    <row r="2948" spans="1:7" x14ac:dyDescent="0.2">
      <c r="A2948" t="s" s="0">
        <v>1049</v>
      </c>
      <c r="B2948" s="2">
        <v>954879</v>
      </c>
      <c r="C2948" s="2">
        <v>42870</v>
      </c>
      <c r="D2948" s="2">
        <v>39066</v>
      </c>
      <c r="E2948" s="2">
        <v>38320</v>
      </c>
      <c r="F2948" s="2">
        <v>21699</v>
      </c>
      <c r="G2948" s="2">
        <v>40085</v>
      </c>
    </row>
    <row r="2949" spans="1:7" x14ac:dyDescent="0.2">
      <c r="A2949" t="s" s="0">
        <v>1048</v>
      </c>
      <c r="B2949" s="2">
        <v>978901</v>
      </c>
      <c r="C2949" s="2">
        <v>41104</v>
      </c>
      <c r="D2949" s="2">
        <v>38871</v>
      </c>
      <c r="E2949" s="2">
        <v>38247</v>
      </c>
      <c r="F2949" s="2">
        <v>34323</v>
      </c>
      <c r="G2949" s="2">
        <v>39020</v>
      </c>
    </row>
    <row r="2950" spans="1:7" x14ac:dyDescent="0.2">
      <c r="A2950" t="s" s="0">
        <v>1047</v>
      </c>
      <c r="B2950" s="2">
        <v>933737</v>
      </c>
      <c r="C2950" s="2">
        <v>45164</v>
      </c>
      <c r="D2950" s="2">
        <v>38486</v>
      </c>
      <c r="E2950" s="2">
        <v>37255</v>
      </c>
      <c r="F2950" s="2">
        <v>25381</v>
      </c>
      <c r="G2950" s="2">
        <v>35958</v>
      </c>
    </row>
    <row r="2951" spans="1:7" x14ac:dyDescent="0.2">
      <c r="A2951" t="s" s="0">
        <v>1046</v>
      </c>
      <c r="B2951" s="3">
        <v>933737</v>
      </c>
      <c r="C2951" s="3">
        <v>45164</v>
      </c>
      <c r="D2951" s="3">
        <v>38486</v>
      </c>
      <c r="E2951" s="3">
        <v>37255</v>
      </c>
      <c r="F2951" s="3">
        <v>25381</v>
      </c>
      <c r="G2951" s="3">
        <v>35958</v>
      </c>
    </row>
    <row r="2952" spans="1:7" x14ac:dyDescent="0.2">
      <c r="A2952" t="s" s="0">
        <v>1045</v>
      </c>
      <c r="B2952" s="3">
        <v>933737</v>
      </c>
      <c r="C2952" s="3">
        <v>45164</v>
      </c>
      <c r="D2952" s="3">
        <v>38486</v>
      </c>
      <c r="E2952" s="3">
        <v>37255</v>
      </c>
      <c r="F2952" s="3">
        <v>25381</v>
      </c>
      <c r="G2952" s="3">
        <v>35958</v>
      </c>
    </row>
    <row r="2953" spans="1:7" x14ac:dyDescent="0.2">
      <c r="A2953" t="s" s="0">
        <v>1044</v>
      </c>
      <c r="B2953" s="2">
        <v>1059640</v>
      </c>
      <c r="C2953" s="2">
        <v>22756</v>
      </c>
      <c r="D2953" s="2">
        <v>40152</v>
      </c>
      <c r="E2953" s="2">
        <v>37263</v>
      </c>
      <c r="F2953" s="2">
        <v>51895</v>
      </c>
      <c r="G2953" s="2">
        <v>44106</v>
      </c>
    </row>
    <row r="2954" spans="1:7" x14ac:dyDescent="0.2">
      <c r="A2954" t="s" s="0">
        <v>1043</v>
      </c>
      <c r="B2954" s="2">
        <v>1023621</v>
      </c>
      <c r="C2954" s="2">
        <v>36735</v>
      </c>
      <c r="D2954" s="2">
        <v>40033</v>
      </c>
      <c r="E2954" s="2">
        <v>37344</v>
      </c>
      <c r="F2954" s="2">
        <v>52449</v>
      </c>
      <c r="G2954" s="2">
        <v>40230</v>
      </c>
    </row>
    <row r="2955" spans="1:7" x14ac:dyDescent="0.2">
      <c r="A2955" t="s" s="0">
        <v>1042</v>
      </c>
      <c r="B2955" s="2">
        <v>965656</v>
      </c>
      <c r="C2955" s="2">
        <v>47269</v>
      </c>
      <c r="D2955" s="2">
        <v>40481</v>
      </c>
      <c r="E2955" s="2">
        <v>37975</v>
      </c>
      <c r="F2955" s="2">
        <v>42008</v>
      </c>
      <c r="G2955" s="2">
        <v>37770</v>
      </c>
    </row>
    <row r="2956" spans="1:7" x14ac:dyDescent="0.2">
      <c r="A2956" t="s" s="0">
        <v>1041</v>
      </c>
      <c r="B2956" s="2">
        <v>958145</v>
      </c>
      <c r="C2956" s="2">
        <v>41435</v>
      </c>
      <c r="D2956" s="2">
        <v>40673</v>
      </c>
      <c r="E2956" s="2">
        <v>38092</v>
      </c>
      <c r="F2956" s="2">
        <v>37695</v>
      </c>
      <c r="G2956" s="2">
        <v>38232</v>
      </c>
    </row>
    <row r="2957" spans="1:7" x14ac:dyDescent="0.2">
      <c r="A2957" t="s" s="0">
        <v>1040</v>
      </c>
      <c r="B2957" s="2">
        <v>982055</v>
      </c>
      <c r="C2957" s="2">
        <v>39046</v>
      </c>
      <c r="D2957" s="2">
        <v>39799</v>
      </c>
      <c r="E2957" s="2">
        <v>38035</v>
      </c>
      <c r="F2957" s="2">
        <v>46689</v>
      </c>
      <c r="G2957" s="2">
        <v>40570</v>
      </c>
    </row>
    <row r="2958" spans="1:7" x14ac:dyDescent="0.2">
      <c r="A2958" t="s" s="0">
        <v>1039</v>
      </c>
      <c r="B2958" s="3">
        <v>982055</v>
      </c>
      <c r="C2958" s="3">
        <v>39046</v>
      </c>
      <c r="D2958" s="3">
        <v>39799</v>
      </c>
      <c r="E2958" s="3">
        <v>38035</v>
      </c>
      <c r="F2958" s="3">
        <v>46689</v>
      </c>
      <c r="G2958" s="3">
        <v>40570</v>
      </c>
    </row>
    <row r="2959" spans="1:7" x14ac:dyDescent="0.2">
      <c r="A2959" t="s" s="0">
        <v>1038</v>
      </c>
      <c r="B2959" s="3">
        <v>982055</v>
      </c>
      <c r="C2959" s="3">
        <v>39046</v>
      </c>
      <c r="D2959" s="3">
        <v>39799</v>
      </c>
      <c r="E2959" s="3">
        <v>38035</v>
      </c>
      <c r="F2959" s="3">
        <v>46689</v>
      </c>
      <c r="G2959" s="3">
        <v>40570</v>
      </c>
    </row>
    <row r="2960" spans="1:7" x14ac:dyDescent="0.2">
      <c r="A2960" t="s" s="0">
        <v>1037</v>
      </c>
      <c r="B2960" s="2">
        <v>1087764</v>
      </c>
      <c r="C2960" s="2">
        <v>22834</v>
      </c>
      <c r="D2960" s="2">
        <v>38710</v>
      </c>
      <c r="E2960" s="2">
        <v>38166</v>
      </c>
      <c r="F2960" s="2">
        <v>42723</v>
      </c>
      <c r="G2960" s="2">
        <v>42718</v>
      </c>
    </row>
    <row r="2961" spans="1:7" x14ac:dyDescent="0.2">
      <c r="A2961" t="s" s="0">
        <v>1036</v>
      </c>
      <c r="B2961" s="2">
        <v>1047247</v>
      </c>
      <c r="C2961" s="2">
        <v>40835</v>
      </c>
      <c r="D2961" s="2">
        <v>39289</v>
      </c>
      <c r="E2961" s="2">
        <v>38141</v>
      </c>
      <c r="F2961" s="2">
        <v>42625</v>
      </c>
      <c r="G2961" s="2">
        <v>42732</v>
      </c>
    </row>
    <row r="2962" spans="1:7" x14ac:dyDescent="0.2">
      <c r="A2962" t="s" s="0">
        <v>1035</v>
      </c>
      <c r="B2962" s="2">
        <v>1092391</v>
      </c>
      <c r="C2962" s="2">
        <v>45930</v>
      </c>
      <c r="D2962" s="2">
        <v>37850</v>
      </c>
      <c r="E2962" s="2">
        <v>38454</v>
      </c>
      <c r="F2962" s="2">
        <v>55916</v>
      </c>
      <c r="G2962" s="2">
        <v>41699</v>
      </c>
    </row>
    <row r="2963" spans="1:7" x14ac:dyDescent="0.2">
      <c r="A2963" t="s" s="0">
        <v>1034</v>
      </c>
      <c r="B2963" s="2">
        <v>1179877</v>
      </c>
      <c r="C2963" s="2">
        <v>45111</v>
      </c>
      <c r="D2963" s="2">
        <v>39159</v>
      </c>
      <c r="E2963" s="2">
        <v>38791</v>
      </c>
      <c r="F2963" s="2">
        <v>70794</v>
      </c>
      <c r="G2963" s="2">
        <v>45952</v>
      </c>
    </row>
    <row r="2964" spans="1:7" x14ac:dyDescent="0.2">
      <c r="A2964" t="s" s="0">
        <v>1033</v>
      </c>
      <c r="B2964" s="2">
        <v>1174708</v>
      </c>
      <c r="C2964" s="2">
        <v>42856</v>
      </c>
      <c r="D2964" s="2">
        <v>39703</v>
      </c>
      <c r="E2964" s="2">
        <v>38919</v>
      </c>
      <c r="F2964" s="2">
        <v>67185</v>
      </c>
      <c r="G2964" s="2">
        <v>46090</v>
      </c>
    </row>
    <row r="2965" spans="1:7" x14ac:dyDescent="0.2">
      <c r="A2965" t="s" s="0">
        <v>1032</v>
      </c>
      <c r="B2965" s="3">
        <v>1174708</v>
      </c>
      <c r="C2965" s="3">
        <v>42856</v>
      </c>
      <c r="D2965" s="3">
        <v>39703</v>
      </c>
      <c r="E2965" s="3">
        <v>38919</v>
      </c>
      <c r="F2965" s="3">
        <v>67185</v>
      </c>
      <c r="G2965" s="3">
        <v>46090</v>
      </c>
    </row>
    <row r="2966" spans="1:7" x14ac:dyDescent="0.2">
      <c r="A2966" t="s" s="0">
        <v>1031</v>
      </c>
      <c r="B2966" s="3">
        <v>1174708</v>
      </c>
      <c r="C2966" s="3">
        <v>42856</v>
      </c>
      <c r="D2966" s="3">
        <v>39703</v>
      </c>
      <c r="E2966" s="3">
        <v>38919</v>
      </c>
      <c r="F2966" s="3">
        <v>67185</v>
      </c>
      <c r="G2966" s="3">
        <v>46090</v>
      </c>
    </row>
    <row r="2967" spans="1:7" x14ac:dyDescent="0.2">
      <c r="A2967" t="s" s="0">
        <v>1030</v>
      </c>
      <c r="B2967" s="2">
        <v>1159258</v>
      </c>
      <c r="C2967" s="2">
        <v>23476</v>
      </c>
      <c r="D2967" s="2">
        <v>41651</v>
      </c>
      <c r="E2967" s="2">
        <v>39371</v>
      </c>
      <c r="F2967" s="2">
        <v>51824</v>
      </c>
      <c r="G2967" s="2">
        <v>44070</v>
      </c>
    </row>
    <row r="2968" spans="1:7" x14ac:dyDescent="0.2">
      <c r="A2968" t="s" s="0">
        <v>1029</v>
      </c>
      <c r="B2968" s="2">
        <v>1115606</v>
      </c>
      <c r="C2968" s="2">
        <v>39359</v>
      </c>
      <c r="D2968" s="2">
        <v>42020</v>
      </c>
      <c r="E2968" s="2">
        <v>39685</v>
      </c>
      <c r="F2968" s="2">
        <v>51755</v>
      </c>
      <c r="G2968" s="2">
        <v>42271</v>
      </c>
    </row>
    <row r="2969" spans="1:7" x14ac:dyDescent="0.2">
      <c r="A2969" t="s" s="0">
        <v>1028</v>
      </c>
      <c r="B2969" s="2">
        <v>1062640</v>
      </c>
      <c r="C2969" s="2">
        <v>45157</v>
      </c>
      <c r="D2969" s="2">
        <v>43025</v>
      </c>
      <c r="E2969" s="2">
        <v>40105</v>
      </c>
      <c r="F2969" s="2">
        <v>38744</v>
      </c>
      <c r="G2969" s="2">
        <v>39592</v>
      </c>
    </row>
    <row r="2970" spans="1:7" x14ac:dyDescent="0.2">
      <c r="A2970" t="s" s="0">
        <v>1027</v>
      </c>
      <c r="B2970" s="2">
        <v>1014033</v>
      </c>
      <c r="C2970" s="2">
        <v>43626</v>
      </c>
      <c r="D2970" s="2">
        <v>41882</v>
      </c>
      <c r="E2970" s="2">
        <v>40146</v>
      </c>
      <c r="F2970" s="2">
        <v>18162</v>
      </c>
      <c r="G2970" s="2">
        <v>40244</v>
      </c>
    </row>
    <row r="2971" spans="1:7" x14ac:dyDescent="0.2">
      <c r="A2971" t="s" s="0">
        <v>1026</v>
      </c>
      <c r="B2971" s="2">
        <v>1109231</v>
      </c>
      <c r="C2971" s="2">
        <v>44800</v>
      </c>
      <c r="D2971" s="2">
        <v>42160</v>
      </c>
      <c r="E2971" s="2">
        <v>40037</v>
      </c>
      <c r="F2971" s="2">
        <v>32777</v>
      </c>
      <c r="G2971" s="2">
        <v>43008</v>
      </c>
    </row>
    <row r="2972" spans="1:7" x14ac:dyDescent="0.2">
      <c r="A2972" t="s" s="0">
        <v>1025</v>
      </c>
      <c r="B2972" s="3">
        <v>1109231</v>
      </c>
      <c r="C2972" s="3">
        <v>44800</v>
      </c>
      <c r="D2972" s="3">
        <v>42160</v>
      </c>
      <c r="E2972" s="3">
        <v>40037</v>
      </c>
      <c r="F2972" s="3">
        <v>32777</v>
      </c>
      <c r="G2972" s="3">
        <v>43008</v>
      </c>
    </row>
    <row r="2973" spans="1:7" x14ac:dyDescent="0.2">
      <c r="A2973" t="s" s="0">
        <v>1024</v>
      </c>
      <c r="B2973" s="3">
        <v>1109231</v>
      </c>
      <c r="C2973" s="3">
        <v>44800</v>
      </c>
      <c r="D2973" s="3">
        <v>42160</v>
      </c>
      <c r="E2973" s="3">
        <v>40037</v>
      </c>
      <c r="F2973" s="3">
        <v>32777</v>
      </c>
      <c r="G2973" s="3">
        <v>43008</v>
      </c>
    </row>
    <row r="2974" spans="1:7" x14ac:dyDescent="0.2">
      <c r="A2974" t="s" s="0">
        <v>1023</v>
      </c>
      <c r="B2974" s="2">
        <v>1085718</v>
      </c>
      <c r="C2974" s="2">
        <v>25090</v>
      </c>
      <c r="D2974" s="2">
        <v>40250</v>
      </c>
      <c r="E2974" s="2">
        <v>40191</v>
      </c>
      <c r="F2974" s="2">
        <v>29715</v>
      </c>
      <c r="G2974" s="2">
        <v>44039</v>
      </c>
    </row>
    <row r="2975" spans="1:7" x14ac:dyDescent="0.2">
      <c r="A2975" t="s" s="0">
        <v>1022</v>
      </c>
      <c r="B2975" s="2">
        <v>1085006</v>
      </c>
      <c r="C2975" s="2">
        <v>36695</v>
      </c>
      <c r="D2975" s="2">
        <v>39889</v>
      </c>
      <c r="E2975" s="2">
        <v>40308</v>
      </c>
      <c r="F2975" s="2">
        <v>35499</v>
      </c>
      <c r="G2975" s="2">
        <v>45582</v>
      </c>
    </row>
    <row r="2976" spans="1:7" x14ac:dyDescent="0.2">
      <c r="A2976" t="s" s="0">
        <v>1021</v>
      </c>
      <c r="B2976" s="2">
        <v>1033945</v>
      </c>
      <c r="C2976" s="2">
        <v>42800</v>
      </c>
      <c r="D2976" s="2">
        <v>39474</v>
      </c>
      <c r="E2976" s="2">
        <v>40208</v>
      </c>
      <c r="F2976" s="2">
        <v>35356</v>
      </c>
      <c r="G2976" s="2">
        <v>43006</v>
      </c>
    </row>
    <row r="2977" spans="1:7" x14ac:dyDescent="0.2">
      <c r="A2977" t="s" s="0">
        <v>1020</v>
      </c>
      <c r="B2977" s="2">
        <v>1033879</v>
      </c>
      <c r="C2977" s="2">
        <v>45032</v>
      </c>
      <c r="D2977" s="2">
        <v>39823</v>
      </c>
      <c r="E2977" s="2">
        <v>40384</v>
      </c>
      <c r="F2977" s="2">
        <v>42639</v>
      </c>
      <c r="G2977" s="2">
        <v>42323</v>
      </c>
    </row>
    <row r="2978" spans="1:7" x14ac:dyDescent="0.2">
      <c r="A2978" t="s" s="0">
        <v>1019</v>
      </c>
      <c r="B2978" s="2">
        <v>1186928</v>
      </c>
      <c r="C2978" s="2">
        <v>49394</v>
      </c>
      <c r="D2978" s="2">
        <v>40479</v>
      </c>
      <c r="E2978" s="2">
        <v>40535</v>
      </c>
      <c r="F2978" s="2">
        <v>51560</v>
      </c>
      <c r="G2978" s="2">
        <v>49553</v>
      </c>
    </row>
    <row r="2979" spans="1:7" x14ac:dyDescent="0.2">
      <c r="A2979" t="s" s="0">
        <v>1018</v>
      </c>
      <c r="B2979" s="3">
        <v>1186928</v>
      </c>
      <c r="C2979" s="3">
        <v>49394</v>
      </c>
      <c r="D2979" s="3">
        <v>40479</v>
      </c>
      <c r="E2979" s="3">
        <v>40535</v>
      </c>
      <c r="F2979" s="3">
        <v>51560</v>
      </c>
      <c r="G2979" s="3">
        <v>49553</v>
      </c>
    </row>
    <row r="2980" spans="1:7" x14ac:dyDescent="0.2">
      <c r="A2980" t="s" s="0">
        <v>1017</v>
      </c>
      <c r="B2980" s="3">
        <v>1186928</v>
      </c>
      <c r="C2980" s="3">
        <v>49394</v>
      </c>
      <c r="D2980" s="3">
        <v>40479</v>
      </c>
      <c r="E2980" s="3">
        <v>40535</v>
      </c>
      <c r="F2980" s="3">
        <v>51560</v>
      </c>
      <c r="G2980" s="3">
        <v>49553</v>
      </c>
    </row>
    <row r="2981" spans="1:7" x14ac:dyDescent="0.2">
      <c r="A2981" t="s" s="0">
        <v>1016</v>
      </c>
      <c r="B2981" s="2">
        <v>1091584</v>
      </c>
      <c r="C2981" s="2">
        <v>24615</v>
      </c>
      <c r="D2981" s="2">
        <v>40857</v>
      </c>
      <c r="E2981" s="2">
        <v>40367</v>
      </c>
      <c r="F2981" s="2">
        <v>41677</v>
      </c>
      <c r="G2981" s="2">
        <v>41485</v>
      </c>
    </row>
    <row r="2982" spans="1:7" x14ac:dyDescent="0.2">
      <c r="A2982" t="s" s="0">
        <v>1015</v>
      </c>
      <c r="B2982" s="2">
        <v>1051221</v>
      </c>
      <c r="C2982" s="2">
        <v>41031</v>
      </c>
      <c r="D2982" s="2">
        <v>40884</v>
      </c>
      <c r="E2982" s="2">
        <v>40520</v>
      </c>
      <c r="F2982" s="2">
        <v>36031</v>
      </c>
      <c r="G2982" s="2">
        <v>41478</v>
      </c>
    </row>
    <row r="2983" spans="1:7" x14ac:dyDescent="0.2">
      <c r="A2983" t="s" s="0">
        <v>1014</v>
      </c>
      <c r="B2983" s="2">
        <v>1001179</v>
      </c>
      <c r="C2983" s="2">
        <v>41213</v>
      </c>
      <c r="D2983" s="2">
        <v>40195</v>
      </c>
      <c r="E2983" s="2">
        <v>40136</v>
      </c>
      <c r="F2983" s="2">
        <v>35487</v>
      </c>
      <c r="G2983" s="2">
        <v>41376</v>
      </c>
    </row>
    <row r="2984" spans="1:7" x14ac:dyDescent="0.2">
      <c r="A2984" t="s" s="0">
        <v>1013</v>
      </c>
      <c r="B2984" s="2">
        <v>987735</v>
      </c>
      <c r="C2984" s="2">
        <v>46557</v>
      </c>
      <c r="D2984" s="2">
        <v>40412</v>
      </c>
      <c r="E2984" s="2">
        <v>40319</v>
      </c>
      <c r="F2984" s="2">
        <v>33776</v>
      </c>
      <c r="G2984" s="2">
        <v>41343</v>
      </c>
    </row>
    <row r="2985" spans="1:7" x14ac:dyDescent="0.2">
      <c r="A2985" t="s" s="0">
        <v>1012</v>
      </c>
      <c r="B2985" s="2">
        <v>1014845</v>
      </c>
      <c r="C2985" s="2">
        <v>48644</v>
      </c>
      <c r="D2985" s="2">
        <v>40304</v>
      </c>
      <c r="E2985" s="2">
        <v>40662</v>
      </c>
      <c r="F2985" s="2">
        <v>15677</v>
      </c>
      <c r="G2985" s="2">
        <v>41800</v>
      </c>
    </row>
    <row r="2986" spans="1:7" x14ac:dyDescent="0.2">
      <c r="A2986" t="s" s="0">
        <v>1011</v>
      </c>
      <c r="B2986" s="3">
        <v>1014845</v>
      </c>
      <c r="C2986" s="3">
        <v>48644</v>
      </c>
      <c r="D2986" s="3">
        <v>40304</v>
      </c>
      <c r="E2986" s="3">
        <v>40662</v>
      </c>
      <c r="F2986" s="3">
        <v>15677</v>
      </c>
      <c r="G2986" s="3">
        <v>41800</v>
      </c>
    </row>
    <row r="2987" spans="1:7" x14ac:dyDescent="0.2">
      <c r="A2987" t="s" s="0">
        <v>1010</v>
      </c>
      <c r="B2987" s="3">
        <v>1014845</v>
      </c>
      <c r="C2987" s="3">
        <v>48644</v>
      </c>
      <c r="D2987" s="3">
        <v>40304</v>
      </c>
      <c r="E2987" s="3">
        <v>40662</v>
      </c>
      <c r="F2987" s="3">
        <v>15677</v>
      </c>
      <c r="G2987" s="3">
        <v>41800</v>
      </c>
    </row>
    <row r="2988" spans="1:7" x14ac:dyDescent="0.2">
      <c r="A2988" t="s" s="0">
        <v>1009</v>
      </c>
      <c r="B2988" s="2">
        <v>959470</v>
      </c>
      <c r="C2988" s="2">
        <v>26564</v>
      </c>
      <c r="D2988" s="2">
        <v>41095</v>
      </c>
      <c r="E2988" s="2">
        <v>40963</v>
      </c>
      <c r="F2988" s="2">
        <v>22178</v>
      </c>
      <c r="G2988" s="2">
        <v>36349</v>
      </c>
    </row>
    <row r="2989" spans="1:7" x14ac:dyDescent="0.2">
      <c r="A2989" t="s" s="0">
        <v>1008</v>
      </c>
      <c r="B2989" s="2">
        <v>922825</v>
      </c>
      <c r="C2989" s="2">
        <v>32644</v>
      </c>
      <c r="D2989" s="2">
        <v>40469</v>
      </c>
      <c r="E2989" s="2">
        <v>40816</v>
      </c>
      <c r="F2989" s="2">
        <v>22109</v>
      </c>
      <c r="G2989" s="2">
        <v>36349</v>
      </c>
    </row>
    <row r="2990" spans="1:7" x14ac:dyDescent="0.2">
      <c r="A2990" t="s" s="0">
        <v>1007</v>
      </c>
      <c r="B2990" s="2">
        <v>870977</v>
      </c>
      <c r="C2990" s="2">
        <v>42817</v>
      </c>
      <c r="D2990" s="2">
        <v>41559</v>
      </c>
      <c r="E2990" s="2">
        <v>41063</v>
      </c>
      <c r="F2990" s="2">
        <v>22796</v>
      </c>
      <c r="G2990" s="2">
        <v>33096</v>
      </c>
    </row>
    <row r="2991" spans="1:7" x14ac:dyDescent="0.2">
      <c r="A2991" t="s" s="0">
        <v>1006</v>
      </c>
      <c r="B2991" s="2">
        <v>824395</v>
      </c>
      <c r="C2991" s="2">
        <v>41585</v>
      </c>
      <c r="D2991" s="2">
        <v>40704</v>
      </c>
      <c r="E2991" s="2">
        <v>40705</v>
      </c>
      <c r="F2991" s="2">
        <v>17224</v>
      </c>
      <c r="G2991" s="2">
        <v>27950</v>
      </c>
    </row>
    <row r="2992" spans="1:7" x14ac:dyDescent="0.2">
      <c r="A2992" t="s" s="0">
        <v>1005</v>
      </c>
      <c r="B2992" s="2">
        <v>887786</v>
      </c>
      <c r="C2992" s="2">
        <v>42525</v>
      </c>
      <c r="D2992" s="2">
        <v>41112</v>
      </c>
      <c r="E2992" s="2">
        <v>41014</v>
      </c>
      <c r="F2992" s="2">
        <v>22815</v>
      </c>
      <c r="G2992" s="2">
        <v>30708</v>
      </c>
    </row>
    <row r="2993" spans="1:7" x14ac:dyDescent="0.2">
      <c r="A2993" t="s" s="0">
        <v>1004</v>
      </c>
      <c r="B2993" s="3">
        <v>887786</v>
      </c>
      <c r="C2993" s="3">
        <v>42525</v>
      </c>
      <c r="D2993" s="3">
        <v>41112</v>
      </c>
      <c r="E2993" s="3">
        <v>41014</v>
      </c>
      <c r="F2993" s="3">
        <v>22815</v>
      </c>
      <c r="G2993" s="3">
        <v>30708</v>
      </c>
    </row>
    <row r="2994" spans="1:7" x14ac:dyDescent="0.2">
      <c r="A2994" t="s" s="0">
        <v>1003</v>
      </c>
      <c r="B2994" s="3">
        <v>887786</v>
      </c>
      <c r="C2994" s="3">
        <v>42525</v>
      </c>
      <c r="D2994" s="3">
        <v>41112</v>
      </c>
      <c r="E2994" s="3">
        <v>41014</v>
      </c>
      <c r="F2994" s="3">
        <v>22815</v>
      </c>
      <c r="G2994" s="3">
        <v>30708</v>
      </c>
    </row>
    <row r="2995" spans="1:7" x14ac:dyDescent="0.2">
      <c r="A2995" t="s" s="0">
        <v>1002</v>
      </c>
      <c r="B2995" s="2">
        <v>918599</v>
      </c>
      <c r="C2995" s="2">
        <v>17952</v>
      </c>
      <c r="D2995" s="2">
        <v>39109</v>
      </c>
      <c r="E2995" s="2">
        <v>40328</v>
      </c>
      <c r="F2995" s="2">
        <v>33125</v>
      </c>
      <c r="G2995" s="2">
        <v>31674</v>
      </c>
    </row>
    <row r="2996" spans="1:7" x14ac:dyDescent="0.2">
      <c r="A2996" t="s" s="0">
        <v>1001</v>
      </c>
      <c r="B2996" s="2">
        <v>888454</v>
      </c>
      <c r="C2996" s="2">
        <v>32059</v>
      </c>
      <c r="D2996" s="2">
        <v>38454</v>
      </c>
      <c r="E2996" s="2">
        <v>39924</v>
      </c>
      <c r="F2996" s="2">
        <v>33120</v>
      </c>
      <c r="G2996" s="2">
        <v>31690</v>
      </c>
    </row>
    <row r="2997" spans="1:7" x14ac:dyDescent="0.2">
      <c r="A2997" t="s" s="0">
        <v>1000</v>
      </c>
      <c r="B2997" s="2">
        <v>886982</v>
      </c>
      <c r="C2997" s="2">
        <v>39204</v>
      </c>
      <c r="D2997" s="2">
        <v>36826</v>
      </c>
      <c r="E2997" s="2">
        <v>39514</v>
      </c>
      <c r="F2997" s="2">
        <v>38835</v>
      </c>
      <c r="G2997" s="2">
        <v>33119</v>
      </c>
    </row>
    <row r="2998" spans="1:7" x14ac:dyDescent="0.2">
      <c r="A2998" t="s" s="0">
        <v>999</v>
      </c>
      <c r="B2998" s="2">
        <v>931180</v>
      </c>
      <c r="C2998" s="2">
        <v>40491</v>
      </c>
      <c r="D2998" s="2">
        <v>37413</v>
      </c>
      <c r="E2998" s="2">
        <v>39588</v>
      </c>
      <c r="F2998" s="2">
        <v>52391</v>
      </c>
      <c r="G2998" s="2">
        <v>36508</v>
      </c>
    </row>
    <row r="2999" spans="1:7" x14ac:dyDescent="0.2">
      <c r="A2999" t="s" s="0">
        <v>998</v>
      </c>
      <c r="B2999" s="2">
        <v>921308</v>
      </c>
      <c r="C2999" s="2">
        <v>36925</v>
      </c>
      <c r="D2999" s="2">
        <v>35331</v>
      </c>
      <c r="E2999" s="2">
        <v>39307</v>
      </c>
      <c r="F2999" s="2">
        <v>38773</v>
      </c>
      <c r="G2999" s="2">
        <v>32206</v>
      </c>
    </row>
    <row r="3000" spans="1:7" x14ac:dyDescent="0.2">
      <c r="A3000" t="s" s="0">
        <v>997</v>
      </c>
      <c r="B3000" s="3">
        <v>921308</v>
      </c>
      <c r="C3000" s="3">
        <v>36925</v>
      </c>
      <c r="D3000" s="3">
        <v>35331</v>
      </c>
      <c r="E3000" s="3">
        <v>39307</v>
      </c>
      <c r="F3000" s="3">
        <v>38773</v>
      </c>
      <c r="G3000" s="3">
        <v>32206</v>
      </c>
    </row>
    <row r="3001" spans="1:7" x14ac:dyDescent="0.2">
      <c r="A3001" t="s" s="0">
        <v>996</v>
      </c>
      <c r="B3001" s="3">
        <v>921308</v>
      </c>
      <c r="C3001" s="3">
        <v>36925</v>
      </c>
      <c r="D3001" s="3">
        <v>35331</v>
      </c>
      <c r="E3001" s="3">
        <v>39307</v>
      </c>
      <c r="F3001" s="3">
        <v>38773</v>
      </c>
      <c r="G3001" s="3">
        <v>32206</v>
      </c>
    </row>
    <row r="3002" spans="1:7" x14ac:dyDescent="0.2">
      <c r="A3002" t="s" s="0">
        <v>995</v>
      </c>
      <c r="B3002" s="2">
        <v>892919</v>
      </c>
      <c r="C3002" s="2">
        <v>20060</v>
      </c>
      <c r="D3002" s="2">
        <v>37791</v>
      </c>
      <c r="E3002" s="2">
        <v>39713</v>
      </c>
      <c r="F3002" s="2">
        <v>32776</v>
      </c>
      <c r="G3002" s="2">
        <v>32439</v>
      </c>
    </row>
    <row r="3003" spans="1:7" x14ac:dyDescent="0.2">
      <c r="A3003" t="s" s="0">
        <v>994</v>
      </c>
      <c r="B3003" s="2">
        <v>871670</v>
      </c>
      <c r="C3003" s="2">
        <v>34421</v>
      </c>
      <c r="D3003" s="2">
        <v>38701</v>
      </c>
      <c r="E3003" s="2">
        <v>39627</v>
      </c>
      <c r="F3003" s="2">
        <v>34211</v>
      </c>
      <c r="G3003" s="2">
        <v>31368</v>
      </c>
    </row>
    <row r="3004" spans="1:7" x14ac:dyDescent="0.2">
      <c r="A3004" t="s" s="0">
        <v>993</v>
      </c>
      <c r="B3004" s="2">
        <v>905281</v>
      </c>
      <c r="C3004" s="2">
        <v>36404</v>
      </c>
      <c r="D3004" s="2">
        <v>37977</v>
      </c>
      <c r="E3004" s="2">
        <v>39139</v>
      </c>
      <c r="F3004" s="2">
        <v>38498</v>
      </c>
      <c r="G3004" s="2">
        <v>33904</v>
      </c>
    </row>
    <row r="3005" spans="1:7" x14ac:dyDescent="0.2">
      <c r="A3005" t="s" s="0">
        <v>992</v>
      </c>
      <c r="B3005" s="2">
        <v>960718</v>
      </c>
      <c r="C3005" s="2">
        <v>40551</v>
      </c>
      <c r="D3005" s="2">
        <v>37243</v>
      </c>
      <c r="E3005" s="2">
        <v>38943</v>
      </c>
      <c r="F3005" s="2">
        <v>39370</v>
      </c>
      <c r="G3005" s="2">
        <v>35690</v>
      </c>
    </row>
    <row r="3006" spans="1:7" x14ac:dyDescent="0.2">
      <c r="A3006" t="s" s="0">
        <v>991</v>
      </c>
      <c r="B3006" s="2">
        <v>984947</v>
      </c>
      <c r="C3006" s="2">
        <v>37716</v>
      </c>
      <c r="D3006" s="2">
        <v>37356</v>
      </c>
      <c r="E3006" s="2">
        <v>38526</v>
      </c>
      <c r="F3006" s="2">
        <v>45138</v>
      </c>
      <c r="G3006" s="2">
        <v>30601</v>
      </c>
    </row>
    <row r="3007" spans="1:7" x14ac:dyDescent="0.2">
      <c r="A3007" t="s" s="0">
        <v>990</v>
      </c>
      <c r="B3007" s="3">
        <v>984947</v>
      </c>
      <c r="C3007" s="3">
        <v>37716</v>
      </c>
      <c r="D3007" s="3">
        <v>37356</v>
      </c>
      <c r="E3007" s="3">
        <v>38526</v>
      </c>
      <c r="F3007" s="3">
        <v>45138</v>
      </c>
      <c r="G3007" s="3">
        <v>30601</v>
      </c>
    </row>
    <row r="3008" spans="1:7" x14ac:dyDescent="0.2">
      <c r="A3008" t="s" s="0">
        <v>989</v>
      </c>
      <c r="B3008" s="3">
        <v>984947</v>
      </c>
      <c r="C3008" s="3">
        <v>37716</v>
      </c>
      <c r="D3008" s="3">
        <v>37356</v>
      </c>
      <c r="E3008" s="3">
        <v>38526</v>
      </c>
      <c r="F3008" s="3">
        <v>45138</v>
      </c>
      <c r="G3008" s="3">
        <v>30601</v>
      </c>
    </row>
    <row r="3009" spans="1:7" x14ac:dyDescent="0.2">
      <c r="A3009" t="s" s="0">
        <v>988</v>
      </c>
      <c r="B3009" s="2">
        <v>1162303</v>
      </c>
      <c r="C3009" s="2">
        <v>20904</v>
      </c>
      <c r="D3009" s="2">
        <v>33794</v>
      </c>
      <c r="E3009" s="2">
        <v>37947</v>
      </c>
      <c r="F3009" s="2">
        <v>70969</v>
      </c>
      <c r="G3009" s="2">
        <v>39762</v>
      </c>
    </row>
    <row r="3010" spans="1:7" x14ac:dyDescent="0.2">
      <c r="A3010" t="s" s="0">
        <v>987</v>
      </c>
      <c r="B3010" s="2">
        <v>1130810</v>
      </c>
      <c r="C3010" s="2">
        <v>35887</v>
      </c>
      <c r="D3010" s="2">
        <v>34006</v>
      </c>
      <c r="E3010" s="2">
        <v>37907</v>
      </c>
      <c r="F3010" s="2">
        <v>69538</v>
      </c>
      <c r="G3010" s="2">
        <v>39745</v>
      </c>
    </row>
    <row r="3011" spans="1:7" x14ac:dyDescent="0.2">
      <c r="A3011" t="s" s="0">
        <v>986</v>
      </c>
      <c r="B3011" s="2">
        <v>1084230</v>
      </c>
      <c r="C3011" s="2">
        <v>41994</v>
      </c>
      <c r="D3011" s="2">
        <v>35460</v>
      </c>
      <c r="E3011" s="2">
        <v>37955</v>
      </c>
      <c r="F3011" s="2">
        <v>59536</v>
      </c>
      <c r="G3011" s="2">
        <v>39916</v>
      </c>
    </row>
    <row r="3012" spans="1:7" x14ac:dyDescent="0.2">
      <c r="A3012" t="s" s="0">
        <v>985</v>
      </c>
      <c r="B3012" s="2">
        <v>1051167</v>
      </c>
      <c r="C3012" s="2">
        <v>38911</v>
      </c>
      <c r="D3012" s="2">
        <v>35665</v>
      </c>
      <c r="E3012" s="2">
        <v>37756</v>
      </c>
      <c r="F3012" s="2">
        <v>47098</v>
      </c>
      <c r="G3012" s="2">
        <v>39021</v>
      </c>
    </row>
    <row r="3013" spans="1:7" x14ac:dyDescent="0.2">
      <c r="A3013" t="s" s="0">
        <v>984</v>
      </c>
      <c r="B3013" s="2">
        <v>1028028</v>
      </c>
      <c r="C3013" s="2">
        <v>40911</v>
      </c>
      <c r="D3013" s="2">
        <v>36374</v>
      </c>
      <c r="E3013" s="2">
        <v>37543</v>
      </c>
      <c r="F3013" s="2">
        <v>41220</v>
      </c>
      <c r="G3013" s="2">
        <v>36987</v>
      </c>
    </row>
    <row r="3014" spans="1:7" x14ac:dyDescent="0.2">
      <c r="A3014" t="s" s="0">
        <v>983</v>
      </c>
      <c r="B3014" s="3">
        <v>1028028</v>
      </c>
      <c r="C3014" s="3">
        <v>40911</v>
      </c>
      <c r="D3014" s="3">
        <v>36374</v>
      </c>
      <c r="E3014" s="3">
        <v>37543</v>
      </c>
      <c r="F3014" s="3">
        <v>41220</v>
      </c>
      <c r="G3014" s="3">
        <v>36987</v>
      </c>
    </row>
    <row r="3015" spans="1:7" x14ac:dyDescent="0.2">
      <c r="A3015" t="s" s="0">
        <v>982</v>
      </c>
      <c r="B3015" s="3">
        <v>1028028</v>
      </c>
      <c r="C3015" s="3">
        <v>40911</v>
      </c>
      <c r="D3015" s="3">
        <v>36374</v>
      </c>
      <c r="E3015" s="3">
        <v>37543</v>
      </c>
      <c r="F3015" s="3">
        <v>41220</v>
      </c>
      <c r="G3015" s="3">
        <v>36987</v>
      </c>
    </row>
    <row r="3016" spans="1:7" x14ac:dyDescent="0.2">
      <c r="A3016" t="s" s="0">
        <v>981</v>
      </c>
      <c r="B3016" s="2">
        <v>1043587</v>
      </c>
      <c r="C3016" s="2">
        <v>20431</v>
      </c>
      <c r="D3016" s="2">
        <v>41715</v>
      </c>
      <c r="E3016" s="2">
        <v>38102</v>
      </c>
      <c r="F3016" s="2">
        <v>23365</v>
      </c>
      <c r="G3016" s="2">
        <v>40059</v>
      </c>
    </row>
    <row r="3017" spans="1:7" x14ac:dyDescent="0.2">
      <c r="A3017" t="s" s="0">
        <v>980</v>
      </c>
      <c r="B3017" s="2">
        <v>1059684</v>
      </c>
      <c r="C3017" s="2">
        <v>34324</v>
      </c>
      <c r="D3017" s="2">
        <v>42486</v>
      </c>
      <c r="E3017" s="2">
        <v>38412</v>
      </c>
      <c r="F3017" s="2">
        <v>31313</v>
      </c>
      <c r="G3017" s="2">
        <v>42046</v>
      </c>
    </row>
    <row r="3018" spans="1:7" x14ac:dyDescent="0.2">
      <c r="A3018" t="s" s="0">
        <v>979</v>
      </c>
      <c r="B3018" s="2">
        <v>1028234</v>
      </c>
      <c r="C3018" s="2">
        <v>38937</v>
      </c>
      <c r="D3018" s="2">
        <v>41394</v>
      </c>
      <c r="E3018" s="2">
        <v>37914</v>
      </c>
      <c r="F3018" s="2">
        <v>32382</v>
      </c>
      <c r="G3018" s="2">
        <v>42313</v>
      </c>
    </row>
    <row r="3019" spans="1:7" x14ac:dyDescent="0.2">
      <c r="A3019" t="s" s="0">
        <v>978</v>
      </c>
      <c r="B3019" s="2">
        <v>1014698</v>
      </c>
      <c r="C3019" s="2">
        <v>38545</v>
      </c>
      <c r="D3019" s="2">
        <v>40187</v>
      </c>
      <c r="E3019" s="2">
        <v>37627</v>
      </c>
      <c r="F3019" s="2">
        <v>33965</v>
      </c>
      <c r="G3019" s="2">
        <v>43206</v>
      </c>
    </row>
    <row r="3020" spans="1:7" x14ac:dyDescent="0.2">
      <c r="A3020" t="s" s="0">
        <v>977</v>
      </c>
      <c r="B3020" s="2">
        <v>1014290</v>
      </c>
      <c r="C3020" s="2">
        <v>44575</v>
      </c>
      <c r="D3020" s="2">
        <v>40458</v>
      </c>
      <c r="E3020" s="2">
        <v>37380</v>
      </c>
      <c r="F3020" s="2">
        <v>36268</v>
      </c>
      <c r="G3020" s="2">
        <v>40350</v>
      </c>
    </row>
    <row r="3021" spans="1:7" x14ac:dyDescent="0.2">
      <c r="A3021" t="s" s="0">
        <v>976</v>
      </c>
      <c r="B3021" s="3">
        <v>1014290</v>
      </c>
      <c r="C3021" s="3">
        <v>44575</v>
      </c>
      <c r="D3021" s="3">
        <v>40458</v>
      </c>
      <c r="E3021" s="3">
        <v>37380</v>
      </c>
      <c r="F3021" s="3">
        <v>36268</v>
      </c>
      <c r="G3021" s="3">
        <v>40350</v>
      </c>
    </row>
    <row r="3022" spans="1:7" x14ac:dyDescent="0.2">
      <c r="A3022" t="s" s="0">
        <v>975</v>
      </c>
      <c r="B3022" s="3">
        <v>1014290</v>
      </c>
      <c r="C3022" s="3">
        <v>44575</v>
      </c>
      <c r="D3022" s="3">
        <v>40458</v>
      </c>
      <c r="E3022" s="3">
        <v>37380</v>
      </c>
      <c r="F3022" s="3">
        <v>36268</v>
      </c>
      <c r="G3022" s="3">
        <v>40350</v>
      </c>
    </row>
    <row r="3023" spans="1:7" x14ac:dyDescent="0.2">
      <c r="A3023" t="s" s="0">
        <v>974</v>
      </c>
      <c r="B3023" s="2">
        <v>1000343</v>
      </c>
      <c r="C3023" s="2">
        <v>23218</v>
      </c>
      <c r="D3023" s="2">
        <v>37844</v>
      </c>
      <c r="E3023" s="2">
        <v>37786</v>
      </c>
      <c r="F3023" s="2">
        <v>29521</v>
      </c>
      <c r="G3023" s="2">
        <v>39158</v>
      </c>
    </row>
    <row r="3024" spans="1:7" x14ac:dyDescent="0.2">
      <c r="A3024" t="s" s="0">
        <v>973</v>
      </c>
      <c r="B3024" s="2">
        <v>1039988</v>
      </c>
      <c r="C3024" s="2">
        <v>33127</v>
      </c>
      <c r="D3024" s="2">
        <v>36818</v>
      </c>
      <c r="E3024" s="2">
        <v>38002</v>
      </c>
      <c r="F3024" s="2">
        <v>31573</v>
      </c>
      <c r="G3024" s="2">
        <v>41659</v>
      </c>
    </row>
    <row r="3025" spans="1:7" x14ac:dyDescent="0.2">
      <c r="A3025" t="s" s="0">
        <v>972</v>
      </c>
      <c r="B3025" s="2">
        <v>999731</v>
      </c>
      <c r="C3025" s="2">
        <v>40257</v>
      </c>
      <c r="D3025" s="2">
        <v>37006</v>
      </c>
      <c r="E3025" s="2">
        <v>37959</v>
      </c>
      <c r="F3025" s="2">
        <v>30503</v>
      </c>
      <c r="G3025" s="2">
        <v>40230</v>
      </c>
    </row>
    <row r="3026" spans="1:7" x14ac:dyDescent="0.2">
      <c r="A3026" t="s" s="0">
        <v>971</v>
      </c>
      <c r="B3026" s="2">
        <v>925535</v>
      </c>
      <c r="C3026" s="2">
        <v>38778</v>
      </c>
      <c r="D3026" s="2">
        <v>42801</v>
      </c>
      <c r="E3026" s="2">
        <v>38974</v>
      </c>
      <c r="F3026" s="2">
        <v>27632</v>
      </c>
      <c r="G3026" s="2">
        <v>37016</v>
      </c>
    </row>
    <row r="3027" spans="1:7" x14ac:dyDescent="0.2">
      <c r="A3027" t="s" s="0">
        <v>970</v>
      </c>
      <c r="B3027" s="2">
        <v>1023679</v>
      </c>
      <c r="C3027" s="2">
        <v>42199</v>
      </c>
      <c r="D3027" s="2">
        <v>42461</v>
      </c>
      <c r="E3027" s="2">
        <v>39162</v>
      </c>
      <c r="F3027" s="2">
        <v>42583</v>
      </c>
      <c r="G3027" s="2">
        <v>41302</v>
      </c>
    </row>
    <row r="3028" spans="1:7" x14ac:dyDescent="0.2">
      <c r="A3028" t="s" s="0">
        <v>969</v>
      </c>
      <c r="B3028" s="3">
        <v>1023679</v>
      </c>
      <c r="C3028" s="3">
        <v>42199</v>
      </c>
      <c r="D3028" s="3">
        <v>42461</v>
      </c>
      <c r="E3028" s="3">
        <v>39162</v>
      </c>
      <c r="F3028" s="3">
        <v>42583</v>
      </c>
      <c r="G3028" s="3">
        <v>41302</v>
      </c>
    </row>
    <row r="3029" spans="1:7" x14ac:dyDescent="0.2">
      <c r="A3029" t="s" s="0">
        <v>968</v>
      </c>
      <c r="B3029" s="3">
        <v>1023679</v>
      </c>
      <c r="C3029" s="3">
        <v>42199</v>
      </c>
      <c r="D3029" s="3">
        <v>42461</v>
      </c>
      <c r="E3029" s="3">
        <v>39162</v>
      </c>
      <c r="F3029" s="3">
        <v>42583</v>
      </c>
      <c r="G3029" s="3">
        <v>41302</v>
      </c>
    </row>
    <row r="3030" spans="1:7" x14ac:dyDescent="0.2">
      <c r="A3030" t="s" s="0">
        <v>967</v>
      </c>
      <c r="B3030" s="2">
        <v>1019997</v>
      </c>
      <c r="C3030" s="2">
        <v>22631</v>
      </c>
      <c r="D3030" s="2">
        <v>41167</v>
      </c>
      <c r="E3030" s="2">
        <v>38630</v>
      </c>
      <c r="F3030" s="2">
        <v>42755</v>
      </c>
      <c r="G3030" s="2">
        <v>41652</v>
      </c>
    </row>
    <row r="3031" spans="1:7" x14ac:dyDescent="0.2">
      <c r="A3031" t="s" s="0">
        <v>966</v>
      </c>
      <c r="B3031" s="2">
        <v>997965</v>
      </c>
      <c r="C3031" s="2">
        <v>34315</v>
      </c>
      <c r="D3031" s="2">
        <v>40623</v>
      </c>
      <c r="E3031" s="2">
        <v>38483</v>
      </c>
      <c r="F3031" s="2">
        <v>34203</v>
      </c>
      <c r="G3031" s="2">
        <v>41657</v>
      </c>
    </row>
    <row r="3032" spans="1:7" x14ac:dyDescent="0.2">
      <c r="A3032" t="s" s="0">
        <v>965</v>
      </c>
      <c r="B3032" s="2">
        <v>1027883</v>
      </c>
      <c r="C3032" s="2">
        <v>37076</v>
      </c>
      <c r="D3032" s="2">
        <v>40884</v>
      </c>
      <c r="E3032" s="2">
        <v>38686</v>
      </c>
      <c r="F3032" s="2">
        <v>44489</v>
      </c>
      <c r="G3032" s="2">
        <v>41728</v>
      </c>
    </row>
    <row r="3033" spans="1:7" x14ac:dyDescent="0.2">
      <c r="A3033" t="s" s="0">
        <v>964</v>
      </c>
      <c r="B3033" s="2">
        <v>1041897</v>
      </c>
      <c r="C3033" s="2">
        <v>41769</v>
      </c>
      <c r="D3033" s="2">
        <v>35550</v>
      </c>
      <c r="E3033" s="2">
        <v>38551</v>
      </c>
      <c r="F3033" s="2">
        <v>51756</v>
      </c>
      <c r="G3033" s="2">
        <v>40113</v>
      </c>
    </row>
    <row r="3034" spans="1:7" x14ac:dyDescent="0.2">
      <c r="A3034" t="s" s="0">
        <v>963</v>
      </c>
      <c r="B3034" s="2">
        <v>1003463</v>
      </c>
      <c r="C3034" s="2">
        <v>39223</v>
      </c>
      <c r="D3034" s="2">
        <v>35125</v>
      </c>
      <c r="E3034" s="2">
        <v>38605</v>
      </c>
      <c r="F3034" s="2">
        <v>31805</v>
      </c>
      <c r="G3034" s="2">
        <v>37969</v>
      </c>
    </row>
    <row r="3035" spans="1:7" x14ac:dyDescent="0.2">
      <c r="A3035" t="s" s="0">
        <v>962</v>
      </c>
      <c r="B3035" s="3">
        <v>1003463</v>
      </c>
      <c r="C3035" s="3">
        <v>39223</v>
      </c>
      <c r="D3035" s="3">
        <v>35125</v>
      </c>
      <c r="E3035" s="3">
        <v>38605</v>
      </c>
      <c r="F3035" s="3">
        <v>31805</v>
      </c>
      <c r="G3035" s="3">
        <v>37969</v>
      </c>
    </row>
    <row r="3036" spans="1:7" x14ac:dyDescent="0.2">
      <c r="A3036" t="s" s="0">
        <v>961</v>
      </c>
      <c r="B3036" s="3">
        <v>1003463</v>
      </c>
      <c r="C3036" s="3">
        <v>39223</v>
      </c>
      <c r="D3036" s="3">
        <v>35125</v>
      </c>
      <c r="E3036" s="3">
        <v>38605</v>
      </c>
      <c r="F3036" s="3">
        <v>31805</v>
      </c>
      <c r="G3036" s="3">
        <v>37969</v>
      </c>
    </row>
    <row r="3037" spans="1:7" x14ac:dyDescent="0.2">
      <c r="A3037" t="s" s="0">
        <v>960</v>
      </c>
      <c r="B3037" s="2">
        <v>1017873</v>
      </c>
      <c r="C3037" s="2">
        <v>23260</v>
      </c>
      <c r="D3037" s="2">
        <v>36134</v>
      </c>
      <c r="E3037" s="2">
        <v>39215</v>
      </c>
      <c r="F3037" s="2">
        <v>35399</v>
      </c>
      <c r="G3037" s="2">
        <v>32760</v>
      </c>
    </row>
    <row r="3038" spans="1:7" x14ac:dyDescent="0.2">
      <c r="A3038" t="s" s="0">
        <v>959</v>
      </c>
      <c r="B3038" s="2">
        <v>1116625</v>
      </c>
      <c r="C3038" s="2">
        <v>36589</v>
      </c>
      <c r="D3038" s="2">
        <v>37176</v>
      </c>
      <c r="E3038" s="2">
        <v>39276</v>
      </c>
      <c r="F3038" s="2">
        <v>53226</v>
      </c>
      <c r="G3038" s="2">
        <v>37579</v>
      </c>
    </row>
    <row r="3039" spans="1:7" x14ac:dyDescent="0.2">
      <c r="A3039" t="s" s="0">
        <v>958</v>
      </c>
      <c r="B3039" s="2">
        <v>1064548</v>
      </c>
      <c r="C3039" s="2">
        <v>42282</v>
      </c>
      <c r="D3039" s="2">
        <v>37922</v>
      </c>
      <c r="E3039" s="2">
        <v>39301</v>
      </c>
      <c r="F3039" s="2">
        <v>42257</v>
      </c>
      <c r="G3039" s="2">
        <v>37408</v>
      </c>
    </row>
    <row r="3040" spans="1:7" x14ac:dyDescent="0.2">
      <c r="A3040" t="s" s="0">
        <v>957</v>
      </c>
      <c r="B3040" s="2">
        <v>1084726</v>
      </c>
      <c r="C3040" s="2">
        <v>40861</v>
      </c>
      <c r="D3040" s="2">
        <v>38506</v>
      </c>
      <c r="E3040" s="2">
        <v>39261</v>
      </c>
      <c r="F3040" s="2">
        <v>43722</v>
      </c>
      <c r="G3040" s="2">
        <v>39269</v>
      </c>
    </row>
    <row r="3041" spans="1:7" x14ac:dyDescent="0.2">
      <c r="A3041" t="s" s="0">
        <v>956</v>
      </c>
      <c r="B3041" s="2">
        <v>1074257</v>
      </c>
      <c r="C3041" s="2">
        <v>43811</v>
      </c>
      <c r="D3041" s="2">
        <v>40523</v>
      </c>
      <c r="E3041" s="2">
        <v>39642</v>
      </c>
      <c r="F3041" s="2">
        <v>49470</v>
      </c>
      <c r="G3041" s="2">
        <v>40032</v>
      </c>
    </row>
    <row r="3042" spans="1:7" x14ac:dyDescent="0.2">
      <c r="A3042" t="s" s="0">
        <v>955</v>
      </c>
      <c r="B3042" s="3">
        <v>1074257</v>
      </c>
      <c r="C3042" s="3">
        <v>43811</v>
      </c>
      <c r="D3042" s="3">
        <v>40523</v>
      </c>
      <c r="E3042" s="3">
        <v>39642</v>
      </c>
      <c r="F3042" s="3">
        <v>49470</v>
      </c>
      <c r="G3042" s="3">
        <v>40032</v>
      </c>
    </row>
    <row r="3043" spans="1:7" x14ac:dyDescent="0.2">
      <c r="A3043" t="s" s="0">
        <v>954</v>
      </c>
      <c r="B3043" s="3">
        <v>1074257</v>
      </c>
      <c r="C3043" s="3">
        <v>43811</v>
      </c>
      <c r="D3043" s="3">
        <v>40523</v>
      </c>
      <c r="E3043" s="3">
        <v>39642</v>
      </c>
      <c r="F3043" s="3">
        <v>49470</v>
      </c>
      <c r="G3043" s="3">
        <v>40032</v>
      </c>
    </row>
    <row r="3044" spans="1:7" x14ac:dyDescent="0.2">
      <c r="A3044" t="s" s="0">
        <v>953</v>
      </c>
      <c r="B3044" s="2">
        <v>1051496</v>
      </c>
      <c r="C3044" s="2">
        <v>22545</v>
      </c>
      <c r="D3044" s="2">
        <v>40132</v>
      </c>
      <c r="E3044" s="2">
        <v>38819</v>
      </c>
      <c r="F3044" s="2">
        <v>43769</v>
      </c>
      <c r="G3044" s="2">
        <v>37861</v>
      </c>
    </row>
    <row r="3045" spans="1:7" x14ac:dyDescent="0.2">
      <c r="A3045" t="s" s="0">
        <v>952</v>
      </c>
      <c r="B3045" s="2">
        <v>1168274</v>
      </c>
      <c r="C3045" s="2">
        <v>32972</v>
      </c>
      <c r="D3045" s="2">
        <v>39612</v>
      </c>
      <c r="E3045" s="2">
        <v>38557</v>
      </c>
      <c r="F3045" s="2">
        <v>45490</v>
      </c>
      <c r="G3045" s="2">
        <v>41123</v>
      </c>
    </row>
    <row r="3046" spans="1:7" x14ac:dyDescent="0.2">
      <c r="A3046" t="s" s="0">
        <v>951</v>
      </c>
      <c r="B3046" s="2">
        <v>1128846</v>
      </c>
      <c r="C3046" s="2">
        <v>39057</v>
      </c>
      <c r="D3046" s="2">
        <v>38435</v>
      </c>
      <c r="E3046" s="2">
        <v>38562</v>
      </c>
      <c r="F3046" s="2">
        <v>46119</v>
      </c>
      <c r="G3046" s="2">
        <v>40842</v>
      </c>
    </row>
    <row r="3047" spans="1:7" x14ac:dyDescent="0.2">
      <c r="A3047" t="s" s="0">
        <v>950</v>
      </c>
      <c r="B3047" s="2">
        <v>1138162</v>
      </c>
      <c r="C3047" s="2">
        <v>36243</v>
      </c>
      <c r="D3047" s="2">
        <v>37775</v>
      </c>
      <c r="E3047" s="2">
        <v>38658</v>
      </c>
      <c r="F3047" s="2">
        <v>43908</v>
      </c>
      <c r="G3047" s="2">
        <v>41755</v>
      </c>
    </row>
    <row r="3048" spans="1:7" x14ac:dyDescent="0.2">
      <c r="A3048" t="s" s="0">
        <v>949</v>
      </c>
      <c r="B3048" s="2">
        <v>1136911</v>
      </c>
      <c r="C3048" s="2">
        <v>34042</v>
      </c>
      <c r="D3048" s="2">
        <v>35018</v>
      </c>
      <c r="E3048" s="2">
        <v>38282</v>
      </c>
      <c r="F3048" s="2">
        <v>42453</v>
      </c>
      <c r="G3048" s="2">
        <v>41578</v>
      </c>
    </row>
    <row r="3049" spans="1:7" x14ac:dyDescent="0.2">
      <c r="A3049" t="s" s="0">
        <v>948</v>
      </c>
      <c r="B3049" s="3">
        <v>1136911</v>
      </c>
      <c r="C3049" s="3">
        <v>34042</v>
      </c>
      <c r="D3049" s="3">
        <v>35018</v>
      </c>
      <c r="E3049" s="3">
        <v>38282</v>
      </c>
      <c r="F3049" s="3">
        <v>42453</v>
      </c>
      <c r="G3049" s="3">
        <v>41578</v>
      </c>
    </row>
    <row r="3050" spans="1:7" x14ac:dyDescent="0.2">
      <c r="A3050" t="s" s="0">
        <v>947</v>
      </c>
      <c r="B3050" s="3">
        <v>1136911</v>
      </c>
      <c r="C3050" s="3">
        <v>34042</v>
      </c>
      <c r="D3050" s="3">
        <v>35018</v>
      </c>
      <c r="E3050" s="3">
        <v>38282</v>
      </c>
      <c r="F3050" s="3">
        <v>42453</v>
      </c>
      <c r="G3050" s="3">
        <v>41578</v>
      </c>
    </row>
    <row r="3051" spans="1:7" x14ac:dyDescent="0.2">
      <c r="A3051" t="s" s="0">
        <v>946</v>
      </c>
      <c r="B3051" s="2">
        <v>1161829</v>
      </c>
      <c r="C3051" s="2">
        <v>23666</v>
      </c>
      <c r="D3051" s="2">
        <v>35234</v>
      </c>
      <c r="E3051" s="2">
        <v>38167</v>
      </c>
      <c r="F3051" s="2">
        <v>49480</v>
      </c>
      <c r="G3051" s="2">
        <v>42851</v>
      </c>
    </row>
    <row r="3052" spans="1:7" x14ac:dyDescent="0.2">
      <c r="A3052" t="s" s="0">
        <v>945</v>
      </c>
      <c r="B3052" s="2">
        <v>1188224</v>
      </c>
      <c r="C3052" s="2">
        <v>35321</v>
      </c>
      <c r="D3052" s="2">
        <v>37003</v>
      </c>
      <c r="E3052" s="2">
        <v>38604</v>
      </c>
      <c r="F3052" s="2">
        <v>37770</v>
      </c>
      <c r="G3052" s="2">
        <v>42672</v>
      </c>
    </row>
    <row r="3053" spans="1:7" x14ac:dyDescent="0.2">
      <c r="A3053" t="s" s="0">
        <v>944</v>
      </c>
      <c r="B3053" s="2">
        <v>1153592</v>
      </c>
      <c r="C3053" s="2">
        <v>34640</v>
      </c>
      <c r="D3053" s="2">
        <v>36372</v>
      </c>
      <c r="E3053" s="2">
        <v>38403</v>
      </c>
      <c r="F3053" s="2">
        <v>37823</v>
      </c>
      <c r="G3053" s="2">
        <v>42672</v>
      </c>
    </row>
    <row r="3054" spans="1:7" x14ac:dyDescent="0.2">
      <c r="A3054" t="s" s="0">
        <v>943</v>
      </c>
      <c r="B3054" s="2">
        <v>1102761</v>
      </c>
      <c r="C3054" s="2">
        <v>34883</v>
      </c>
      <c r="D3054" s="2">
        <v>37744</v>
      </c>
      <c r="E3054" s="2">
        <v>37394</v>
      </c>
      <c r="F3054" s="2">
        <v>30601</v>
      </c>
      <c r="G3054" s="2">
        <v>42497</v>
      </c>
    </row>
    <row r="3055" spans="1:7" x14ac:dyDescent="0.2">
      <c r="A3055" t="s" s="0">
        <v>942</v>
      </c>
      <c r="B3055" s="2">
        <v>1099927</v>
      </c>
      <c r="C3055" s="2">
        <v>34693</v>
      </c>
      <c r="D3055" s="2">
        <v>37843</v>
      </c>
      <c r="E3055" s="2">
        <v>37127</v>
      </c>
      <c r="F3055" s="2">
        <v>30580</v>
      </c>
      <c r="G3055" s="2">
        <v>38577</v>
      </c>
    </row>
    <row r="3056" spans="1:7" x14ac:dyDescent="0.2">
      <c r="A3056" t="s" s="0">
        <v>941</v>
      </c>
      <c r="B3056" s="3">
        <v>1099927</v>
      </c>
      <c r="C3056" s="3">
        <v>34693</v>
      </c>
      <c r="D3056" s="3">
        <v>37843</v>
      </c>
      <c r="E3056" s="3">
        <v>37127</v>
      </c>
      <c r="F3056" s="3">
        <v>30580</v>
      </c>
      <c r="G3056" s="3">
        <v>38577</v>
      </c>
    </row>
    <row r="3057" spans="1:7" x14ac:dyDescent="0.2">
      <c r="A3057" t="s" s="0">
        <v>940</v>
      </c>
      <c r="B3057" s="3">
        <v>1099927</v>
      </c>
      <c r="C3057" s="3">
        <v>34693</v>
      </c>
      <c r="D3057" s="3">
        <v>37843</v>
      </c>
      <c r="E3057" s="3">
        <v>37127</v>
      </c>
      <c r="F3057" s="3">
        <v>30580</v>
      </c>
      <c r="G3057" s="3">
        <v>38577</v>
      </c>
    </row>
    <row r="3058" spans="1:7" x14ac:dyDescent="0.2">
      <c r="A3058" t="s" s="0">
        <v>939</v>
      </c>
      <c r="B3058" s="2">
        <v>1166749</v>
      </c>
      <c r="C3058" s="2">
        <v>20908</v>
      </c>
      <c r="D3058" s="2">
        <v>36860</v>
      </c>
      <c r="E3058" s="2">
        <v>37090</v>
      </c>
      <c r="F3058" s="2">
        <v>35579</v>
      </c>
      <c r="G3058" s="2">
        <v>41057</v>
      </c>
    </row>
    <row r="3059" spans="1:7" x14ac:dyDescent="0.2">
      <c r="A3059" t="s" s="0">
        <v>938</v>
      </c>
      <c r="B3059" s="2">
        <v>1185942</v>
      </c>
      <c r="C3059" s="2">
        <v>30916</v>
      </c>
      <c r="D3059" s="2">
        <v>36353</v>
      </c>
      <c r="E3059" s="2">
        <v>37536</v>
      </c>
      <c r="F3059" s="2">
        <v>34655</v>
      </c>
      <c r="G3059" s="2">
        <v>42785</v>
      </c>
    </row>
    <row r="3060" spans="1:7" x14ac:dyDescent="0.2">
      <c r="A3060" t="s" s="0">
        <v>937</v>
      </c>
      <c r="B3060" s="2">
        <v>1215014</v>
      </c>
      <c r="C3060" s="2">
        <v>35947</v>
      </c>
      <c r="D3060" s="2">
        <v>37255</v>
      </c>
      <c r="E3060" s="2">
        <v>37496</v>
      </c>
      <c r="F3060" s="2">
        <v>44655</v>
      </c>
      <c r="G3060" s="2">
        <v>42714</v>
      </c>
    </row>
    <row r="3061" spans="1:7" x14ac:dyDescent="0.2">
      <c r="A3061" t="s" s="0">
        <v>936</v>
      </c>
      <c r="B3061" s="2">
        <v>1209928</v>
      </c>
      <c r="C3061" s="2">
        <v>33239</v>
      </c>
      <c r="D3061" s="2">
        <v>38243</v>
      </c>
      <c r="E3061" s="2">
        <v>38067</v>
      </c>
      <c r="F3061" s="2">
        <v>52177</v>
      </c>
      <c r="G3061" s="2">
        <v>42602</v>
      </c>
    </row>
    <row r="3062" spans="1:7" x14ac:dyDescent="0.2">
      <c r="A3062" t="s" s="0">
        <v>935</v>
      </c>
      <c r="B3062" s="2">
        <v>1262961</v>
      </c>
      <c r="C3062" s="2">
        <v>35057</v>
      </c>
      <c r="D3062" s="2">
        <v>38288</v>
      </c>
      <c r="E3062" s="2">
        <v>37918</v>
      </c>
      <c r="F3062" s="2">
        <v>60319</v>
      </c>
      <c r="G3062" s="2">
        <v>45705</v>
      </c>
    </row>
    <row r="3063" spans="1:7" x14ac:dyDescent="0.2">
      <c r="A3063" t="s" s="0">
        <v>934</v>
      </c>
      <c r="B3063" s="3">
        <v>1262961</v>
      </c>
      <c r="C3063" s="3">
        <v>35057</v>
      </c>
      <c r="D3063" s="3">
        <v>38288</v>
      </c>
      <c r="E3063" s="3">
        <v>37918</v>
      </c>
      <c r="F3063" s="3">
        <v>60319</v>
      </c>
      <c r="G3063" s="3">
        <v>45705</v>
      </c>
    </row>
    <row r="3064" spans="1:7" x14ac:dyDescent="0.2">
      <c r="A3064" t="s" s="0">
        <v>933</v>
      </c>
      <c r="B3064" s="3">
        <v>1262961</v>
      </c>
      <c r="C3064" s="3">
        <v>35057</v>
      </c>
      <c r="D3064" s="3">
        <v>38288</v>
      </c>
      <c r="E3064" s="3">
        <v>37918</v>
      </c>
      <c r="F3064" s="3">
        <v>60319</v>
      </c>
      <c r="G3064" s="3">
        <v>45705</v>
      </c>
    </row>
    <row r="3065" spans="1:7" x14ac:dyDescent="0.2">
      <c r="A3065" t="s" s="0">
        <v>932</v>
      </c>
      <c r="B3065" s="2">
        <v>1284858</v>
      </c>
      <c r="C3065" s="2">
        <v>22485</v>
      </c>
      <c r="D3065" s="2">
        <v>37412</v>
      </c>
      <c r="E3065" s="2">
        <v>37409</v>
      </c>
      <c r="F3065" s="2">
        <v>53024</v>
      </c>
      <c r="G3065" s="2">
        <v>45463</v>
      </c>
    </row>
    <row r="3066" spans="1:7" x14ac:dyDescent="0.2">
      <c r="A3066" t="s" s="0">
        <v>931</v>
      </c>
      <c r="B3066" s="2">
        <v>1301613</v>
      </c>
      <c r="C3066" s="2">
        <v>33879</v>
      </c>
      <c r="D3066" s="2">
        <v>35565</v>
      </c>
      <c r="E3066" s="2">
        <v>37133</v>
      </c>
      <c r="F3066" s="2">
        <v>51660</v>
      </c>
      <c r="G3066" s="2">
        <v>42394</v>
      </c>
    </row>
    <row r="3067" spans="1:7" x14ac:dyDescent="0.2">
      <c r="A3067" t="s" s="0">
        <v>930</v>
      </c>
      <c r="B3067" s="2">
        <v>1239994</v>
      </c>
      <c r="C3067" s="2">
        <v>41141</v>
      </c>
      <c r="D3067" s="2">
        <v>38487</v>
      </c>
      <c r="E3067" s="2">
        <v>37637</v>
      </c>
      <c r="F3067" s="2">
        <v>41626</v>
      </c>
      <c r="G3067" s="2">
        <v>42556</v>
      </c>
    </row>
    <row r="3068" spans="1:7" x14ac:dyDescent="0.2">
      <c r="A3068" t="s" s="0">
        <v>929</v>
      </c>
      <c r="B3068" s="2">
        <v>1294427</v>
      </c>
      <c r="C3068" s="2">
        <v>41551</v>
      </c>
      <c r="D3068" s="2">
        <v>37461</v>
      </c>
      <c r="E3068" s="2">
        <v>37806</v>
      </c>
      <c r="F3068" s="2">
        <v>49102</v>
      </c>
      <c r="G3068" s="2">
        <v>43947</v>
      </c>
    </row>
    <row r="3069" spans="1:7" x14ac:dyDescent="0.2">
      <c r="A3069" t="s" s="0">
        <v>928</v>
      </c>
      <c r="B3069" s="2">
        <v>1271466</v>
      </c>
      <c r="C3069" s="2">
        <v>25047</v>
      </c>
      <c r="D3069" s="2">
        <v>36031</v>
      </c>
      <c r="E3069" s="2">
        <v>36795</v>
      </c>
      <c r="F3069" s="2">
        <v>36999</v>
      </c>
      <c r="G3069" s="2">
        <v>42588</v>
      </c>
    </row>
    <row r="3070" spans="1:7" x14ac:dyDescent="0.2">
      <c r="A3070" t="s" s="0">
        <v>927</v>
      </c>
      <c r="B3070" s="3">
        <v>1271466</v>
      </c>
      <c r="C3070" s="3">
        <v>25047</v>
      </c>
      <c r="D3070" s="3">
        <v>36031</v>
      </c>
      <c r="E3070" s="3">
        <v>36795</v>
      </c>
      <c r="F3070" s="3">
        <v>36999</v>
      </c>
      <c r="G3070" s="3">
        <v>42588</v>
      </c>
    </row>
    <row r="3071" spans="1:7" x14ac:dyDescent="0.2">
      <c r="A3071" t="s" s="0">
        <v>926</v>
      </c>
      <c r="B3071" s="3">
        <v>1271466</v>
      </c>
      <c r="C3071" s="3">
        <v>25047</v>
      </c>
      <c r="D3071" s="3">
        <v>36031</v>
      </c>
      <c r="E3071" s="3">
        <v>36795</v>
      </c>
      <c r="F3071" s="3">
        <v>36999</v>
      </c>
      <c r="G3071" s="3">
        <v>42588</v>
      </c>
    </row>
    <row r="3072" spans="1:7" x14ac:dyDescent="0.2">
      <c r="A3072" t="s" s="0">
        <v>925</v>
      </c>
      <c r="B3072" s="2">
        <v>1221958</v>
      </c>
      <c r="C3072" s="2">
        <v>26470</v>
      </c>
      <c r="D3072" s="2">
        <v>38772</v>
      </c>
      <c r="E3072" s="2">
        <v>37070</v>
      </c>
      <c r="F3072" s="2">
        <v>29543</v>
      </c>
      <c r="G3072" s="2">
        <v>41907</v>
      </c>
    </row>
    <row r="3073" spans="1:7" x14ac:dyDescent="0.2">
      <c r="A3073" t="s" s="0">
        <v>924</v>
      </c>
      <c r="B3073" s="2">
        <v>1198948</v>
      </c>
      <c r="C3073" s="2">
        <v>37099</v>
      </c>
      <c r="D3073" s="2">
        <v>40661</v>
      </c>
      <c r="E3073" s="2">
        <v>37396</v>
      </c>
      <c r="F3073" s="2">
        <v>25402</v>
      </c>
      <c r="G3073" s="2">
        <v>37372</v>
      </c>
    </row>
    <row r="3074" spans="1:7" x14ac:dyDescent="0.2">
      <c r="A3074" t="s" s="0">
        <v>923</v>
      </c>
      <c r="B3074" s="2">
        <v>1159204</v>
      </c>
      <c r="C3074" s="2">
        <v>33971</v>
      </c>
      <c r="D3074" s="2">
        <v>36742</v>
      </c>
      <c r="E3074" s="2">
        <v>37214</v>
      </c>
      <c r="F3074" s="2">
        <v>24608</v>
      </c>
      <c r="G3074" s="2">
        <v>37178</v>
      </c>
    </row>
    <row r="3075" spans="1:7" x14ac:dyDescent="0.2">
      <c r="A3075" t="s" s="0">
        <v>922</v>
      </c>
      <c r="B3075" s="2">
        <v>1111943</v>
      </c>
      <c r="C3075" s="2">
        <v>36510</v>
      </c>
      <c r="D3075" s="2">
        <v>36368</v>
      </c>
      <c r="E3075" s="2">
        <v>37454</v>
      </c>
      <c r="F3075" s="2">
        <v>9610</v>
      </c>
      <c r="G3075" s="2">
        <v>35373</v>
      </c>
    </row>
    <row r="3076" spans="1:7" x14ac:dyDescent="0.2">
      <c r="A3076" t="s" s="0">
        <v>921</v>
      </c>
      <c r="B3076" s="2">
        <v>1237081</v>
      </c>
      <c r="C3076" s="2">
        <v>33875</v>
      </c>
      <c r="D3076" s="2">
        <v>37571</v>
      </c>
      <c r="E3076" s="2">
        <v>37434</v>
      </c>
      <c r="F3076" s="2">
        <v>31090</v>
      </c>
      <c r="G3076" s="2">
        <v>39747</v>
      </c>
    </row>
    <row r="3077" spans="1:7" x14ac:dyDescent="0.2">
      <c r="A3077" t="s" s="0">
        <v>920</v>
      </c>
      <c r="B3077" s="3">
        <v>1237081</v>
      </c>
      <c r="C3077" s="3">
        <v>33875</v>
      </c>
      <c r="D3077" s="3">
        <v>37571</v>
      </c>
      <c r="E3077" s="3">
        <v>37434</v>
      </c>
      <c r="F3077" s="3">
        <v>31090</v>
      </c>
      <c r="G3077" s="3">
        <v>39747</v>
      </c>
    </row>
    <row r="3078" spans="1:7" x14ac:dyDescent="0.2">
      <c r="A3078" t="s" s="0">
        <v>919</v>
      </c>
      <c r="B3078" s="3">
        <v>1237081</v>
      </c>
      <c r="C3078" s="3">
        <v>33875</v>
      </c>
      <c r="D3078" s="3">
        <v>37571</v>
      </c>
      <c r="E3078" s="3">
        <v>37434</v>
      </c>
      <c r="F3078" s="3">
        <v>31090</v>
      </c>
      <c r="G3078" s="3">
        <v>39747</v>
      </c>
    </row>
    <row r="3079" spans="1:7" x14ac:dyDescent="0.2">
      <c r="A3079" t="s" s="0">
        <v>918</v>
      </c>
      <c r="B3079" s="2">
        <v>1164385</v>
      </c>
      <c r="C3079" s="2">
        <v>20805</v>
      </c>
      <c r="D3079" s="2">
        <v>34289</v>
      </c>
      <c r="E3079" s="2">
        <v>36833</v>
      </c>
      <c r="F3079" s="2">
        <v>24492</v>
      </c>
      <c r="G3079" s="2">
        <v>35660</v>
      </c>
    </row>
    <row r="3080" spans="1:7" x14ac:dyDescent="0.2">
      <c r="A3080" t="s" s="0">
        <v>917</v>
      </c>
      <c r="B3080" s="2">
        <v>1229571</v>
      </c>
      <c r="C3080" s="2">
        <v>31177</v>
      </c>
      <c r="D3080" s="2">
        <v>32729</v>
      </c>
      <c r="E3080" s="2">
        <v>36327</v>
      </c>
      <c r="F3080" s="2">
        <v>35920</v>
      </c>
      <c r="G3080" s="2">
        <v>36909</v>
      </c>
    </row>
    <row r="3081" spans="1:7" x14ac:dyDescent="0.2">
      <c r="A3081" t="s" s="0">
        <v>916</v>
      </c>
      <c r="B3081" s="2">
        <v>1201773</v>
      </c>
      <c r="C3081" s="2">
        <v>37794</v>
      </c>
      <c r="D3081" s="2">
        <v>41135</v>
      </c>
      <c r="E3081" s="2">
        <v>38405</v>
      </c>
      <c r="F3081" s="2">
        <v>46032</v>
      </c>
      <c r="G3081" s="2">
        <v>39230</v>
      </c>
    </row>
    <row r="3082" spans="1:7" x14ac:dyDescent="0.2">
      <c r="A3082" t="s" s="0">
        <v>915</v>
      </c>
      <c r="B3082" s="2">
        <v>1191420</v>
      </c>
      <c r="C3082" s="2">
        <v>34614</v>
      </c>
      <c r="D3082" s="2">
        <v>40620</v>
      </c>
      <c r="E3082" s="2">
        <v>38173</v>
      </c>
      <c r="F3082" s="2">
        <v>50885</v>
      </c>
      <c r="G3082" s="2">
        <v>40444</v>
      </c>
    </row>
    <row r="3083" spans="1:7" x14ac:dyDescent="0.2">
      <c r="A3083" t="s" s="0">
        <v>914</v>
      </c>
      <c r="B3083" s="2">
        <v>1257449</v>
      </c>
      <c r="C3083" s="2">
        <v>36463</v>
      </c>
      <c r="D3083" s="2">
        <v>41048</v>
      </c>
      <c r="E3083" s="2">
        <v>38235</v>
      </c>
      <c r="F3083" s="2">
        <v>43563</v>
      </c>
      <c r="G3083" s="2">
        <v>42993</v>
      </c>
    </row>
    <row r="3084" spans="1:7" x14ac:dyDescent="0.2">
      <c r="A3084" t="s" s="0">
        <v>913</v>
      </c>
      <c r="B3084" s="3">
        <v>1257449</v>
      </c>
      <c r="C3084" s="3">
        <v>36463</v>
      </c>
      <c r="D3084" s="3">
        <v>41048</v>
      </c>
      <c r="E3084" s="3">
        <v>38235</v>
      </c>
      <c r="F3084" s="3">
        <v>43563</v>
      </c>
      <c r="G3084" s="3">
        <v>42993</v>
      </c>
    </row>
    <row r="3085" spans="1:7" x14ac:dyDescent="0.2">
      <c r="A3085" t="s" s="0">
        <v>912</v>
      </c>
      <c r="B3085" s="3">
        <v>1257449</v>
      </c>
      <c r="C3085" s="3">
        <v>36463</v>
      </c>
      <c r="D3085" s="3">
        <v>41048</v>
      </c>
      <c r="E3085" s="3">
        <v>38235</v>
      </c>
      <c r="F3085" s="3">
        <v>43563</v>
      </c>
      <c r="G3085" s="3">
        <v>42993</v>
      </c>
    </row>
    <row r="3086" spans="1:7" x14ac:dyDescent="0.2">
      <c r="A3086" t="s" s="0">
        <v>911</v>
      </c>
      <c r="B3086" s="2">
        <v>1166510</v>
      </c>
      <c r="C3086" s="2">
        <v>21774</v>
      </c>
      <c r="D3086" s="2">
        <v>42742</v>
      </c>
      <c r="E3086" s="2">
        <v>38304</v>
      </c>
      <c r="F3086" s="2">
        <v>42662</v>
      </c>
      <c r="G3086" s="2">
        <v>37430</v>
      </c>
    </row>
    <row r="3087" spans="1:7" x14ac:dyDescent="0.2">
      <c r="A3087" t="s" s="0">
        <v>910</v>
      </c>
      <c r="B3087" s="2">
        <v>1186701</v>
      </c>
      <c r="C3087" s="2">
        <v>32960</v>
      </c>
      <c r="D3087" s="2">
        <v>43711</v>
      </c>
      <c r="E3087" s="2">
        <v>38167</v>
      </c>
      <c r="F3087" s="2">
        <v>36943</v>
      </c>
      <c r="G3087" s="2">
        <v>37481</v>
      </c>
    </row>
    <row r="3088" spans="1:7" x14ac:dyDescent="0.2">
      <c r="A3088" t="s" s="0">
        <v>909</v>
      </c>
      <c r="B3088" s="2">
        <v>1130342</v>
      </c>
      <c r="C3088" s="2">
        <v>36388</v>
      </c>
      <c r="D3088" s="2">
        <v>38508</v>
      </c>
      <c r="E3088" s="2">
        <v>38718</v>
      </c>
      <c r="F3088" s="2">
        <v>27659</v>
      </c>
      <c r="G3088" s="2">
        <v>34981</v>
      </c>
    </row>
    <row r="3089" spans="1:7" x14ac:dyDescent="0.2">
      <c r="A3089" t="s" s="0">
        <v>908</v>
      </c>
      <c r="B3089" s="2">
        <v>1158652</v>
      </c>
      <c r="C3089" s="2">
        <v>33891</v>
      </c>
      <c r="D3089" s="2">
        <v>37013</v>
      </c>
      <c r="E3089" s="2">
        <v>37866</v>
      </c>
      <c r="F3089" s="2">
        <v>31687</v>
      </c>
      <c r="G3089" s="2">
        <v>35321</v>
      </c>
    </row>
    <row r="3090" spans="1:7" x14ac:dyDescent="0.2">
      <c r="A3090" t="s" s="0">
        <v>907</v>
      </c>
      <c r="B3090" s="2">
        <v>1156981</v>
      </c>
      <c r="C3090" s="2">
        <v>32008</v>
      </c>
      <c r="D3090" s="2">
        <v>37081</v>
      </c>
      <c r="E3090" s="2">
        <v>37933</v>
      </c>
      <c r="F3090" s="2">
        <v>22226</v>
      </c>
      <c r="G3090" s="2">
        <v>33470</v>
      </c>
    </row>
    <row r="3091" spans="1:7" x14ac:dyDescent="0.2">
      <c r="A3091" t="s" s="0">
        <v>906</v>
      </c>
      <c r="B3091" s="3">
        <v>1156981</v>
      </c>
      <c r="C3091" s="3">
        <v>32008</v>
      </c>
      <c r="D3091" s="3">
        <v>37081</v>
      </c>
      <c r="E3091" s="3">
        <v>37933</v>
      </c>
      <c r="F3091" s="3">
        <v>22226</v>
      </c>
      <c r="G3091" s="3">
        <v>33470</v>
      </c>
    </row>
    <row r="3092" spans="1:7" x14ac:dyDescent="0.2">
      <c r="A3092" t="s" s="0">
        <v>905</v>
      </c>
      <c r="B3092" s="3">
        <v>1156981</v>
      </c>
      <c r="C3092" s="3">
        <v>32008</v>
      </c>
      <c r="D3092" s="3">
        <v>37081</v>
      </c>
      <c r="E3092" s="3">
        <v>37933</v>
      </c>
      <c r="F3092" s="3">
        <v>22226</v>
      </c>
      <c r="G3092" s="3">
        <v>33470</v>
      </c>
    </row>
    <row r="3093" spans="1:7" x14ac:dyDescent="0.2">
      <c r="A3093" t="s" s="0">
        <v>904</v>
      </c>
      <c r="B3093" s="2">
        <v>1249494</v>
      </c>
      <c r="C3093" s="2">
        <v>24695</v>
      </c>
      <c r="D3093" s="2">
        <v>38099</v>
      </c>
      <c r="E3093" s="2">
        <v>38476</v>
      </c>
      <c r="F3093" s="2">
        <v>49440</v>
      </c>
      <c r="G3093" s="2">
        <v>36534</v>
      </c>
    </row>
    <row r="3094" spans="1:7" x14ac:dyDescent="0.2">
      <c r="A3094" t="s" s="0">
        <v>903</v>
      </c>
      <c r="B3094" s="2">
        <v>1237091</v>
      </c>
      <c r="C3094" s="2">
        <v>37906</v>
      </c>
      <c r="D3094" s="2">
        <v>38097</v>
      </c>
      <c r="E3094" s="2">
        <v>38800</v>
      </c>
      <c r="F3094" s="2">
        <v>45007</v>
      </c>
      <c r="G3094" s="2">
        <v>35818</v>
      </c>
    </row>
    <row r="3095" spans="1:7" x14ac:dyDescent="0.2">
      <c r="A3095" t="s" s="0">
        <v>902</v>
      </c>
      <c r="B3095" s="2">
        <v>1266253</v>
      </c>
      <c r="C3095" s="2">
        <v>36887</v>
      </c>
      <c r="D3095" s="2">
        <v>36738</v>
      </c>
      <c r="E3095" s="2">
        <v>38281</v>
      </c>
      <c r="F3095" s="2">
        <v>55865</v>
      </c>
      <c r="G3095" s="2">
        <v>38541</v>
      </c>
    </row>
    <row r="3096" spans="1:7" x14ac:dyDescent="0.2">
      <c r="A3096" t="s" s="0">
        <v>901</v>
      </c>
      <c r="B3096" s="2">
        <v>1227182</v>
      </c>
      <c r="C3096" s="2">
        <v>38253</v>
      </c>
      <c r="D3096" s="2">
        <v>37928</v>
      </c>
      <c r="E3096" s="2">
        <v>37982</v>
      </c>
      <c r="F3096" s="2">
        <v>47430</v>
      </c>
      <c r="G3096" s="2">
        <v>34903</v>
      </c>
    </row>
    <row r="3097" spans="1:7" x14ac:dyDescent="0.2">
      <c r="A3097" t="s" s="0">
        <v>900</v>
      </c>
      <c r="B3097" s="2">
        <v>1202582</v>
      </c>
      <c r="C3097" s="2">
        <v>24677</v>
      </c>
      <c r="D3097" s="2">
        <v>36175</v>
      </c>
      <c r="E3097" s="2">
        <v>37969</v>
      </c>
      <c r="F3097" s="2">
        <v>42439</v>
      </c>
      <c r="G3097" s="2">
        <v>34830</v>
      </c>
    </row>
    <row r="3098" spans="1:7" x14ac:dyDescent="0.2">
      <c r="A3098" t="s" s="0">
        <v>899</v>
      </c>
      <c r="B3098" s="3">
        <v>1202582</v>
      </c>
      <c r="C3098" s="3">
        <v>24677</v>
      </c>
      <c r="D3098" s="3">
        <v>36175</v>
      </c>
      <c r="E3098" s="3">
        <v>37969</v>
      </c>
      <c r="F3098" s="3">
        <v>42439</v>
      </c>
      <c r="G3098" s="3">
        <v>34830</v>
      </c>
    </row>
    <row r="3099" spans="1:7" x14ac:dyDescent="0.2">
      <c r="A3099" t="s" s="0">
        <v>898</v>
      </c>
      <c r="B3099" s="3">
        <v>1202582</v>
      </c>
      <c r="C3099" s="3">
        <v>24677</v>
      </c>
      <c r="D3099" s="3">
        <v>36175</v>
      </c>
      <c r="E3099" s="3">
        <v>37969</v>
      </c>
      <c r="F3099" s="3">
        <v>42439</v>
      </c>
      <c r="G3099" s="3">
        <v>34830</v>
      </c>
    </row>
    <row r="3100" spans="1:7" x14ac:dyDescent="0.2">
      <c r="A3100" t="s" s="0">
        <v>897</v>
      </c>
      <c r="B3100" s="2">
        <v>1191779</v>
      </c>
      <c r="C3100" s="2">
        <v>13971</v>
      </c>
      <c r="D3100" s="2">
        <v>32543</v>
      </c>
      <c r="E3100" s="2">
        <v>36918</v>
      </c>
      <c r="F3100" s="2">
        <v>24051</v>
      </c>
      <c r="G3100" s="2">
        <v>35161</v>
      </c>
    </row>
    <row r="3101" spans="1:7" x14ac:dyDescent="0.2">
      <c r="A3101" t="s" s="0">
        <v>896</v>
      </c>
      <c r="B3101" s="2">
        <v>1151320</v>
      </c>
      <c r="C3101" s="2">
        <v>36134</v>
      </c>
      <c r="D3101" s="2">
        <v>32187</v>
      </c>
      <c r="E3101" s="2">
        <v>36681</v>
      </c>
      <c r="F3101" s="2">
        <v>19919</v>
      </c>
      <c r="G3101" s="2">
        <v>34447</v>
      </c>
    </row>
    <row r="3102" spans="1:7" x14ac:dyDescent="0.2">
      <c r="A3102" t="s" s="0">
        <v>895</v>
      </c>
      <c r="B3102" s="2">
        <v>1138799</v>
      </c>
      <c r="C3102" s="2">
        <v>41940</v>
      </c>
      <c r="D3102" s="2">
        <v>31581</v>
      </c>
      <c r="E3102" s="2">
        <v>36990</v>
      </c>
      <c r="F3102" s="2">
        <v>13347</v>
      </c>
      <c r="G3102" s="2">
        <v>35726</v>
      </c>
    </row>
    <row r="3103" spans="1:7" x14ac:dyDescent="0.2">
      <c r="A3103" t="s" s="0">
        <v>894</v>
      </c>
      <c r="B3103" s="2">
        <v>1163019</v>
      </c>
      <c r="C3103" s="2">
        <v>40806</v>
      </c>
      <c r="D3103" s="2">
        <v>31379</v>
      </c>
      <c r="E3103" s="2">
        <v>36735</v>
      </c>
      <c r="F3103" s="2">
        <v>22186</v>
      </c>
      <c r="G3103" s="2">
        <v>38047</v>
      </c>
    </row>
    <row r="3104" spans="1:7" x14ac:dyDescent="0.2">
      <c r="A3104" t="s" s="0">
        <v>893</v>
      </c>
      <c r="B3104" s="2">
        <v>1169744</v>
      </c>
      <c r="C3104" s="2">
        <v>40412</v>
      </c>
      <c r="D3104" s="2">
        <v>33627</v>
      </c>
      <c r="E3104" s="2">
        <v>36983</v>
      </c>
      <c r="F3104" s="2">
        <v>28911</v>
      </c>
      <c r="G3104" s="2">
        <v>34285</v>
      </c>
    </row>
    <row r="3105" spans="1:7" x14ac:dyDescent="0.2">
      <c r="A3105" t="s" s="0">
        <v>892</v>
      </c>
      <c r="B3105" s="3">
        <v>1169744</v>
      </c>
      <c r="C3105" s="3">
        <v>40412</v>
      </c>
      <c r="D3105" s="3">
        <v>33627</v>
      </c>
      <c r="E3105" s="3">
        <v>36983</v>
      </c>
      <c r="F3105" s="3">
        <v>28911</v>
      </c>
      <c r="G3105" s="3">
        <v>34285</v>
      </c>
    </row>
    <row r="3106" spans="1:7" x14ac:dyDescent="0.2">
      <c r="A3106" t="s" s="0">
        <v>891</v>
      </c>
      <c r="B3106" s="3">
        <v>1169744</v>
      </c>
      <c r="C3106" s="3">
        <v>40412</v>
      </c>
      <c r="D3106" s="3">
        <v>33627</v>
      </c>
      <c r="E3106" s="3">
        <v>36983</v>
      </c>
      <c r="F3106" s="3">
        <v>28911</v>
      </c>
      <c r="G3106" s="3">
        <v>34285</v>
      </c>
    </row>
    <row r="3107" spans="1:7" x14ac:dyDescent="0.2">
      <c r="A3107" t="s" s="0">
        <v>890</v>
      </c>
      <c r="B3107" s="2">
        <v>1097645</v>
      </c>
      <c r="C3107" s="2">
        <v>19775</v>
      </c>
      <c r="D3107" s="2">
        <v>34953</v>
      </c>
      <c r="E3107" s="2">
        <v>37084</v>
      </c>
      <c r="F3107" s="2">
        <v>21441</v>
      </c>
      <c r="G3107" s="2">
        <v>34399</v>
      </c>
    </row>
    <row r="3108" spans="1:7" x14ac:dyDescent="0.2">
      <c r="A3108" t="s" s="0">
        <v>889</v>
      </c>
      <c r="B3108" s="2">
        <v>1059581</v>
      </c>
      <c r="C3108" s="2">
        <v>33070</v>
      </c>
      <c r="D3108" s="2">
        <v>34612</v>
      </c>
      <c r="E3108" s="2">
        <v>37152</v>
      </c>
      <c r="F3108" s="2">
        <v>21442</v>
      </c>
      <c r="G3108" s="2">
        <v>30828</v>
      </c>
    </row>
    <row r="3109" spans="1:7" x14ac:dyDescent="0.2">
      <c r="A3109" t="s" s="0">
        <v>888</v>
      </c>
      <c r="B3109" s="2">
        <v>1087153</v>
      </c>
      <c r="C3109" s="2">
        <v>33534</v>
      </c>
      <c r="D3109" s="2">
        <v>33312</v>
      </c>
      <c r="E3109" s="2">
        <v>35035</v>
      </c>
      <c r="F3109" s="2">
        <v>25823</v>
      </c>
      <c r="G3109" s="2">
        <v>30674</v>
      </c>
    </row>
    <row r="3110" spans="1:7" x14ac:dyDescent="0.2">
      <c r="A3110" t="s" s="0">
        <v>887</v>
      </c>
      <c r="B3110" s="2">
        <v>1144609</v>
      </c>
      <c r="C3110" s="2">
        <v>32899</v>
      </c>
      <c r="D3110" s="2">
        <v>32182</v>
      </c>
      <c r="E3110" s="2">
        <v>34626</v>
      </c>
      <c r="F3110" s="2">
        <v>29442</v>
      </c>
      <c r="G3110" s="2">
        <v>32686</v>
      </c>
    </row>
    <row r="3111" spans="1:7" x14ac:dyDescent="0.2">
      <c r="A3111" t="s" s="0">
        <v>886</v>
      </c>
      <c r="B3111" s="2">
        <v>1155962</v>
      </c>
      <c r="C3111" s="2">
        <v>40996</v>
      </c>
      <c r="D3111" s="2">
        <v>34123</v>
      </c>
      <c r="E3111" s="2">
        <v>35252</v>
      </c>
      <c r="F3111" s="2">
        <v>31995</v>
      </c>
      <c r="G3111" s="2">
        <v>31393</v>
      </c>
    </row>
    <row r="3112" spans="1:7" x14ac:dyDescent="0.2">
      <c r="A3112" t="s" s="0">
        <v>885</v>
      </c>
      <c r="B3112" s="3">
        <v>1155962</v>
      </c>
      <c r="C3112" s="3">
        <v>40996</v>
      </c>
      <c r="D3112" s="3">
        <v>34123</v>
      </c>
      <c r="E3112" s="3">
        <v>35252</v>
      </c>
      <c r="F3112" s="3">
        <v>31995</v>
      </c>
      <c r="G3112" s="3">
        <v>31393</v>
      </c>
    </row>
    <row r="3113" spans="1:7" x14ac:dyDescent="0.2">
      <c r="A3113" t="s" s="0">
        <v>884</v>
      </c>
      <c r="B3113" s="3">
        <v>1155962</v>
      </c>
      <c r="C3113" s="3">
        <v>40996</v>
      </c>
      <c r="D3113" s="3">
        <v>34123</v>
      </c>
      <c r="E3113" s="3">
        <v>35252</v>
      </c>
      <c r="F3113" s="3">
        <v>31995</v>
      </c>
      <c r="G3113" s="3">
        <v>31393</v>
      </c>
    </row>
    <row r="3114" spans="1:7" x14ac:dyDescent="0.2">
      <c r="A3114" t="s" s="0">
        <v>883</v>
      </c>
      <c r="B3114" s="2">
        <v>1180796</v>
      </c>
      <c r="C3114" s="2">
        <v>19998</v>
      </c>
      <c r="D3114" s="2">
        <v>33390</v>
      </c>
      <c r="E3114" s="2">
        <v>34746</v>
      </c>
      <c r="F3114" s="2">
        <v>45144</v>
      </c>
      <c r="G3114" s="2">
        <v>35019</v>
      </c>
    </row>
    <row r="3115" spans="1:7" x14ac:dyDescent="0.2">
      <c r="A3115" t="s" s="0">
        <v>882</v>
      </c>
      <c r="B3115" s="2">
        <v>1168365</v>
      </c>
      <c r="C3115" s="2">
        <v>35897</v>
      </c>
      <c r="D3115" s="2">
        <v>33080</v>
      </c>
      <c r="E3115" s="2">
        <v>34494</v>
      </c>
      <c r="F3115" s="2">
        <v>47999</v>
      </c>
      <c r="G3115" s="2">
        <v>33592</v>
      </c>
    </row>
    <row r="3116" spans="1:7" x14ac:dyDescent="0.2">
      <c r="A3116" t="s" s="0">
        <v>881</v>
      </c>
      <c r="B3116" s="2">
        <v>1119305</v>
      </c>
      <c r="C3116" s="2">
        <v>39037</v>
      </c>
      <c r="D3116" s="2">
        <v>35301</v>
      </c>
      <c r="E3116" s="2">
        <v>34233</v>
      </c>
      <c r="F3116" s="2">
        <v>39332</v>
      </c>
      <c r="G3116" s="2">
        <v>33592</v>
      </c>
    </row>
    <row r="3117" spans="1:7" x14ac:dyDescent="0.2">
      <c r="A3117" t="s" s="0">
        <v>880</v>
      </c>
      <c r="B3117" s="2">
        <v>1248389</v>
      </c>
      <c r="C3117" s="2">
        <v>36002</v>
      </c>
      <c r="D3117" s="2">
        <v>36433</v>
      </c>
      <c r="E3117" s="2">
        <v>34481</v>
      </c>
      <c r="F3117" s="2">
        <v>50697</v>
      </c>
      <c r="G3117" s="2">
        <v>37439</v>
      </c>
    </row>
    <row r="3118" spans="1:7" x14ac:dyDescent="0.2">
      <c r="A3118" t="s" s="0">
        <v>879</v>
      </c>
      <c r="B3118" s="2">
        <v>1267356</v>
      </c>
      <c r="C3118" s="2">
        <v>32378</v>
      </c>
      <c r="D3118" s="2">
        <v>33344</v>
      </c>
      <c r="E3118" s="2">
        <v>34318</v>
      </c>
      <c r="F3118" s="2">
        <v>48483</v>
      </c>
      <c r="G3118" s="2">
        <v>37957</v>
      </c>
    </row>
    <row r="3119" spans="1:7" x14ac:dyDescent="0.2">
      <c r="A3119" t="s" s="0">
        <v>878</v>
      </c>
      <c r="B3119" s="3">
        <v>1267356</v>
      </c>
      <c r="C3119" s="3">
        <v>32378</v>
      </c>
      <c r="D3119" s="3">
        <v>33344</v>
      </c>
      <c r="E3119" s="3">
        <v>34318</v>
      </c>
      <c r="F3119" s="3">
        <v>48483</v>
      </c>
      <c r="G3119" s="3">
        <v>37957</v>
      </c>
    </row>
    <row r="3120" spans="1:7" x14ac:dyDescent="0.2">
      <c r="A3120" t="s" s="0">
        <v>877</v>
      </c>
      <c r="B3120" s="3">
        <v>1267356</v>
      </c>
      <c r="C3120" s="3">
        <v>32378</v>
      </c>
      <c r="D3120" s="3">
        <v>33344</v>
      </c>
      <c r="E3120" s="3">
        <v>34318</v>
      </c>
      <c r="F3120" s="3">
        <v>48483</v>
      </c>
      <c r="G3120" s="3">
        <v>37957</v>
      </c>
    </row>
    <row r="3121" spans="1:7" x14ac:dyDescent="0.2">
      <c r="A3121" t="s" s="0">
        <v>876</v>
      </c>
      <c r="B3121" s="2">
        <v>1221251</v>
      </c>
      <c r="C3121" s="2">
        <v>19205</v>
      </c>
      <c r="D3121" s="2">
        <v>32715</v>
      </c>
      <c r="E3121" s="2">
        <v>33400</v>
      </c>
      <c r="F3121" s="2">
        <v>37720</v>
      </c>
      <c r="G3121" s="2">
        <v>32089</v>
      </c>
    </row>
    <row r="3122" spans="1:7" x14ac:dyDescent="0.2">
      <c r="A3122" t="s" s="0">
        <v>875</v>
      </c>
      <c r="B3122" s="2">
        <v>1253925</v>
      </c>
      <c r="C3122" s="2">
        <v>32905</v>
      </c>
      <c r="D3122" s="2">
        <v>33991</v>
      </c>
      <c r="E3122" s="2">
        <v>33467</v>
      </c>
      <c r="F3122" s="2">
        <v>45565</v>
      </c>
      <c r="G3122" s="2">
        <v>33731</v>
      </c>
    </row>
    <row r="3123" spans="1:7" x14ac:dyDescent="0.2">
      <c r="A3123" t="s" s="0">
        <v>874</v>
      </c>
      <c r="B3123" s="2">
        <v>1210608</v>
      </c>
      <c r="C3123" s="2">
        <v>37719</v>
      </c>
      <c r="D3123" s="2">
        <v>33171</v>
      </c>
      <c r="E3123" s="2">
        <v>33341</v>
      </c>
      <c r="F3123" s="2">
        <v>45565</v>
      </c>
      <c r="G3123" s="2">
        <v>31017</v>
      </c>
    </row>
    <row r="3124" spans="1:7" x14ac:dyDescent="0.2">
      <c r="A3124" t="s" s="0">
        <v>873</v>
      </c>
      <c r="B3124" s="2">
        <v>1214520</v>
      </c>
      <c r="C3124" s="2">
        <v>31905</v>
      </c>
      <c r="D3124" s="2">
        <v>33327</v>
      </c>
      <c r="E3124" s="2">
        <v>33330</v>
      </c>
      <c r="F3124" s="2">
        <v>27838</v>
      </c>
      <c r="G3124" s="2">
        <v>32541</v>
      </c>
    </row>
    <row r="3125" spans="1:7" x14ac:dyDescent="0.2">
      <c r="A3125" t="s" s="0">
        <v>872</v>
      </c>
      <c r="B3125" s="2">
        <v>1319543</v>
      </c>
      <c r="C3125" s="2">
        <v>33425</v>
      </c>
      <c r="D3125" s="2">
        <v>33477</v>
      </c>
      <c r="E3125" s="2">
        <v>33643</v>
      </c>
      <c r="F3125" s="2">
        <v>40479</v>
      </c>
      <c r="G3125" s="2">
        <v>37467</v>
      </c>
    </row>
    <row r="3126" spans="1:7" x14ac:dyDescent="0.2">
      <c r="A3126" t="s" s="0">
        <v>871</v>
      </c>
      <c r="B3126" s="3">
        <v>1319543</v>
      </c>
      <c r="C3126" s="3">
        <v>33425</v>
      </c>
      <c r="D3126" s="3">
        <v>33477</v>
      </c>
      <c r="E3126" s="3">
        <v>33643</v>
      </c>
      <c r="F3126" s="3">
        <v>40479</v>
      </c>
      <c r="G3126" s="3">
        <v>37467</v>
      </c>
    </row>
    <row r="3127" spans="1:7" x14ac:dyDescent="0.2">
      <c r="A3127" t="s" s="0">
        <v>870</v>
      </c>
      <c r="B3127" s="3">
        <v>1319543</v>
      </c>
      <c r="C3127" s="3">
        <v>33425</v>
      </c>
      <c r="D3127" s="3">
        <v>33477</v>
      </c>
      <c r="E3127" s="3">
        <v>33643</v>
      </c>
      <c r="F3127" s="3">
        <v>40479</v>
      </c>
      <c r="G3127" s="3">
        <v>37467</v>
      </c>
    </row>
    <row r="3128" spans="1:7" x14ac:dyDescent="0.2">
      <c r="A3128" t="s" s="0">
        <v>869</v>
      </c>
      <c r="B3128" s="2">
        <v>1299607</v>
      </c>
      <c r="C3128" s="2">
        <v>18756</v>
      </c>
      <c r="D3128" s="2">
        <v>35420</v>
      </c>
      <c r="E3128" s="2">
        <v>34120</v>
      </c>
      <c r="F3128" s="2">
        <v>46162</v>
      </c>
      <c r="G3128" s="2">
        <v>37617</v>
      </c>
    </row>
    <row r="3129" spans="1:7" x14ac:dyDescent="0.2">
      <c r="A3129" t="s" s="0">
        <v>868</v>
      </c>
      <c r="B3129" s="2">
        <v>1268055</v>
      </c>
      <c r="C3129" s="2">
        <v>34792</v>
      </c>
      <c r="D3129" s="2">
        <v>33986</v>
      </c>
      <c r="E3129" s="2">
        <v>33917</v>
      </c>
      <c r="F3129" s="2">
        <v>35458</v>
      </c>
      <c r="G3129" s="2">
        <v>37616</v>
      </c>
    </row>
    <row r="3130" spans="1:7" x14ac:dyDescent="0.2">
      <c r="A3130" t="s" s="0">
        <v>867</v>
      </c>
      <c r="B3130" s="2">
        <v>1266556</v>
      </c>
      <c r="C3130" s="2">
        <v>32181</v>
      </c>
      <c r="D3130" s="2">
        <v>32391</v>
      </c>
      <c r="E3130" s="2">
        <v>33544</v>
      </c>
      <c r="F3130" s="2">
        <v>39838</v>
      </c>
      <c r="G3130" s="2">
        <v>37640</v>
      </c>
    </row>
    <row r="3131" spans="1:7" x14ac:dyDescent="0.2">
      <c r="A3131" t="s" s="0">
        <v>866</v>
      </c>
      <c r="B3131" s="2">
        <v>1332179</v>
      </c>
      <c r="C3131" s="2">
        <v>29466</v>
      </c>
      <c r="D3131" s="2">
        <v>31319</v>
      </c>
      <c r="E3131" s="2">
        <v>33315</v>
      </c>
      <c r="F3131" s="2">
        <v>47582</v>
      </c>
      <c r="G3131" s="2">
        <v>38890</v>
      </c>
    </row>
    <row r="3132" spans="1:7" x14ac:dyDescent="0.2">
      <c r="A3132" t="s" s="0">
        <v>865</v>
      </c>
      <c r="B3132" s="2">
        <v>1413301</v>
      </c>
      <c r="C3132" s="2">
        <v>36251</v>
      </c>
      <c r="D3132" s="2">
        <v>31735</v>
      </c>
      <c r="E3132" s="2">
        <v>33170</v>
      </c>
      <c r="F3132" s="2">
        <v>44257</v>
      </c>
      <c r="G3132" s="2">
        <v>41303</v>
      </c>
    </row>
    <row r="3133" spans="1:7" x14ac:dyDescent="0.2">
      <c r="A3133" t="s" s="0">
        <v>864</v>
      </c>
      <c r="B3133" s="3">
        <v>1413301</v>
      </c>
      <c r="C3133" s="3">
        <v>36251</v>
      </c>
      <c r="D3133" s="3">
        <v>31735</v>
      </c>
      <c r="E3133" s="3">
        <v>33170</v>
      </c>
      <c r="F3133" s="3">
        <v>44257</v>
      </c>
      <c r="G3133" s="3">
        <v>41303</v>
      </c>
    </row>
    <row r="3134" spans="1:7" x14ac:dyDescent="0.2">
      <c r="A3134" t="s" s="0">
        <v>863</v>
      </c>
      <c r="B3134" s="3">
        <v>1413301</v>
      </c>
      <c r="C3134" s="3">
        <v>36251</v>
      </c>
      <c r="D3134" s="3">
        <v>31735</v>
      </c>
      <c r="E3134" s="3">
        <v>33170</v>
      </c>
      <c r="F3134" s="3">
        <v>44257</v>
      </c>
      <c r="G3134" s="3">
        <v>41303</v>
      </c>
    </row>
    <row r="3135" spans="1:7" x14ac:dyDescent="0.2">
      <c r="A3135" t="s" s="0">
        <v>862</v>
      </c>
      <c r="B3135" s="2">
        <v>1446356</v>
      </c>
      <c r="C3135" s="2">
        <v>19351</v>
      </c>
      <c r="D3135" s="2">
        <v>31448</v>
      </c>
      <c r="E3135" s="2">
        <v>33243</v>
      </c>
      <c r="F3135" s="2">
        <v>51539</v>
      </c>
      <c r="G3135" s="2">
        <v>45141</v>
      </c>
    </row>
    <row r="3136" spans="1:7" x14ac:dyDescent="0.2">
      <c r="A3136" t="s" s="0">
        <v>861</v>
      </c>
      <c r="B3136" s="2">
        <v>1469052</v>
      </c>
      <c r="C3136" s="2">
        <v>24387</v>
      </c>
      <c r="D3136" s="2">
        <v>29961</v>
      </c>
      <c r="E3136" s="2">
        <v>32755</v>
      </c>
      <c r="F3136" s="2">
        <v>58155</v>
      </c>
      <c r="G3136" s="2">
        <v>46794</v>
      </c>
    </row>
    <row r="3137" spans="1:7" x14ac:dyDescent="0.2">
      <c r="A3137" t="s" s="0">
        <v>860</v>
      </c>
      <c r="B3137" s="2">
        <v>1499170</v>
      </c>
      <c r="C3137" s="2">
        <v>28756</v>
      </c>
      <c r="D3137" s="2">
        <v>29472</v>
      </c>
      <c r="E3137" s="2">
        <v>32584</v>
      </c>
      <c r="F3137" s="2">
        <v>62194</v>
      </c>
      <c r="G3137" s="2">
        <v>46732</v>
      </c>
    </row>
    <row r="3138" spans="1:7" x14ac:dyDescent="0.2">
      <c r="A3138" t="s" s="0">
        <v>859</v>
      </c>
      <c r="B3138" s="2">
        <v>1524461</v>
      </c>
      <c r="C3138" s="2">
        <v>34365</v>
      </c>
      <c r="D3138" s="2">
        <v>29467</v>
      </c>
      <c r="E3138" s="2">
        <v>32636</v>
      </c>
      <c r="F3138" s="2">
        <v>56427</v>
      </c>
      <c r="G3138" s="2">
        <v>45636</v>
      </c>
    </row>
    <row r="3139" spans="1:7" x14ac:dyDescent="0.2">
      <c r="A3139" t="s" s="0">
        <v>858</v>
      </c>
      <c r="B3139" s="2">
        <v>1512126</v>
      </c>
      <c r="C3139" s="2">
        <v>34034</v>
      </c>
      <c r="D3139" s="2">
        <v>29855</v>
      </c>
      <c r="E3139" s="2">
        <v>32103</v>
      </c>
      <c r="F3139" s="2">
        <v>43624</v>
      </c>
      <c r="G3139" s="2">
        <v>44211</v>
      </c>
    </row>
    <row r="3140" spans="1:7" x14ac:dyDescent="0.2">
      <c r="A3140" t="s" s="0">
        <v>857</v>
      </c>
      <c r="B3140" s="3">
        <v>1512126</v>
      </c>
      <c r="C3140" s="3">
        <v>34034</v>
      </c>
      <c r="D3140" s="3">
        <v>29855</v>
      </c>
      <c r="E3140" s="3">
        <v>32103</v>
      </c>
      <c r="F3140" s="3">
        <v>43624</v>
      </c>
      <c r="G3140" s="3">
        <v>44211</v>
      </c>
    </row>
    <row r="3141" spans="1:7" x14ac:dyDescent="0.2">
      <c r="A3141" t="s" s="0">
        <v>856</v>
      </c>
      <c r="B3141" s="3">
        <v>1512126</v>
      </c>
      <c r="C3141" s="3">
        <v>34034</v>
      </c>
      <c r="D3141" s="3">
        <v>29855</v>
      </c>
      <c r="E3141" s="3">
        <v>32103</v>
      </c>
      <c r="F3141" s="3">
        <v>43624</v>
      </c>
      <c r="G3141" s="3">
        <v>44211</v>
      </c>
    </row>
    <row r="3142" spans="1:7" x14ac:dyDescent="0.2">
      <c r="A3142" t="s" s="0">
        <v>855</v>
      </c>
      <c r="B3142" s="2">
        <v>1475334</v>
      </c>
      <c r="C3142" s="2">
        <v>21338</v>
      </c>
      <c r="D3142" s="2">
        <v>29060</v>
      </c>
      <c r="E3142" s="2">
        <v>32161</v>
      </c>
      <c r="F3142" s="2">
        <v>32843</v>
      </c>
      <c r="G3142" s="2">
        <v>42066</v>
      </c>
    </row>
    <row r="3143" spans="1:7" x14ac:dyDescent="0.2">
      <c r="A3143" t="s" s="0">
        <v>854</v>
      </c>
      <c r="B3143" s="2">
        <v>1510635</v>
      </c>
      <c r="C3143" s="2">
        <v>36576</v>
      </c>
      <c r="D3143" s="2">
        <v>30897</v>
      </c>
      <c r="E3143" s="2">
        <v>32209</v>
      </c>
      <c r="F3143" s="2">
        <v>36527</v>
      </c>
      <c r="G3143" s="2">
        <v>43926</v>
      </c>
    </row>
    <row r="3144" spans="1:7" x14ac:dyDescent="0.2">
      <c r="A3144" t="s" s="0">
        <v>853</v>
      </c>
      <c r="B3144" s="2">
        <v>1463836</v>
      </c>
      <c r="C3144" s="2">
        <v>37486</v>
      </c>
      <c r="D3144" s="2">
        <v>33479</v>
      </c>
      <c r="E3144" s="2">
        <v>32128</v>
      </c>
      <c r="F3144" s="2">
        <v>28108</v>
      </c>
      <c r="G3144" s="2">
        <v>43926</v>
      </c>
    </row>
    <row r="3145" spans="1:7" x14ac:dyDescent="0.2">
      <c r="A3145" t="s" s="0">
        <v>852</v>
      </c>
      <c r="B3145" s="2">
        <v>1471337</v>
      </c>
      <c r="C3145" s="2">
        <v>36934</v>
      </c>
      <c r="D3145" s="2">
        <v>33846</v>
      </c>
      <c r="E3145" s="2">
        <v>31990</v>
      </c>
      <c r="F3145" s="2">
        <v>25932</v>
      </c>
      <c r="G3145" s="2">
        <v>39445</v>
      </c>
    </row>
    <row r="3146" spans="1:7" x14ac:dyDescent="0.2">
      <c r="A3146" t="s" s="0">
        <v>851</v>
      </c>
      <c r="B3146" s="2">
        <v>1533089</v>
      </c>
      <c r="C3146" s="2">
        <v>33526</v>
      </c>
      <c r="D3146" s="2">
        <v>33887</v>
      </c>
      <c r="E3146" s="2">
        <v>32238</v>
      </c>
      <c r="F3146" s="2">
        <v>36710</v>
      </c>
      <c r="G3146" s="2">
        <v>41268</v>
      </c>
    </row>
    <row r="3147" spans="1:7" x14ac:dyDescent="0.2">
      <c r="A3147" t="s" s="0">
        <v>850</v>
      </c>
      <c r="B3147" s="3">
        <v>1533089</v>
      </c>
      <c r="C3147" s="3">
        <v>33526</v>
      </c>
      <c r="D3147" s="3">
        <v>33887</v>
      </c>
      <c r="E3147" s="3">
        <v>32238</v>
      </c>
      <c r="F3147" s="3">
        <v>36710</v>
      </c>
      <c r="G3147" s="3">
        <v>41268</v>
      </c>
    </row>
    <row r="3148" spans="1:7" x14ac:dyDescent="0.2">
      <c r="A3148" t="s" s="0">
        <v>849</v>
      </c>
      <c r="B3148" s="3">
        <v>1533089</v>
      </c>
      <c r="C3148" s="3">
        <v>33526</v>
      </c>
      <c r="D3148" s="3">
        <v>33887</v>
      </c>
      <c r="E3148" s="3">
        <v>32238</v>
      </c>
      <c r="F3148" s="3">
        <v>36710</v>
      </c>
      <c r="G3148" s="3">
        <v>41268</v>
      </c>
    </row>
    <row r="3149" spans="1:7" x14ac:dyDescent="0.2">
      <c r="A3149" t="s" s="0">
        <v>848</v>
      </c>
      <c r="B3149" s="2">
        <v>1495610</v>
      </c>
      <c r="C3149" s="2">
        <v>21702</v>
      </c>
      <c r="D3149" s="2">
        <v>35408</v>
      </c>
      <c r="E3149" s="2">
        <v>32834</v>
      </c>
      <c r="F3149" s="2">
        <v>38141</v>
      </c>
      <c r="G3149" s="2">
        <v>42171</v>
      </c>
    </row>
    <row r="3150" spans="1:7" x14ac:dyDescent="0.2">
      <c r="A3150" t="s" s="0">
        <v>847</v>
      </c>
      <c r="B3150" s="2">
        <v>1537837</v>
      </c>
      <c r="C3150" s="2">
        <v>32465</v>
      </c>
      <c r="D3150" s="2">
        <v>34726</v>
      </c>
      <c r="E3150" s="2">
        <v>32393</v>
      </c>
      <c r="F3150" s="2">
        <v>38226</v>
      </c>
      <c r="G3150" s="2">
        <v>42092</v>
      </c>
    </row>
    <row r="3151" spans="1:7" x14ac:dyDescent="0.2">
      <c r="A3151" t="s" s="0">
        <v>846</v>
      </c>
      <c r="B3151" s="2">
        <v>1507143</v>
      </c>
      <c r="C3151" s="2">
        <v>30725</v>
      </c>
      <c r="D3151" s="2">
        <v>32425</v>
      </c>
      <c r="E3151" s="2">
        <v>31942</v>
      </c>
      <c r="F3151" s="2">
        <v>38226</v>
      </c>
      <c r="G3151" s="2">
        <v>42092</v>
      </c>
    </row>
    <row r="3152" spans="1:7" x14ac:dyDescent="0.2">
      <c r="A3152" t="s" s="0">
        <v>845</v>
      </c>
      <c r="B3152" s="2">
        <v>1489569</v>
      </c>
      <c r="C3152" s="2">
        <v>32526</v>
      </c>
      <c r="D3152" s="2">
        <v>32509</v>
      </c>
      <c r="E3152" s="2">
        <v>31785</v>
      </c>
      <c r="F3152" s="2">
        <v>34730</v>
      </c>
      <c r="G3152" s="2">
        <v>41168</v>
      </c>
    </row>
    <row r="3153" spans="1:7" x14ac:dyDescent="0.2">
      <c r="A3153" t="s" s="0">
        <v>844</v>
      </c>
      <c r="B3153" s="2">
        <v>1486205</v>
      </c>
      <c r="C3153" s="2">
        <v>31420</v>
      </c>
      <c r="D3153" s="2">
        <v>31377</v>
      </c>
      <c r="E3153" s="2">
        <v>31714</v>
      </c>
      <c r="F3153" s="2">
        <v>24375</v>
      </c>
      <c r="G3153" s="2">
        <v>37242</v>
      </c>
    </row>
    <row r="3154" spans="1:7" x14ac:dyDescent="0.2">
      <c r="A3154" t="s" s="0">
        <v>843</v>
      </c>
      <c r="B3154" s="3">
        <v>1486205</v>
      </c>
      <c r="C3154" s="3">
        <v>31420</v>
      </c>
      <c r="D3154" s="3">
        <v>31377</v>
      </c>
      <c r="E3154" s="3">
        <v>31714</v>
      </c>
      <c r="F3154" s="3">
        <v>24375</v>
      </c>
      <c r="G3154" s="3">
        <v>37242</v>
      </c>
    </row>
    <row r="3155" spans="1:7" x14ac:dyDescent="0.2">
      <c r="A3155" t="s" s="0">
        <v>842</v>
      </c>
      <c r="B3155" s="3">
        <v>1486205</v>
      </c>
      <c r="C3155" s="3">
        <v>31420</v>
      </c>
      <c r="D3155" s="3">
        <v>31377</v>
      </c>
      <c r="E3155" s="3">
        <v>31714</v>
      </c>
      <c r="F3155" s="3">
        <v>24375</v>
      </c>
      <c r="G3155" s="3">
        <v>37242</v>
      </c>
    </row>
    <row r="3156" spans="1:7" x14ac:dyDescent="0.2">
      <c r="A3156" t="s" s="0">
        <v>841</v>
      </c>
      <c r="B3156" s="2">
        <v>1514688</v>
      </c>
      <c r="C3156" s="2">
        <v>22615</v>
      </c>
      <c r="D3156" s="2">
        <v>31255</v>
      </c>
      <c r="E3156" s="2">
        <v>31793</v>
      </c>
      <c r="F3156" s="2">
        <v>33677</v>
      </c>
      <c r="G3156" s="2">
        <v>39050</v>
      </c>
    </row>
    <row r="3157" spans="1:7" x14ac:dyDescent="0.2">
      <c r="A3157" t="s" s="0">
        <v>840</v>
      </c>
      <c r="B3157" s="2">
        <v>1494188</v>
      </c>
      <c r="C3157" s="2">
        <v>35921</v>
      </c>
      <c r="D3157" s="2">
        <v>33181</v>
      </c>
      <c r="E3157" s="2">
        <v>32191</v>
      </c>
      <c r="F3157" s="2">
        <v>26152</v>
      </c>
      <c r="G3157" s="2">
        <v>39765</v>
      </c>
    </row>
    <row r="3158" spans="1:7" x14ac:dyDescent="0.2">
      <c r="A3158" t="s" s="0">
        <v>839</v>
      </c>
      <c r="B3158" s="2">
        <v>1455767</v>
      </c>
      <c r="C3158" s="2">
        <v>37784</v>
      </c>
      <c r="D3158" s="2">
        <v>34757</v>
      </c>
      <c r="E3158" s="2">
        <v>32533</v>
      </c>
      <c r="F3158" s="2">
        <v>26624</v>
      </c>
      <c r="G3158" s="2">
        <v>38788</v>
      </c>
    </row>
    <row r="3159" spans="1:7" x14ac:dyDescent="0.2">
      <c r="A3159" t="s" s="0">
        <v>838</v>
      </c>
      <c r="B3159" s="2">
        <v>1474056</v>
      </c>
      <c r="C3159" s="2">
        <v>30771</v>
      </c>
      <c r="D3159" s="2">
        <v>34514</v>
      </c>
      <c r="E3159" s="2">
        <v>32584</v>
      </c>
      <c r="F3159" s="2">
        <v>32360</v>
      </c>
      <c r="G3159" s="2">
        <v>37362</v>
      </c>
    </row>
    <row r="3160" spans="1:7" x14ac:dyDescent="0.2">
      <c r="A3160" t="s" s="0">
        <v>837</v>
      </c>
      <c r="B3160" s="2">
        <v>1434282</v>
      </c>
      <c r="C3160" s="2">
        <v>34026</v>
      </c>
      <c r="D3160" s="2">
        <v>36022</v>
      </c>
      <c r="E3160" s="2">
        <v>32785</v>
      </c>
      <c r="F3160" s="2">
        <v>28361</v>
      </c>
      <c r="G3160" s="2">
        <v>33268</v>
      </c>
    </row>
    <row r="3161" spans="1:7" x14ac:dyDescent="0.2">
      <c r="A3161" t="s" s="0">
        <v>836</v>
      </c>
      <c r="B3161" s="3">
        <v>1434282</v>
      </c>
      <c r="C3161" s="3">
        <v>34026</v>
      </c>
      <c r="D3161" s="3">
        <v>36022</v>
      </c>
      <c r="E3161" s="3">
        <v>32785</v>
      </c>
      <c r="F3161" s="3">
        <v>28361</v>
      </c>
      <c r="G3161" s="3">
        <v>33268</v>
      </c>
    </row>
    <row r="3162" spans="1:7" x14ac:dyDescent="0.2">
      <c r="A3162" t="s" s="0">
        <v>835</v>
      </c>
      <c r="B3162" s="3">
        <v>1434282</v>
      </c>
      <c r="C3162" s="3">
        <v>34026</v>
      </c>
      <c r="D3162" s="3">
        <v>36022</v>
      </c>
      <c r="E3162" s="3">
        <v>32785</v>
      </c>
      <c r="F3162" s="3">
        <v>28361</v>
      </c>
      <c r="G3162" s="3">
        <v>33268</v>
      </c>
    </row>
    <row r="3163" spans="1:7" x14ac:dyDescent="0.2">
      <c r="A3163" t="s" s="0">
        <v>834</v>
      </c>
      <c r="B3163" s="2">
        <v>1435751</v>
      </c>
      <c r="C3163" s="2">
        <v>22358</v>
      </c>
      <c r="D3163" s="2">
        <v>35610</v>
      </c>
      <c r="E3163" s="2">
        <v>32834</v>
      </c>
      <c r="F3163" s="2">
        <v>24091</v>
      </c>
      <c r="G3163" s="2">
        <v>32188</v>
      </c>
    </row>
    <row r="3164" spans="1:7" x14ac:dyDescent="0.2">
      <c r="A3164" t="s" s="0">
        <v>833</v>
      </c>
      <c r="B3164" s="2">
        <v>1404976</v>
      </c>
      <c r="C3164" s="2">
        <v>35317</v>
      </c>
      <c r="D3164" s="2">
        <v>34092</v>
      </c>
      <c r="E3164" s="2">
        <v>33224</v>
      </c>
      <c r="F3164" s="2">
        <v>21387</v>
      </c>
      <c r="G3164" s="2">
        <v>30573</v>
      </c>
    </row>
    <row r="3165" spans="1:7" x14ac:dyDescent="0.2">
      <c r="A3165" t="s" s="0">
        <v>832</v>
      </c>
      <c r="B3165" s="2">
        <v>1403120</v>
      </c>
      <c r="C3165" s="2">
        <v>41693</v>
      </c>
      <c r="D3165" s="2">
        <v>34083</v>
      </c>
      <c r="E3165" s="2">
        <v>33686</v>
      </c>
      <c r="F3165" s="2">
        <v>26627</v>
      </c>
      <c r="G3165" s="2">
        <v>29896</v>
      </c>
    </row>
    <row r="3166" spans="1:7" x14ac:dyDescent="0.2">
      <c r="A3166" t="s" s="0">
        <v>831</v>
      </c>
      <c r="B3166" s="2">
        <v>1355759</v>
      </c>
      <c r="C3166" s="2">
        <v>37908</v>
      </c>
      <c r="D3166" s="2">
        <v>37954</v>
      </c>
      <c r="E3166" s="2">
        <v>34706</v>
      </c>
      <c r="F3166" s="2">
        <v>20262</v>
      </c>
      <c r="G3166" s="2">
        <v>28321</v>
      </c>
    </row>
    <row r="3167" spans="1:7" x14ac:dyDescent="0.2">
      <c r="A3167" t="s" s="0">
        <v>830</v>
      </c>
      <c r="B3167" s="2">
        <v>1325991</v>
      </c>
      <c r="C3167" s="2">
        <v>35789</v>
      </c>
      <c r="D3167" s="2">
        <v>37070</v>
      </c>
      <c r="E3167" s="2">
        <v>34589</v>
      </c>
      <c r="F3167" s="2">
        <v>20259</v>
      </c>
      <c r="G3167" s="2">
        <v>27426</v>
      </c>
    </row>
    <row r="3168" spans="1:7" x14ac:dyDescent="0.2">
      <c r="A3168" t="s" s="0">
        <v>829</v>
      </c>
      <c r="B3168" s="3">
        <v>1325991</v>
      </c>
      <c r="C3168" s="3">
        <v>35789</v>
      </c>
      <c r="D3168" s="3">
        <v>37070</v>
      </c>
      <c r="E3168" s="3">
        <v>34589</v>
      </c>
      <c r="F3168" s="3">
        <v>20259</v>
      </c>
      <c r="G3168" s="3">
        <v>27426</v>
      </c>
    </row>
    <row r="3169" spans="1:7" x14ac:dyDescent="0.2">
      <c r="A3169" t="s" s="0">
        <v>828</v>
      </c>
      <c r="B3169" s="3">
        <v>1325991</v>
      </c>
      <c r="C3169" s="3">
        <v>35789</v>
      </c>
      <c r="D3169" s="3">
        <v>37070</v>
      </c>
      <c r="E3169" s="3">
        <v>34589</v>
      </c>
      <c r="F3169" s="3">
        <v>20259</v>
      </c>
      <c r="G3169" s="3">
        <v>27426</v>
      </c>
    </row>
    <row r="3170" spans="1:7" x14ac:dyDescent="0.2">
      <c r="A3170" t="s" s="0">
        <v>827</v>
      </c>
      <c r="B3170" s="2">
        <v>1293381</v>
      </c>
      <c r="C3170" s="2">
        <v>19869</v>
      </c>
      <c r="D3170" s="2">
        <v>37629</v>
      </c>
      <c r="E3170" s="2">
        <v>34976</v>
      </c>
      <c r="F3170" s="2">
        <v>15948</v>
      </c>
      <c r="G3170" s="2">
        <v>27964</v>
      </c>
    </row>
    <row r="3171" spans="1:7" x14ac:dyDescent="0.2">
      <c r="A3171" t="s" s="0">
        <v>826</v>
      </c>
      <c r="B3171" s="2">
        <v>1320460</v>
      </c>
      <c r="C3171" s="2">
        <v>34443</v>
      </c>
      <c r="D3171" s="2">
        <v>39083</v>
      </c>
      <c r="E3171" s="2">
        <v>35271</v>
      </c>
      <c r="F3171" s="2">
        <v>25639</v>
      </c>
      <c r="G3171" s="2">
        <v>27851</v>
      </c>
    </row>
    <row r="3172" spans="1:7" x14ac:dyDescent="0.2">
      <c r="A3172" t="s" s="0">
        <v>825</v>
      </c>
      <c r="B3172" s="2">
        <v>1316459</v>
      </c>
      <c r="C3172" s="2">
        <v>33920</v>
      </c>
      <c r="D3172" s="2">
        <v>37972</v>
      </c>
      <c r="E3172" s="2">
        <v>34809</v>
      </c>
      <c r="F3172" s="2">
        <v>24198</v>
      </c>
      <c r="G3172" s="2">
        <v>28919</v>
      </c>
    </row>
    <row r="3173" spans="1:7" x14ac:dyDescent="0.2">
      <c r="A3173" t="s" s="0">
        <v>824</v>
      </c>
      <c r="B3173" s="2">
        <v>1322966</v>
      </c>
      <c r="C3173" s="2">
        <v>38578</v>
      </c>
      <c r="D3173" s="2">
        <v>34495</v>
      </c>
      <c r="E3173" s="2">
        <v>34868</v>
      </c>
      <c r="F3173" s="2">
        <v>28416</v>
      </c>
      <c r="G3173" s="2">
        <v>28942</v>
      </c>
    </row>
    <row r="3174" spans="1:7" x14ac:dyDescent="0.2">
      <c r="A3174" t="s" s="0">
        <v>823</v>
      </c>
      <c r="B3174" s="2">
        <v>1290739</v>
      </c>
      <c r="C3174" s="2">
        <v>35042</v>
      </c>
      <c r="D3174" s="2">
        <v>34388</v>
      </c>
      <c r="E3174" s="2">
        <v>34714</v>
      </c>
      <c r="F3174" s="2">
        <v>28414</v>
      </c>
      <c r="G3174" s="2">
        <v>25352</v>
      </c>
    </row>
    <row r="3175" spans="1:7" x14ac:dyDescent="0.2">
      <c r="A3175" t="s" s="0">
        <v>822</v>
      </c>
      <c r="B3175" s="3">
        <v>1290739</v>
      </c>
      <c r="C3175" s="3">
        <v>35042</v>
      </c>
      <c r="D3175" s="3">
        <v>34388</v>
      </c>
      <c r="E3175" s="3">
        <v>34714</v>
      </c>
      <c r="F3175" s="3">
        <v>28414</v>
      </c>
      <c r="G3175" s="3">
        <v>25352</v>
      </c>
    </row>
    <row r="3176" spans="1:7" x14ac:dyDescent="0.2">
      <c r="A3176" t="s" s="0">
        <v>821</v>
      </c>
      <c r="B3176" s="3">
        <v>1290739</v>
      </c>
      <c r="C3176" s="3">
        <v>35042</v>
      </c>
      <c r="D3176" s="3">
        <v>34388</v>
      </c>
      <c r="E3176" s="3">
        <v>34714</v>
      </c>
      <c r="F3176" s="3">
        <v>28414</v>
      </c>
      <c r="G3176" s="3">
        <v>25352</v>
      </c>
    </row>
    <row r="3177" spans="1:7" x14ac:dyDescent="0.2">
      <c r="A3177" t="s" s="0">
        <v>820</v>
      </c>
      <c r="B3177" s="2">
        <v>1331671</v>
      </c>
      <c r="C3177" s="2">
        <v>18170</v>
      </c>
      <c r="D3177" s="2">
        <v>33891</v>
      </c>
      <c r="E3177" s="2">
        <v>34597</v>
      </c>
      <c r="F3177" s="2">
        <v>38398</v>
      </c>
      <c r="G3177" s="2">
        <v>28028</v>
      </c>
    </row>
    <row r="3178" spans="1:7" x14ac:dyDescent="0.2">
      <c r="A3178" t="s" s="0">
        <v>819</v>
      </c>
      <c r="B3178" s="2">
        <v>1374994</v>
      </c>
      <c r="C3178" s="2">
        <v>27527</v>
      </c>
      <c r="D3178" s="2">
        <v>33465</v>
      </c>
      <c r="E3178" s="2">
        <v>34955</v>
      </c>
      <c r="F3178" s="2">
        <v>40537</v>
      </c>
      <c r="G3178" s="2">
        <v>28429</v>
      </c>
    </row>
    <row r="3179" spans="1:7" x14ac:dyDescent="0.2">
      <c r="A3179" t="s" s="0">
        <v>818</v>
      </c>
      <c r="B3179" s="2">
        <v>1336979</v>
      </c>
      <c r="C3179" s="2">
        <v>35760</v>
      </c>
      <c r="D3179" s="2">
        <v>33727</v>
      </c>
      <c r="E3179" s="2">
        <v>35135</v>
      </c>
      <c r="F3179" s="2">
        <v>35941</v>
      </c>
      <c r="G3179" s="2">
        <v>28347</v>
      </c>
    </row>
    <row r="3180" spans="1:7" x14ac:dyDescent="0.2">
      <c r="A3180" t="s" s="0">
        <v>817</v>
      </c>
      <c r="B3180" s="2">
        <v>1302921</v>
      </c>
      <c r="C3180" s="2">
        <v>33951</v>
      </c>
      <c r="D3180" s="2">
        <v>33778</v>
      </c>
      <c r="E3180" s="2">
        <v>35185</v>
      </c>
      <c r="F3180" s="2">
        <v>30197</v>
      </c>
      <c r="G3180" s="2">
        <v>27809</v>
      </c>
    </row>
    <row r="3181" spans="1:7" x14ac:dyDescent="0.2">
      <c r="A3181" t="s" s="0">
        <v>816</v>
      </c>
      <c r="B3181" s="2">
        <v>1295844</v>
      </c>
      <c r="C3181" s="2">
        <v>34581</v>
      </c>
      <c r="D3181" s="2">
        <v>33712</v>
      </c>
      <c r="E3181" s="2">
        <v>35298</v>
      </c>
      <c r="F3181" s="2">
        <v>33763</v>
      </c>
      <c r="G3181" s="2">
        <v>27699</v>
      </c>
    </row>
    <row r="3182" spans="1:7" x14ac:dyDescent="0.2">
      <c r="A3182" t="s" s="0">
        <v>815</v>
      </c>
      <c r="B3182" s="3">
        <v>1295844</v>
      </c>
      <c r="C3182" s="3">
        <v>34581</v>
      </c>
      <c r="D3182" s="3">
        <v>33712</v>
      </c>
      <c r="E3182" s="3">
        <v>35298</v>
      </c>
      <c r="F3182" s="3">
        <v>33763</v>
      </c>
      <c r="G3182" s="3">
        <v>27699</v>
      </c>
    </row>
    <row r="3183" spans="1:7" x14ac:dyDescent="0.2">
      <c r="A3183" t="s" s="0">
        <v>814</v>
      </c>
      <c r="B3183" s="3">
        <v>1295844</v>
      </c>
      <c r="C3183" s="3">
        <v>34581</v>
      </c>
      <c r="D3183" s="3">
        <v>33712</v>
      </c>
      <c r="E3183" s="3">
        <v>35298</v>
      </c>
      <c r="F3183" s="3">
        <v>33763</v>
      </c>
      <c r="G3183" s="3">
        <v>27699</v>
      </c>
    </row>
    <row r="3184" spans="1:7" x14ac:dyDescent="0.2">
      <c r="A3184" t="s" s="0">
        <v>813</v>
      </c>
      <c r="B3184" s="2">
        <v>1288383</v>
      </c>
      <c r="C3184" s="2">
        <v>21398</v>
      </c>
      <c r="D3184" s="2">
        <v>32766</v>
      </c>
      <c r="E3184" s="2">
        <v>34974</v>
      </c>
      <c r="F3184" s="2">
        <v>25931</v>
      </c>
      <c r="G3184" s="2">
        <v>26092</v>
      </c>
    </row>
    <row r="3185" spans="1:7" x14ac:dyDescent="0.2">
      <c r="A3185" t="s" s="0">
        <v>812</v>
      </c>
      <c r="B3185" s="2">
        <v>1255681</v>
      </c>
      <c r="C3185" s="2">
        <v>33102</v>
      </c>
      <c r="D3185" s="2">
        <v>31711</v>
      </c>
      <c r="E3185" s="2">
        <v>34588</v>
      </c>
      <c r="F3185" s="2">
        <v>13950</v>
      </c>
      <c r="G3185" s="2">
        <v>25378</v>
      </c>
    </row>
    <row r="3186" spans="1:7" x14ac:dyDescent="0.2">
      <c r="A3186" t="s" s="0">
        <v>811</v>
      </c>
      <c r="B3186" s="2">
        <v>1332468</v>
      </c>
      <c r="C3186" s="2">
        <v>38250</v>
      </c>
      <c r="D3186" s="2">
        <v>34911</v>
      </c>
      <c r="E3186" s="2">
        <v>35173</v>
      </c>
      <c r="F3186" s="2">
        <v>33550</v>
      </c>
      <c r="G3186" s="2">
        <v>30079</v>
      </c>
    </row>
    <row r="3187" spans="1:7" x14ac:dyDescent="0.2">
      <c r="A3187" t="s" s="0">
        <v>810</v>
      </c>
      <c r="B3187" s="2">
        <v>1286754</v>
      </c>
      <c r="C3187" s="2">
        <v>38765</v>
      </c>
      <c r="D3187" s="2">
        <v>36175</v>
      </c>
      <c r="E3187" s="2">
        <v>35601</v>
      </c>
      <c r="F3187" s="2">
        <v>33149</v>
      </c>
      <c r="G3187" s="2">
        <v>28006</v>
      </c>
    </row>
    <row r="3188" spans="1:7" x14ac:dyDescent="0.2">
      <c r="A3188" t="s" s="0">
        <v>809</v>
      </c>
      <c r="B3188" s="2">
        <v>1243077</v>
      </c>
      <c r="C3188" s="2">
        <v>37142</v>
      </c>
      <c r="D3188" s="2">
        <v>37824</v>
      </c>
      <c r="E3188" s="2">
        <v>35749</v>
      </c>
      <c r="F3188" s="2">
        <v>29582</v>
      </c>
      <c r="G3188" s="2">
        <v>28005</v>
      </c>
    </row>
    <row r="3189" spans="1:7" x14ac:dyDescent="0.2">
      <c r="A3189" t="s" s="0">
        <v>808</v>
      </c>
      <c r="B3189" s="3">
        <v>1243077</v>
      </c>
      <c r="C3189" s="3">
        <v>37142</v>
      </c>
      <c r="D3189" s="3">
        <v>37824</v>
      </c>
      <c r="E3189" s="3">
        <v>35749</v>
      </c>
      <c r="F3189" s="3">
        <v>29582</v>
      </c>
      <c r="G3189" s="3">
        <v>28005</v>
      </c>
    </row>
    <row r="3190" spans="1:7" x14ac:dyDescent="0.2">
      <c r="A3190" t="s" s="0">
        <v>807</v>
      </c>
      <c r="B3190" s="3">
        <v>1243077</v>
      </c>
      <c r="C3190" s="3">
        <v>37142</v>
      </c>
      <c r="D3190" s="3">
        <v>37824</v>
      </c>
      <c r="E3190" s="3">
        <v>35749</v>
      </c>
      <c r="F3190" s="3">
        <v>29582</v>
      </c>
      <c r="G3190" s="3">
        <v>28005</v>
      </c>
    </row>
    <row r="3191" spans="1:7" x14ac:dyDescent="0.2">
      <c r="A3191" t="s" s="0">
        <v>806</v>
      </c>
      <c r="B3191" s="2">
        <v>1265855</v>
      </c>
      <c r="C3191" s="2">
        <v>22045</v>
      </c>
      <c r="D3191" s="2">
        <v>41263</v>
      </c>
      <c r="E3191" s="2">
        <v>36387</v>
      </c>
      <c r="F3191" s="2">
        <v>37341</v>
      </c>
      <c r="G3191" s="2">
        <v>29404</v>
      </c>
    </row>
    <row r="3192" spans="1:7" x14ac:dyDescent="0.2">
      <c r="A3192" t="s" s="0">
        <v>805</v>
      </c>
      <c r="B3192" s="2">
        <v>1328767</v>
      </c>
      <c r="C3192" s="2">
        <v>36324</v>
      </c>
      <c r="D3192" s="2">
        <v>42842</v>
      </c>
      <c r="E3192" s="2">
        <v>36775</v>
      </c>
      <c r="F3192" s="2">
        <v>52337</v>
      </c>
      <c r="G3192" s="2">
        <v>33116</v>
      </c>
    </row>
    <row r="3193" spans="1:7" x14ac:dyDescent="0.2">
      <c r="A3193" t="s" s="0">
        <v>804</v>
      </c>
      <c r="B3193" s="2">
        <v>1271406</v>
      </c>
      <c r="C3193" s="2">
        <v>37982</v>
      </c>
      <c r="D3193" s="2">
        <v>39960</v>
      </c>
      <c r="E3193" s="2">
        <v>36643</v>
      </c>
      <c r="F3193" s="2">
        <v>30290</v>
      </c>
      <c r="G3193" s="2">
        <v>30995</v>
      </c>
    </row>
    <row r="3194" spans="1:7" x14ac:dyDescent="0.2">
      <c r="A3194" t="s" s="0">
        <v>803</v>
      </c>
      <c r="B3194" s="2">
        <v>1232655</v>
      </c>
      <c r="C3194" s="2">
        <v>38699</v>
      </c>
      <c r="D3194" s="2">
        <v>38662</v>
      </c>
      <c r="E3194" s="2">
        <v>35778</v>
      </c>
      <c r="F3194" s="2">
        <v>29988</v>
      </c>
      <c r="G3194" s="2">
        <v>30437</v>
      </c>
    </row>
    <row r="3195" spans="1:7" x14ac:dyDescent="0.2">
      <c r="A3195" t="s" s="0">
        <v>802</v>
      </c>
      <c r="B3195" s="2">
        <v>1201102</v>
      </c>
      <c r="C3195" s="2">
        <v>39645</v>
      </c>
      <c r="D3195" s="2">
        <v>37737</v>
      </c>
      <c r="E3195" s="2">
        <v>35915</v>
      </c>
      <c r="F3195" s="2">
        <v>30468</v>
      </c>
      <c r="G3195" s="2">
        <v>30557</v>
      </c>
    </row>
    <row r="3196" spans="1:7" x14ac:dyDescent="0.2">
      <c r="A3196" t="s" s="0">
        <v>801</v>
      </c>
      <c r="B3196" s="3">
        <v>1201102</v>
      </c>
      <c r="C3196" s="3">
        <v>39645</v>
      </c>
      <c r="D3196" s="3">
        <v>37737</v>
      </c>
      <c r="E3196" s="3">
        <v>35915</v>
      </c>
      <c r="F3196" s="3">
        <v>30468</v>
      </c>
      <c r="G3196" s="3">
        <v>30557</v>
      </c>
    </row>
    <row r="3197" spans="1:7" x14ac:dyDescent="0.2">
      <c r="A3197" t="s" s="0">
        <v>800</v>
      </c>
      <c r="B3197" s="3">
        <v>1201102</v>
      </c>
      <c r="C3197" s="3">
        <v>39645</v>
      </c>
      <c r="D3197" s="3">
        <v>37737</v>
      </c>
      <c r="E3197" s="3">
        <v>35915</v>
      </c>
      <c r="F3197" s="3">
        <v>30468</v>
      </c>
      <c r="G3197" s="3">
        <v>30557</v>
      </c>
    </row>
    <row r="3198" spans="1:7" x14ac:dyDescent="0.2">
      <c r="A3198" t="s" s="0">
        <v>799</v>
      </c>
      <c r="B3198" s="2">
        <v>1163948</v>
      </c>
      <c r="C3198" s="2">
        <v>27955</v>
      </c>
      <c r="D3198" s="2">
        <v>36420</v>
      </c>
      <c r="E3198" s="2">
        <v>36085</v>
      </c>
      <c r="F3198" s="2">
        <v>20573</v>
      </c>
      <c r="G3198" s="2">
        <v>30560</v>
      </c>
    </row>
    <row r="3199" spans="1:7" x14ac:dyDescent="0.2">
      <c r="A3199" t="s" s="0">
        <v>798</v>
      </c>
      <c r="B3199" s="2">
        <v>1237764</v>
      </c>
      <c r="C3199" s="2">
        <v>40963</v>
      </c>
      <c r="D3199" s="2">
        <v>37104</v>
      </c>
      <c r="E3199" s="2">
        <v>36281</v>
      </c>
      <c r="F3199" s="2">
        <v>22895</v>
      </c>
      <c r="G3199" s="2">
        <v>32430</v>
      </c>
    </row>
    <row r="3200" spans="1:7" x14ac:dyDescent="0.2">
      <c r="A3200" t="s" s="0">
        <v>797</v>
      </c>
      <c r="B3200" s="2">
        <v>1207803</v>
      </c>
      <c r="C3200" s="2">
        <v>39987</v>
      </c>
      <c r="D3200" s="2">
        <v>37390</v>
      </c>
      <c r="E3200" s="2">
        <v>36497</v>
      </c>
      <c r="F3200" s="2">
        <v>27095</v>
      </c>
      <c r="G3200" s="2">
        <v>31719</v>
      </c>
    </row>
    <row r="3201" spans="1:7" x14ac:dyDescent="0.2">
      <c r="A3201" t="s" s="0">
        <v>796</v>
      </c>
      <c r="B3201" s="2">
        <v>1220279</v>
      </c>
      <c r="C3201" s="2">
        <v>37405</v>
      </c>
      <c r="D3201" s="2">
        <v>37206</v>
      </c>
      <c r="E3201" s="2">
        <v>36455</v>
      </c>
      <c r="F3201" s="2">
        <v>34228</v>
      </c>
      <c r="G3201" s="2">
        <v>31890</v>
      </c>
    </row>
    <row r="3202" spans="1:7" x14ac:dyDescent="0.2">
      <c r="A3202" t="s" s="0">
        <v>795</v>
      </c>
      <c r="B3202" s="2">
        <v>1220508</v>
      </c>
      <c r="C3202" s="2">
        <v>39572</v>
      </c>
      <c r="D3202" s="2">
        <v>37195</v>
      </c>
      <c r="E3202" s="2">
        <v>36617</v>
      </c>
      <c r="F3202" s="2">
        <v>38750</v>
      </c>
      <c r="G3202" s="2">
        <v>33141</v>
      </c>
    </row>
    <row r="3203" spans="1:7" x14ac:dyDescent="0.2">
      <c r="A3203" t="s" s="0">
        <v>794</v>
      </c>
      <c r="B3203" s="3">
        <v>1220508</v>
      </c>
      <c r="C3203" s="3">
        <v>39572</v>
      </c>
      <c r="D3203" s="3">
        <v>37195</v>
      </c>
      <c r="E3203" s="3">
        <v>36617</v>
      </c>
      <c r="F3203" s="3">
        <v>38750</v>
      </c>
      <c r="G3203" s="3">
        <v>33141</v>
      </c>
    </row>
    <row r="3204" spans="1:7" x14ac:dyDescent="0.2">
      <c r="A3204" t="s" s="0">
        <v>793</v>
      </c>
      <c r="B3204" s="3">
        <v>1220508</v>
      </c>
      <c r="C3204" s="3">
        <v>39572</v>
      </c>
      <c r="D3204" s="3">
        <v>37195</v>
      </c>
      <c r="E3204" s="3">
        <v>36617</v>
      </c>
      <c r="F3204" s="3">
        <v>38750</v>
      </c>
      <c r="G3204" s="3">
        <v>33141</v>
      </c>
    </row>
    <row r="3205" spans="1:7" x14ac:dyDescent="0.2">
      <c r="A3205" t="s" s="0">
        <v>792</v>
      </c>
      <c r="B3205" s="2">
        <v>1212661</v>
      </c>
      <c r="C3205" s="2">
        <v>22622</v>
      </c>
      <c r="D3205" s="2">
        <v>37465</v>
      </c>
      <c r="E3205" s="2">
        <v>36979</v>
      </c>
      <c r="F3205" s="2">
        <v>43223</v>
      </c>
      <c r="G3205" s="2">
        <v>31767</v>
      </c>
    </row>
    <row r="3206" spans="1:7" x14ac:dyDescent="0.2">
      <c r="A3206" t="s" s="0">
        <v>791</v>
      </c>
      <c r="B3206" s="2">
        <v>1194649</v>
      </c>
      <c r="C3206" s="2">
        <v>39262</v>
      </c>
      <c r="D3206" s="2">
        <v>40707</v>
      </c>
      <c r="E3206" s="2">
        <v>38091</v>
      </c>
      <c r="F3206" s="2">
        <v>33759</v>
      </c>
      <c r="G3206" s="2">
        <v>30735</v>
      </c>
    </row>
    <row r="3207" spans="1:7" x14ac:dyDescent="0.2">
      <c r="A3207" t="s" s="0">
        <v>790</v>
      </c>
      <c r="B3207" s="2">
        <v>1143982</v>
      </c>
      <c r="C3207" s="2">
        <v>45590</v>
      </c>
      <c r="D3207" s="2">
        <v>42221</v>
      </c>
      <c r="E3207" s="2">
        <v>38621</v>
      </c>
      <c r="F3207" s="2">
        <v>32315</v>
      </c>
      <c r="G3207" s="2">
        <v>30813</v>
      </c>
    </row>
    <row r="3208" spans="1:7" x14ac:dyDescent="0.2">
      <c r="A3208" t="s" s="0">
        <v>789</v>
      </c>
      <c r="B3208" s="2">
        <v>1164709</v>
      </c>
      <c r="C3208" s="2">
        <v>37799</v>
      </c>
      <c r="D3208" s="2">
        <v>43220</v>
      </c>
      <c r="E3208" s="2">
        <v>38816</v>
      </c>
      <c r="F3208" s="2">
        <v>34493</v>
      </c>
      <c r="G3208" s="2">
        <v>32964</v>
      </c>
    </row>
    <row r="3209" spans="1:7" x14ac:dyDescent="0.2">
      <c r="A3209" t="s" s="0">
        <v>788</v>
      </c>
      <c r="B3209" s="2">
        <v>1127957</v>
      </c>
      <c r="C3209" s="2">
        <v>41587</v>
      </c>
      <c r="D3209" s="2">
        <v>46855</v>
      </c>
      <c r="E3209" s="2">
        <v>39903</v>
      </c>
      <c r="F3209" s="2">
        <v>33062</v>
      </c>
      <c r="G3209" s="2">
        <v>32966</v>
      </c>
    </row>
    <row r="3210" spans="1:7" x14ac:dyDescent="0.2">
      <c r="A3210" t="s" s="0">
        <v>787</v>
      </c>
      <c r="B3210" s="3">
        <v>1127957</v>
      </c>
      <c r="C3210" s="3">
        <v>41587</v>
      </c>
      <c r="D3210" s="3">
        <v>46855</v>
      </c>
      <c r="E3210" s="3">
        <v>39903</v>
      </c>
      <c r="F3210" s="3">
        <v>33062</v>
      </c>
      <c r="G3210" s="3">
        <v>32966</v>
      </c>
    </row>
    <row r="3211" spans="1:7" x14ac:dyDescent="0.2">
      <c r="A3211" t="s" s="0">
        <v>786</v>
      </c>
      <c r="B3211" s="3">
        <v>1127957</v>
      </c>
      <c r="C3211" s="3">
        <v>41587</v>
      </c>
      <c r="D3211" s="3">
        <v>46855</v>
      </c>
      <c r="E3211" s="3">
        <v>39903</v>
      </c>
      <c r="F3211" s="3">
        <v>33062</v>
      </c>
      <c r="G3211" s="3">
        <v>32966</v>
      </c>
    </row>
    <row r="3212" spans="1:7" x14ac:dyDescent="0.2">
      <c r="A3212" t="s" s="0">
        <v>785</v>
      </c>
      <c r="B3212" s="2">
        <v>1095167</v>
      </c>
      <c r="C3212" s="2">
        <v>27453</v>
      </c>
      <c r="D3212" s="2">
        <v>47630</v>
      </c>
      <c r="E3212" s="2">
        <v>40695</v>
      </c>
      <c r="F3212" s="2">
        <v>30275</v>
      </c>
      <c r="G3212" s="2">
        <v>32853</v>
      </c>
    </row>
    <row r="3213" spans="1:7" x14ac:dyDescent="0.2">
      <c r="A3213" t="s" s="0">
        <v>784</v>
      </c>
      <c r="B3213" s="2">
        <v>1070110</v>
      </c>
      <c r="C3213" s="2">
        <v>35468</v>
      </c>
      <c r="D3213" s="2">
        <v>42175</v>
      </c>
      <c r="E3213" s="2">
        <v>40707</v>
      </c>
      <c r="F3213" s="2">
        <v>23762</v>
      </c>
      <c r="G3213" s="2">
        <v>33188</v>
      </c>
    </row>
    <row r="3214" spans="1:7" x14ac:dyDescent="0.2">
      <c r="A3214" t="s" s="0">
        <v>783</v>
      </c>
      <c r="B3214" s="2">
        <v>1068710</v>
      </c>
      <c r="C3214" s="2">
        <v>41960</v>
      </c>
      <c r="D3214" s="2">
        <v>40943</v>
      </c>
      <c r="E3214" s="2">
        <v>40129</v>
      </c>
      <c r="F3214" s="2">
        <v>29567</v>
      </c>
      <c r="G3214" s="2">
        <v>29817</v>
      </c>
    </row>
    <row r="3215" spans="1:7" x14ac:dyDescent="0.2">
      <c r="A3215" t="s" s="0">
        <v>782</v>
      </c>
      <c r="B3215" s="2">
        <v>1046359</v>
      </c>
      <c r="C3215" s="2">
        <v>36649</v>
      </c>
      <c r="D3215" s="2">
        <v>39835</v>
      </c>
      <c r="E3215" s="2">
        <v>39731</v>
      </c>
      <c r="F3215" s="2">
        <v>22307</v>
      </c>
      <c r="G3215" s="2">
        <v>30254</v>
      </c>
    </row>
    <row r="3216" spans="1:7" x14ac:dyDescent="0.2">
      <c r="A3216" t="s" s="0">
        <v>781</v>
      </c>
      <c r="B3216" s="2">
        <v>1029710</v>
      </c>
      <c r="C3216" s="2">
        <v>40901</v>
      </c>
      <c r="D3216" s="2">
        <v>36821</v>
      </c>
      <c r="E3216" s="2">
        <v>39652</v>
      </c>
      <c r="F3216" s="2">
        <v>22260</v>
      </c>
      <c r="G3216" s="2">
        <v>31135</v>
      </c>
    </row>
    <row r="3217" spans="1:7" x14ac:dyDescent="0.2">
      <c r="A3217" t="s" s="0">
        <v>780</v>
      </c>
      <c r="B3217" s="3">
        <v>1029710</v>
      </c>
      <c r="C3217" s="3">
        <v>40901</v>
      </c>
      <c r="D3217" s="3">
        <v>36821</v>
      </c>
      <c r="E3217" s="3">
        <v>39652</v>
      </c>
      <c r="F3217" s="3">
        <v>22260</v>
      </c>
      <c r="G3217" s="3">
        <v>31135</v>
      </c>
    </row>
    <row r="3218" spans="1:7" x14ac:dyDescent="0.2">
      <c r="A3218" t="s" s="0">
        <v>779</v>
      </c>
      <c r="B3218" s="3">
        <v>1029710</v>
      </c>
      <c r="C3218" s="3">
        <v>40901</v>
      </c>
      <c r="D3218" s="3">
        <v>36821</v>
      </c>
      <c r="E3218" s="3">
        <v>39652</v>
      </c>
      <c r="F3218" s="3">
        <v>22260</v>
      </c>
      <c r="G3218" s="3">
        <v>31135</v>
      </c>
    </row>
    <row r="3219" spans="1:7" x14ac:dyDescent="0.2">
      <c r="A3219" t="s" s="0">
        <v>778</v>
      </c>
      <c r="B3219" s="2">
        <v>981376</v>
      </c>
      <c r="C3219" s="2">
        <v>25982</v>
      </c>
      <c r="D3219" s="2">
        <v>38050</v>
      </c>
      <c r="E3219" s="2">
        <v>39891</v>
      </c>
      <c r="F3219" s="2">
        <v>21268</v>
      </c>
      <c r="G3219" s="2">
        <v>28835</v>
      </c>
    </row>
    <row r="3220" spans="1:7" x14ac:dyDescent="0.2">
      <c r="A3220" t="s" s="0">
        <v>777</v>
      </c>
      <c r="B3220" s="2">
        <v>952681</v>
      </c>
      <c r="C3220" s="2">
        <v>34645</v>
      </c>
      <c r="D3220" s="2">
        <v>40367</v>
      </c>
      <c r="E3220" s="2">
        <v>40088</v>
      </c>
      <c r="F3220" s="2">
        <v>23071</v>
      </c>
      <c r="G3220" s="2">
        <v>25872</v>
      </c>
    </row>
    <row r="3221" spans="1:7" x14ac:dyDescent="0.2">
      <c r="A3221" t="s" s="0">
        <v>776</v>
      </c>
      <c r="B3221" s="2">
        <v>941369</v>
      </c>
      <c r="C3221" s="2">
        <v>35607</v>
      </c>
      <c r="D3221" s="2">
        <v>41706</v>
      </c>
      <c r="E3221" s="2">
        <v>40565</v>
      </c>
      <c r="F3221" s="2">
        <v>22995</v>
      </c>
      <c r="G3221" s="2">
        <v>27993</v>
      </c>
    </row>
    <row r="3222" spans="1:7" x14ac:dyDescent="0.2">
      <c r="A3222" t="s" s="0">
        <v>775</v>
      </c>
      <c r="B3222" s="2">
        <v>902895</v>
      </c>
      <c r="C3222" s="2">
        <v>35252</v>
      </c>
      <c r="D3222" s="2">
        <v>41978</v>
      </c>
      <c r="E3222" s="2">
        <v>40560</v>
      </c>
      <c r="F3222" s="2">
        <v>20964</v>
      </c>
      <c r="G3222" s="2">
        <v>27998</v>
      </c>
    </row>
    <row r="3223" spans="1:7" x14ac:dyDescent="0.2">
      <c r="A3223" t="s" s="0">
        <v>774</v>
      </c>
      <c r="B3223" s="2">
        <v>861479</v>
      </c>
      <c r="C3223" s="2">
        <v>35015</v>
      </c>
      <c r="D3223" s="2">
        <v>43924</v>
      </c>
      <c r="E3223" s="2">
        <v>41199</v>
      </c>
      <c r="F3223" s="2">
        <v>19680</v>
      </c>
      <c r="G3223" s="2">
        <v>28438</v>
      </c>
    </row>
    <row r="3224" spans="1:7" x14ac:dyDescent="0.2">
      <c r="A3224" t="s" s="0">
        <v>773</v>
      </c>
      <c r="B3224" s="3">
        <v>861479</v>
      </c>
      <c r="C3224" s="3">
        <v>35015</v>
      </c>
      <c r="D3224" s="3">
        <v>43924</v>
      </c>
      <c r="E3224" s="3">
        <v>41199</v>
      </c>
      <c r="F3224" s="3">
        <v>19680</v>
      </c>
      <c r="G3224" s="3">
        <v>28438</v>
      </c>
    </row>
    <row r="3225" spans="1:7" x14ac:dyDescent="0.2">
      <c r="A3225" t="s" s="0">
        <v>772</v>
      </c>
      <c r="B3225" s="3">
        <v>861479</v>
      </c>
      <c r="C3225" s="3">
        <v>35015</v>
      </c>
      <c r="D3225" s="3">
        <v>43924</v>
      </c>
      <c r="E3225" s="3">
        <v>41199</v>
      </c>
      <c r="F3225" s="3">
        <v>19680</v>
      </c>
      <c r="G3225" s="3">
        <v>28438</v>
      </c>
    </row>
    <row r="3226" spans="1:7" x14ac:dyDescent="0.2">
      <c r="A3226" t="s" s="0">
        <v>771</v>
      </c>
      <c r="B3226" s="2">
        <v>990110</v>
      </c>
      <c r="C3226" s="2">
        <v>26884</v>
      </c>
      <c r="D3226" s="2">
        <v>42264</v>
      </c>
      <c r="E3226" s="2">
        <v>41352</v>
      </c>
      <c r="F3226" s="2">
        <v>43091</v>
      </c>
      <c r="G3226" s="2">
        <v>34464</v>
      </c>
    </row>
    <row r="3227" spans="1:7" x14ac:dyDescent="0.2">
      <c r="A3227" t="s" s="0">
        <v>770</v>
      </c>
      <c r="B3227" s="2">
        <v>982219</v>
      </c>
      <c r="C3227" s="2">
        <v>39979</v>
      </c>
      <c r="D3227" s="2">
        <v>41305</v>
      </c>
      <c r="E3227" s="2">
        <v>41139</v>
      </c>
      <c r="F3227" s="2">
        <v>45200</v>
      </c>
      <c r="G3227" s="2">
        <v>31448</v>
      </c>
    </row>
    <row r="3228" spans="1:7" x14ac:dyDescent="0.2">
      <c r="A3228" t="s" s="0">
        <v>769</v>
      </c>
      <c r="B3228" s="2">
        <v>936878</v>
      </c>
      <c r="C3228" s="2">
        <v>43845</v>
      </c>
      <c r="D3228" s="2">
        <v>40454</v>
      </c>
      <c r="E3228" s="2">
        <v>41331</v>
      </c>
      <c r="F3228" s="2">
        <v>39486</v>
      </c>
      <c r="G3228" s="2">
        <v>31091</v>
      </c>
    </row>
    <row r="3229" spans="1:7" x14ac:dyDescent="0.2">
      <c r="A3229" t="s" s="0">
        <v>768</v>
      </c>
      <c r="B3229" s="2">
        <v>904287</v>
      </c>
      <c r="C3229" s="2">
        <v>47623</v>
      </c>
      <c r="D3229" s="2">
        <v>41750</v>
      </c>
      <c r="E3229" s="2">
        <v>41696</v>
      </c>
      <c r="F3229" s="2">
        <v>41622</v>
      </c>
      <c r="G3229" s="2">
        <v>29846</v>
      </c>
    </row>
    <row r="3230" spans="1:7" x14ac:dyDescent="0.2">
      <c r="A3230" t="s" s="0">
        <v>767</v>
      </c>
      <c r="B3230" s="2">
        <v>983974</v>
      </c>
      <c r="C3230" s="2">
        <v>49847</v>
      </c>
      <c r="D3230" s="2">
        <v>41786</v>
      </c>
      <c r="E3230" s="2">
        <v>42347</v>
      </c>
      <c r="F3230" s="2">
        <v>58985</v>
      </c>
      <c r="G3230" s="2">
        <v>33497</v>
      </c>
    </row>
    <row r="3231" spans="1:7" x14ac:dyDescent="0.2">
      <c r="A3231" t="s" s="0">
        <v>766</v>
      </c>
      <c r="B3231" s="3">
        <v>983974</v>
      </c>
      <c r="C3231" s="3">
        <v>49847</v>
      </c>
      <c r="D3231" s="3">
        <v>41786</v>
      </c>
      <c r="E3231" s="3">
        <v>42347</v>
      </c>
      <c r="F3231" s="3">
        <v>58985</v>
      </c>
      <c r="G3231" s="3">
        <v>33497</v>
      </c>
    </row>
    <row r="3232" spans="1:7" x14ac:dyDescent="0.2">
      <c r="A3232" t="s" s="0">
        <v>765</v>
      </c>
      <c r="B3232" s="3">
        <v>983974</v>
      </c>
      <c r="C3232" s="3">
        <v>49847</v>
      </c>
      <c r="D3232" s="3">
        <v>41786</v>
      </c>
      <c r="E3232" s="3">
        <v>42347</v>
      </c>
      <c r="F3232" s="3">
        <v>58985</v>
      </c>
      <c r="G3232" s="3">
        <v>33497</v>
      </c>
    </row>
    <row r="3233" spans="1:7" x14ac:dyDescent="0.2">
      <c r="A3233" t="s" s="0">
        <v>764</v>
      </c>
      <c r="B3233" s="2">
        <v>961245</v>
      </c>
      <c r="C3233" s="2">
        <v>26651</v>
      </c>
      <c r="D3233" s="2">
        <v>42943</v>
      </c>
      <c r="E3233" s="2">
        <v>42722</v>
      </c>
      <c r="F3233" s="2">
        <v>38727</v>
      </c>
      <c r="G3233" s="2">
        <v>33340</v>
      </c>
    </row>
    <row r="3234" spans="1:7" x14ac:dyDescent="0.2">
      <c r="A3234" t="s" s="0">
        <v>763</v>
      </c>
      <c r="B3234" s="2">
        <v>1020938</v>
      </c>
      <c r="C3234" s="2">
        <v>47779</v>
      </c>
      <c r="D3234" s="2">
        <v>44442</v>
      </c>
      <c r="E3234" s="2">
        <v>42072</v>
      </c>
      <c r="F3234" s="2">
        <v>49900</v>
      </c>
      <c r="G3234" s="2">
        <v>35483</v>
      </c>
    </row>
    <row r="3235" spans="1:7" x14ac:dyDescent="0.2">
      <c r="A3235" t="s" s="0">
        <v>762</v>
      </c>
      <c r="B3235" s="2">
        <v>973493</v>
      </c>
      <c r="C3235" s="2">
        <v>46184</v>
      </c>
      <c r="D3235" s="2">
        <v>44848</v>
      </c>
      <c r="E3235" s="2">
        <v>41988</v>
      </c>
      <c r="F3235" s="2">
        <v>49870</v>
      </c>
      <c r="G3235" s="2">
        <v>35480</v>
      </c>
    </row>
    <row r="3236" spans="1:7" x14ac:dyDescent="0.2">
      <c r="A3236" t="s" s="0">
        <v>761</v>
      </c>
      <c r="B3236" s="2">
        <v>919557</v>
      </c>
      <c r="C3236" s="2">
        <v>49983</v>
      </c>
      <c r="D3236" s="2">
        <v>45186</v>
      </c>
      <c r="E3236" s="2">
        <v>42187</v>
      </c>
      <c r="F3236" s="2">
        <v>47159</v>
      </c>
      <c r="G3236" s="2">
        <v>33013</v>
      </c>
    </row>
    <row r="3237" spans="1:7" x14ac:dyDescent="0.2">
      <c r="A3237" t="s" s="0">
        <v>760</v>
      </c>
      <c r="B3237" s="2">
        <v>941377</v>
      </c>
      <c r="C3237" s="2">
        <v>46085</v>
      </c>
      <c r="D3237" s="2">
        <v>43513</v>
      </c>
      <c r="E3237" s="2">
        <v>41511</v>
      </c>
      <c r="F3237" s="2">
        <v>37248</v>
      </c>
      <c r="G3237" s="2">
        <v>34544</v>
      </c>
    </row>
    <row r="3238" spans="1:7" x14ac:dyDescent="0.2">
      <c r="A3238" t="s" s="0">
        <v>759</v>
      </c>
      <c r="B3238" s="3">
        <v>941377</v>
      </c>
      <c r="C3238" s="3">
        <v>46085</v>
      </c>
      <c r="D3238" s="3">
        <v>43513</v>
      </c>
      <c r="E3238" s="3">
        <v>41511</v>
      </c>
      <c r="F3238" s="3">
        <v>37248</v>
      </c>
      <c r="G3238" s="3">
        <v>34544</v>
      </c>
    </row>
    <row r="3239" spans="1:7" x14ac:dyDescent="0.2">
      <c r="A3239" t="s" s="0">
        <v>758</v>
      </c>
      <c r="B3239" s="3">
        <v>941377</v>
      </c>
      <c r="C3239" s="3">
        <v>46085</v>
      </c>
      <c r="D3239" s="3">
        <v>43513</v>
      </c>
      <c r="E3239" s="3">
        <v>41511</v>
      </c>
      <c r="F3239" s="3">
        <v>37248</v>
      </c>
      <c r="G3239" s="3">
        <v>34544</v>
      </c>
    </row>
    <row r="3240" spans="1:7" x14ac:dyDescent="0.2">
      <c r="A3240" t="s" s="0">
        <v>757</v>
      </c>
      <c r="B3240" s="2">
        <v>949517</v>
      </c>
      <c r="C3240" s="2">
        <v>31801</v>
      </c>
      <c r="D3240" s="2">
        <v>48338</v>
      </c>
      <c r="E3240" s="2">
        <v>42898</v>
      </c>
      <c r="F3240" s="2">
        <v>46483</v>
      </c>
      <c r="G3240" s="2">
        <v>37392</v>
      </c>
    </row>
    <row r="3241" spans="1:7" x14ac:dyDescent="0.2">
      <c r="A3241" t="s" s="0">
        <v>756</v>
      </c>
      <c r="B3241" s="2">
        <v>1142619</v>
      </c>
      <c r="C3241" s="2">
        <v>49063</v>
      </c>
      <c r="D3241" s="2">
        <v>47422</v>
      </c>
      <c r="E3241" s="2">
        <v>43384</v>
      </c>
      <c r="F3241" s="2">
        <v>64615</v>
      </c>
      <c r="G3241" s="2">
        <v>45697</v>
      </c>
    </row>
    <row r="3242" spans="1:7" x14ac:dyDescent="0.2">
      <c r="A3242" t="s" s="0">
        <v>755</v>
      </c>
      <c r="B3242" s="2">
        <v>1121797</v>
      </c>
      <c r="C3242" s="2">
        <v>45724</v>
      </c>
      <c r="D3242" s="2">
        <v>47065</v>
      </c>
      <c r="E3242" s="2">
        <v>43518</v>
      </c>
      <c r="F3242" s="2">
        <v>68196</v>
      </c>
      <c r="G3242" s="2">
        <v>45137</v>
      </c>
    </row>
    <row r="3243" spans="1:7" x14ac:dyDescent="0.2">
      <c r="A3243" t="s" s="0">
        <v>754</v>
      </c>
      <c r="B3243" s="2">
        <v>1149395</v>
      </c>
      <c r="C3243" s="2">
        <v>46008</v>
      </c>
      <c r="D3243" s="2">
        <v>47105</v>
      </c>
      <c r="E3243" s="2">
        <v>44005</v>
      </c>
      <c r="F3243" s="2">
        <v>79883</v>
      </c>
      <c r="G3243" s="2">
        <v>47407</v>
      </c>
    </row>
    <row r="3244" spans="1:7" x14ac:dyDescent="0.2">
      <c r="A3244" t="s" s="0">
        <v>753</v>
      </c>
      <c r="B3244" s="2">
        <v>1130945</v>
      </c>
      <c r="C3244" s="2">
        <v>43492</v>
      </c>
      <c r="D3244" s="2">
        <v>46734</v>
      </c>
      <c r="E3244" s="2">
        <v>43989</v>
      </c>
      <c r="F3244" s="2">
        <v>73761</v>
      </c>
      <c r="G3244" s="2">
        <v>47419</v>
      </c>
    </row>
    <row r="3245" spans="1:7" x14ac:dyDescent="0.2">
      <c r="A3245" t="s" s="0">
        <v>752</v>
      </c>
      <c r="B3245" s="3">
        <v>1130945</v>
      </c>
      <c r="C3245" s="3">
        <v>43492</v>
      </c>
      <c r="D3245" s="3">
        <v>46734</v>
      </c>
      <c r="E3245" s="3">
        <v>43989</v>
      </c>
      <c r="F3245" s="3">
        <v>73761</v>
      </c>
      <c r="G3245" s="3">
        <v>47419</v>
      </c>
    </row>
    <row r="3246" spans="1:7" x14ac:dyDescent="0.2">
      <c r="A3246" t="s" s="0">
        <v>751</v>
      </c>
      <c r="B3246" s="3">
        <v>1130945</v>
      </c>
      <c r="C3246" s="3">
        <v>43492</v>
      </c>
      <c r="D3246" s="3">
        <v>46734</v>
      </c>
      <c r="E3246" s="3">
        <v>43989</v>
      </c>
      <c r="F3246" s="3">
        <v>73761</v>
      </c>
      <c r="G3246" s="3">
        <v>47419</v>
      </c>
    </row>
    <row r="3247" spans="1:7" x14ac:dyDescent="0.2">
      <c r="A3247" t="s" s="0">
        <v>750</v>
      </c>
      <c r="B3247" s="2">
        <v>1230205</v>
      </c>
      <c r="C3247" s="2">
        <v>27598</v>
      </c>
      <c r="D3247" s="2">
        <v>42105</v>
      </c>
      <c r="E3247" s="2">
        <v>43912</v>
      </c>
      <c r="F3247" s="2">
        <v>82149</v>
      </c>
      <c r="G3247" s="2">
        <v>52613</v>
      </c>
    </row>
    <row r="3248" spans="1:7" x14ac:dyDescent="0.2">
      <c r="A3248" t="s" s="0">
        <v>749</v>
      </c>
      <c r="B3248" s="2">
        <v>1206553</v>
      </c>
      <c r="C3248" s="2">
        <v>49533</v>
      </c>
      <c r="D3248" s="2">
        <v>42173</v>
      </c>
      <c r="E3248" s="2">
        <v>43835</v>
      </c>
      <c r="F3248" s="2">
        <v>51273</v>
      </c>
      <c r="G3248" s="2">
        <v>52747</v>
      </c>
    </row>
    <row r="3249" spans="1:7" x14ac:dyDescent="0.2">
      <c r="A3249" t="s" s="0">
        <v>748</v>
      </c>
      <c r="B3249" s="2">
        <v>1210655</v>
      </c>
      <c r="C3249" s="2">
        <v>50340</v>
      </c>
      <c r="D3249" s="2">
        <v>44206</v>
      </c>
      <c r="E3249" s="2">
        <v>44143</v>
      </c>
      <c r="F3249" s="2">
        <v>56868</v>
      </c>
      <c r="G3249" s="2">
        <v>53605</v>
      </c>
    </row>
    <row r="3250" spans="1:7" x14ac:dyDescent="0.2">
      <c r="A3250" t="s" s="0">
        <v>747</v>
      </c>
      <c r="B3250" s="2">
        <v>1210046</v>
      </c>
      <c r="C3250" s="2">
        <v>48900</v>
      </c>
      <c r="D3250" s="2">
        <v>44012</v>
      </c>
      <c r="E3250" s="2">
        <v>44513</v>
      </c>
      <c r="F3250" s="2">
        <v>52644</v>
      </c>
      <c r="G3250" s="2">
        <v>55327</v>
      </c>
    </row>
    <row r="3251" spans="1:7" x14ac:dyDescent="0.2">
      <c r="A3251" t="s" s="0">
        <v>746</v>
      </c>
      <c r="B3251" s="2">
        <v>1179405</v>
      </c>
      <c r="C3251" s="2">
        <v>55626</v>
      </c>
      <c r="D3251" s="2">
        <v>45745</v>
      </c>
      <c r="E3251" s="2">
        <v>44445</v>
      </c>
      <c r="F3251" s="2">
        <v>52636</v>
      </c>
      <c r="G3251" s="2">
        <v>55658</v>
      </c>
    </row>
    <row r="3252" spans="1:7" x14ac:dyDescent="0.2">
      <c r="A3252" t="s" s="0">
        <v>745</v>
      </c>
      <c r="B3252" s="3">
        <v>1179405</v>
      </c>
      <c r="C3252" s="3">
        <v>55626</v>
      </c>
      <c r="D3252" s="3">
        <v>45745</v>
      </c>
      <c r="E3252" s="3">
        <v>44445</v>
      </c>
      <c r="F3252" s="3">
        <v>52636</v>
      </c>
      <c r="G3252" s="3">
        <v>55658</v>
      </c>
    </row>
    <row r="3253" spans="1:7" x14ac:dyDescent="0.2">
      <c r="A3253" t="s" s="0">
        <v>744</v>
      </c>
      <c r="B3253" s="3">
        <v>1179405</v>
      </c>
      <c r="C3253" s="3">
        <v>55626</v>
      </c>
      <c r="D3253" s="3">
        <v>45745</v>
      </c>
      <c r="E3253" s="3">
        <v>44445</v>
      </c>
      <c r="F3253" s="3">
        <v>52636</v>
      </c>
      <c r="G3253" s="3">
        <v>55658</v>
      </c>
    </row>
    <row r="3254" spans="1:7" x14ac:dyDescent="0.2">
      <c r="A3254" t="s" s="0">
        <v>743</v>
      </c>
      <c r="B3254" s="2">
        <v>1208083</v>
      </c>
      <c r="C3254" s="2">
        <v>36180</v>
      </c>
      <c r="D3254" s="2">
        <v>51191</v>
      </c>
      <c r="E3254" s="2">
        <v>46144</v>
      </c>
      <c r="F3254" s="2">
        <v>47997</v>
      </c>
      <c r="G3254" s="2">
        <v>53839</v>
      </c>
    </row>
    <row r="3255" spans="1:7" x14ac:dyDescent="0.2">
      <c r="A3255" t="s" s="0">
        <v>742</v>
      </c>
      <c r="B3255" s="2">
        <v>1216883</v>
      </c>
      <c r="C3255" s="2">
        <v>46187</v>
      </c>
      <c r="D3255" s="2">
        <v>51429</v>
      </c>
      <c r="E3255" s="2">
        <v>46366</v>
      </c>
      <c r="F3255" s="2">
        <v>52883</v>
      </c>
      <c r="G3255" s="2">
        <v>54668</v>
      </c>
    </row>
    <row r="3256" spans="1:7" x14ac:dyDescent="0.2">
      <c r="A3256" t="s" s="0">
        <v>741</v>
      </c>
      <c r="B3256" s="2">
        <v>1206513</v>
      </c>
      <c r="C3256" s="2">
        <v>50573</v>
      </c>
      <c r="D3256" s="2">
        <v>50088</v>
      </c>
      <c r="E3256" s="2">
        <v>46552</v>
      </c>
      <c r="F3256" s="2">
        <v>49329</v>
      </c>
      <c r="G3256" s="2">
        <v>56066</v>
      </c>
    </row>
    <row r="3257" spans="1:7" x14ac:dyDescent="0.2">
      <c r="A3257" t="s" s="0">
        <v>740</v>
      </c>
      <c r="B3257" s="2">
        <v>1213286</v>
      </c>
      <c r="C3257" s="2">
        <v>47736</v>
      </c>
      <c r="D3257" s="2">
        <v>49921</v>
      </c>
      <c r="E3257" s="2">
        <v>46556</v>
      </c>
      <c r="F3257" s="2">
        <v>49916</v>
      </c>
      <c r="G3257" s="2">
        <v>57401</v>
      </c>
    </row>
    <row r="3258" spans="1:7" x14ac:dyDescent="0.2">
      <c r="A3258" t="s" s="0">
        <v>739</v>
      </c>
      <c r="B3258" s="2">
        <v>1168367</v>
      </c>
      <c r="C3258" s="2">
        <v>51134</v>
      </c>
      <c r="D3258" s="2">
        <v>51383</v>
      </c>
      <c r="E3258" s="2">
        <v>46844</v>
      </c>
      <c r="F3258" s="2">
        <v>49336</v>
      </c>
      <c r="G3258" s="2">
        <v>53245</v>
      </c>
    </row>
    <row r="3259" spans="1:7" x14ac:dyDescent="0.2">
      <c r="A3259" t="s" s="0">
        <v>738</v>
      </c>
      <c r="B3259" s="3">
        <v>1168367</v>
      </c>
      <c r="C3259" s="3">
        <v>51134</v>
      </c>
      <c r="D3259" s="3">
        <v>51383</v>
      </c>
      <c r="E3259" s="3">
        <v>46844</v>
      </c>
      <c r="F3259" s="3">
        <v>49336</v>
      </c>
      <c r="G3259" s="3">
        <v>53245</v>
      </c>
    </row>
    <row r="3260" spans="1:7" x14ac:dyDescent="0.2">
      <c r="A3260" t="s" s="0">
        <v>737</v>
      </c>
      <c r="B3260" s="3">
        <v>1168367</v>
      </c>
      <c r="C3260" s="3">
        <v>51134</v>
      </c>
      <c r="D3260" s="3">
        <v>51383</v>
      </c>
      <c r="E3260" s="3">
        <v>46844</v>
      </c>
      <c r="F3260" s="3">
        <v>49336</v>
      </c>
      <c r="G3260" s="3">
        <v>53245</v>
      </c>
    </row>
    <row r="3261" spans="1:7" x14ac:dyDescent="0.2">
      <c r="A3261" t="s" s="0">
        <v>736</v>
      </c>
      <c r="B3261" s="2">
        <v>1165727</v>
      </c>
      <c r="C3261" s="2">
        <v>31476</v>
      </c>
      <c r="D3261" s="2">
        <v>47538</v>
      </c>
      <c r="E3261" s="2">
        <v>47293</v>
      </c>
      <c r="F3261" s="2">
        <v>41015</v>
      </c>
      <c r="G3261" s="2">
        <v>54411</v>
      </c>
    </row>
    <row r="3262" spans="1:7" x14ac:dyDescent="0.2">
      <c r="A3262" t="s" s="0">
        <v>735</v>
      </c>
      <c r="B3262" s="2">
        <v>1226848</v>
      </c>
      <c r="C3262" s="2">
        <v>50281</v>
      </c>
      <c r="D3262" s="2">
        <v>48122</v>
      </c>
      <c r="E3262" s="2">
        <v>47286</v>
      </c>
      <c r="F3262" s="2">
        <v>49026</v>
      </c>
      <c r="G3262" s="2">
        <v>54449</v>
      </c>
    </row>
    <row r="3263" spans="1:7" x14ac:dyDescent="0.2">
      <c r="A3263" t="s" s="0">
        <v>734</v>
      </c>
      <c r="B3263" s="2">
        <v>1173246</v>
      </c>
      <c r="C3263" s="2">
        <v>53663</v>
      </c>
      <c r="D3263" s="2">
        <v>48563</v>
      </c>
      <c r="E3263" s="2">
        <v>47481</v>
      </c>
      <c r="F3263" s="2">
        <v>43434</v>
      </c>
      <c r="G3263" s="2">
        <v>54457</v>
      </c>
    </row>
    <row r="3264" spans="1:7" x14ac:dyDescent="0.2">
      <c r="A3264" t="s" s="0">
        <v>733</v>
      </c>
      <c r="B3264" s="2">
        <v>1190646</v>
      </c>
      <c r="C3264" s="2">
        <v>49873</v>
      </c>
      <c r="D3264" s="2">
        <v>49993</v>
      </c>
      <c r="E3264" s="2">
        <v>47758</v>
      </c>
      <c r="F3264" s="2">
        <v>46679</v>
      </c>
      <c r="G3264" s="2">
        <v>57281</v>
      </c>
    </row>
    <row r="3265" spans="1:7" x14ac:dyDescent="0.2">
      <c r="A3265" t="s" s="0">
        <v>732</v>
      </c>
      <c r="B3265" s="2">
        <v>1160701</v>
      </c>
      <c r="C3265" s="2">
        <v>45243</v>
      </c>
      <c r="D3265" s="2">
        <v>48477</v>
      </c>
      <c r="E3265" s="2">
        <v>48085</v>
      </c>
      <c r="F3265" s="2">
        <v>47267</v>
      </c>
      <c r="G3265" s="2">
        <v>55750</v>
      </c>
    </row>
    <row r="3266" spans="1:7" x14ac:dyDescent="0.2">
      <c r="A3266" t="s" s="0">
        <v>731</v>
      </c>
      <c r="B3266" s="3">
        <v>1160701</v>
      </c>
      <c r="C3266" s="3">
        <v>45243</v>
      </c>
      <c r="D3266" s="3">
        <v>48477</v>
      </c>
      <c r="E3266" s="3">
        <v>48085</v>
      </c>
      <c r="F3266" s="3">
        <v>47267</v>
      </c>
      <c r="G3266" s="3">
        <v>55750</v>
      </c>
    </row>
    <row r="3267" spans="1:7" x14ac:dyDescent="0.2">
      <c r="A3267" t="s" s="0">
        <v>730</v>
      </c>
      <c r="B3267" s="3">
        <v>1160701</v>
      </c>
      <c r="C3267" s="3">
        <v>45243</v>
      </c>
      <c r="D3267" s="3">
        <v>48477</v>
      </c>
      <c r="E3267" s="3">
        <v>48085</v>
      </c>
      <c r="F3267" s="3">
        <v>47267</v>
      </c>
      <c r="G3267" s="3">
        <v>55750</v>
      </c>
    </row>
    <row r="3268" spans="1:7" x14ac:dyDescent="0.2">
      <c r="A3268" t="s" s="0">
        <v>729</v>
      </c>
      <c r="B3268" s="2">
        <v>1175229</v>
      </c>
      <c r="C3268" s="2">
        <v>29574</v>
      </c>
      <c r="D3268" s="2">
        <v>47025</v>
      </c>
      <c r="E3268" s="2">
        <v>46965</v>
      </c>
      <c r="F3268" s="2">
        <v>48268</v>
      </c>
      <c r="G3268" s="2">
        <v>54857</v>
      </c>
    </row>
    <row r="3269" spans="1:7" x14ac:dyDescent="0.2">
      <c r="A3269" t="s" s="0">
        <v>728</v>
      </c>
      <c r="B3269" s="2">
        <v>1131071</v>
      </c>
      <c r="C3269" s="2">
        <v>44424</v>
      </c>
      <c r="D3269" s="2">
        <v>45473</v>
      </c>
      <c r="E3269" s="2">
        <v>46799</v>
      </c>
      <c r="F3269" s="2">
        <v>31683</v>
      </c>
      <c r="G3269" s="2">
        <v>46216</v>
      </c>
    </row>
    <row r="3270" spans="1:7" x14ac:dyDescent="0.2">
      <c r="A3270" t="s" s="0">
        <v>727</v>
      </c>
      <c r="B3270" s="2">
        <v>1102210</v>
      </c>
      <c r="C3270" s="2">
        <v>51966</v>
      </c>
      <c r="D3270" s="2">
        <v>47227</v>
      </c>
      <c r="E3270" s="2">
        <v>47521</v>
      </c>
      <c r="F3270" s="2">
        <v>36972</v>
      </c>
      <c r="G3270" s="2">
        <v>46651</v>
      </c>
    </row>
    <row r="3271" spans="1:7" x14ac:dyDescent="0.2">
      <c r="A3271" t="s" s="0">
        <v>726</v>
      </c>
      <c r="B3271" s="2">
        <v>1093965</v>
      </c>
      <c r="C3271" s="2">
        <v>48835</v>
      </c>
      <c r="D3271" s="2">
        <v>45954</v>
      </c>
      <c r="E3271" s="2">
        <v>47470</v>
      </c>
      <c r="F3271" s="2">
        <v>32035</v>
      </c>
      <c r="G3271" s="2">
        <v>45319</v>
      </c>
    </row>
    <row r="3272" spans="1:7" x14ac:dyDescent="0.2">
      <c r="A3272" t="s" s="0">
        <v>725</v>
      </c>
      <c r="B3272" s="2">
        <v>1162008</v>
      </c>
      <c r="C3272" s="2">
        <v>54206</v>
      </c>
      <c r="D3272" s="2">
        <v>48660</v>
      </c>
      <c r="E3272" s="2">
        <v>48566</v>
      </c>
      <c r="F3272" s="2">
        <v>48774</v>
      </c>
      <c r="G3272" s="2">
        <v>49503</v>
      </c>
    </row>
    <row r="3273" spans="1:7" x14ac:dyDescent="0.2">
      <c r="A3273" t="s" s="0">
        <v>724</v>
      </c>
      <c r="B3273" s="3">
        <v>1162008</v>
      </c>
      <c r="C3273" s="3">
        <v>54206</v>
      </c>
      <c r="D3273" s="3">
        <v>48660</v>
      </c>
      <c r="E3273" s="3">
        <v>48566</v>
      </c>
      <c r="F3273" s="3">
        <v>48774</v>
      </c>
      <c r="G3273" s="3">
        <v>49503</v>
      </c>
    </row>
    <row r="3274" spans="1:7" x14ac:dyDescent="0.2">
      <c r="A3274" t="s" s="0">
        <v>723</v>
      </c>
      <c r="B3274" s="3">
        <v>1162008</v>
      </c>
      <c r="C3274" s="3">
        <v>54206</v>
      </c>
      <c r="D3274" s="3">
        <v>48660</v>
      </c>
      <c r="E3274" s="3">
        <v>48566</v>
      </c>
      <c r="F3274" s="3">
        <v>48774</v>
      </c>
      <c r="G3274" s="3">
        <v>49503</v>
      </c>
    </row>
    <row r="3275" spans="1:7" x14ac:dyDescent="0.2">
      <c r="A3275" t="s" s="0">
        <v>722</v>
      </c>
      <c r="B3275" s="2">
        <v>1121060</v>
      </c>
      <c r="C3275" s="2">
        <v>24702</v>
      </c>
      <c r="D3275" s="2">
        <v>48138</v>
      </c>
      <c r="E3275" s="2">
        <v>48473</v>
      </c>
      <c r="F3275" s="2">
        <v>40327</v>
      </c>
      <c r="G3275" s="2">
        <v>44402</v>
      </c>
    </row>
    <row r="3276" spans="1:7" x14ac:dyDescent="0.2">
      <c r="A3276" t="s" s="0">
        <v>721</v>
      </c>
      <c r="B3276" s="2">
        <v>1190864</v>
      </c>
      <c r="C3276" s="2">
        <v>43968</v>
      </c>
      <c r="D3276" s="2">
        <v>48073</v>
      </c>
      <c r="E3276" s="2">
        <v>48274</v>
      </c>
      <c r="F3276" s="2">
        <v>56539</v>
      </c>
      <c r="G3276" s="2">
        <v>47533</v>
      </c>
    </row>
    <row r="3277" spans="1:7" x14ac:dyDescent="0.2">
      <c r="A3277" t="s" s="0">
        <v>720</v>
      </c>
      <c r="B3277" s="2">
        <v>1192420</v>
      </c>
      <c r="C3277" s="2">
        <v>52308</v>
      </c>
      <c r="D3277" s="2">
        <v>47512</v>
      </c>
      <c r="E3277" s="2">
        <v>48348</v>
      </c>
      <c r="F3277" s="2">
        <v>60325</v>
      </c>
      <c r="G3277" s="2">
        <v>47515</v>
      </c>
    </row>
    <row r="3278" spans="1:7" x14ac:dyDescent="0.2">
      <c r="A3278" t="s" s="0">
        <v>719</v>
      </c>
      <c r="B3278" s="2">
        <v>1187440</v>
      </c>
      <c r="C3278" s="2">
        <v>53289</v>
      </c>
      <c r="D3278" s="2">
        <v>49827</v>
      </c>
      <c r="E3278" s="2">
        <v>48924</v>
      </c>
      <c r="F3278" s="2">
        <v>63107</v>
      </c>
      <c r="G3278" s="2">
        <v>47934</v>
      </c>
    </row>
    <row r="3279" spans="1:7" x14ac:dyDescent="0.2">
      <c r="A3279" t="s" s="0">
        <v>718</v>
      </c>
      <c r="B3279" s="2">
        <v>1194599</v>
      </c>
      <c r="C3279" s="2">
        <v>46506</v>
      </c>
      <c r="D3279" s="2">
        <v>45872</v>
      </c>
      <c r="E3279" s="2">
        <v>48598</v>
      </c>
      <c r="F3279" s="2">
        <v>50454</v>
      </c>
      <c r="G3279" s="2">
        <v>48958</v>
      </c>
    </row>
    <row r="3280" spans="1:7" x14ac:dyDescent="0.2">
      <c r="A3280" t="s" s="0">
        <v>717</v>
      </c>
      <c r="B3280" s="3">
        <v>1194599</v>
      </c>
      <c r="C3280" s="3">
        <v>46506</v>
      </c>
      <c r="D3280" s="3">
        <v>45872</v>
      </c>
      <c r="E3280" s="3">
        <v>48598</v>
      </c>
      <c r="F3280" s="3">
        <v>50454</v>
      </c>
      <c r="G3280" s="3">
        <v>48958</v>
      </c>
    </row>
    <row r="3281" spans="1:7" x14ac:dyDescent="0.2">
      <c r="A3281" t="s" s="0">
        <v>716</v>
      </c>
      <c r="B3281" s="3">
        <v>1194599</v>
      </c>
      <c r="C3281" s="3">
        <v>46506</v>
      </c>
      <c r="D3281" s="3">
        <v>45872</v>
      </c>
      <c r="E3281" s="3">
        <v>48598</v>
      </c>
      <c r="F3281" s="3">
        <v>50454</v>
      </c>
      <c r="G3281" s="3">
        <v>48958</v>
      </c>
    </row>
    <row r="3282" spans="1:7" x14ac:dyDescent="0.2">
      <c r="A3282" t="s" s="0">
        <v>715</v>
      </c>
      <c r="B3282" s="2">
        <v>1092015</v>
      </c>
      <c r="C3282" s="2">
        <v>30525</v>
      </c>
      <c r="D3282" s="2">
        <v>49316</v>
      </c>
      <c r="E3282" s="2">
        <v>48004</v>
      </c>
      <c r="F3282" s="2">
        <v>45092</v>
      </c>
      <c r="G3282" s="2">
        <v>43675</v>
      </c>
    </row>
    <row r="3283" spans="1:7" x14ac:dyDescent="0.2">
      <c r="A3283" t="s" s="0">
        <v>714</v>
      </c>
      <c r="B3283" s="2">
        <v>1071948</v>
      </c>
      <c r="C3283" s="2">
        <v>45517</v>
      </c>
      <c r="D3283" s="2">
        <v>50252</v>
      </c>
      <c r="E3283" s="2">
        <v>47980</v>
      </c>
      <c r="F3283" s="2">
        <v>33183</v>
      </c>
      <c r="G3283" s="2">
        <v>42608</v>
      </c>
    </row>
    <row r="3284" spans="1:7" x14ac:dyDescent="0.2">
      <c r="A3284" t="s" s="0">
        <v>713</v>
      </c>
      <c r="B3284" s="2">
        <v>1081447</v>
      </c>
      <c r="C3284" s="2">
        <v>50552</v>
      </c>
      <c r="D3284" s="2">
        <v>48615</v>
      </c>
      <c r="E3284" s="2">
        <v>47979</v>
      </c>
      <c r="F3284" s="2">
        <v>32679</v>
      </c>
      <c r="G3284" s="2">
        <v>43353</v>
      </c>
    </row>
    <row r="3285" spans="1:7" x14ac:dyDescent="0.2">
      <c r="A3285" t="s" s="0">
        <v>712</v>
      </c>
      <c r="B3285" s="2">
        <v>1084511</v>
      </c>
      <c r="C3285" s="2">
        <v>56887</v>
      </c>
      <c r="D3285" s="2">
        <v>47450</v>
      </c>
      <c r="E3285" s="2">
        <v>48306</v>
      </c>
      <c r="F3285" s="2">
        <v>32664</v>
      </c>
      <c r="G3285" s="2">
        <v>43621</v>
      </c>
    </row>
    <row r="3286" spans="1:7" x14ac:dyDescent="0.2">
      <c r="A3286" t="s" s="0">
        <v>711</v>
      </c>
      <c r="B3286" s="2">
        <v>1118538</v>
      </c>
      <c r="C3286" s="2">
        <v>48772</v>
      </c>
      <c r="D3286" s="2">
        <v>48202</v>
      </c>
      <c r="E3286" s="2">
        <v>47803</v>
      </c>
      <c r="F3286" s="2">
        <v>37254</v>
      </c>
      <c r="G3286" s="2">
        <v>45937</v>
      </c>
    </row>
    <row r="3287" spans="1:7" x14ac:dyDescent="0.2">
      <c r="A3287" t="s" s="0">
        <v>710</v>
      </c>
      <c r="B3287" s="3">
        <v>1118538</v>
      </c>
      <c r="C3287" s="3">
        <v>48772</v>
      </c>
      <c r="D3287" s="3">
        <v>48202</v>
      </c>
      <c r="E3287" s="3">
        <v>47803</v>
      </c>
      <c r="F3287" s="3">
        <v>37254</v>
      </c>
      <c r="G3287" s="3">
        <v>45937</v>
      </c>
    </row>
    <row r="3288" spans="1:7" x14ac:dyDescent="0.2">
      <c r="A3288" t="s" s="0">
        <v>709</v>
      </c>
      <c r="B3288" s="3">
        <v>1118538</v>
      </c>
      <c r="C3288" s="3">
        <v>48772</v>
      </c>
      <c r="D3288" s="3">
        <v>48202</v>
      </c>
      <c r="E3288" s="3">
        <v>47803</v>
      </c>
      <c r="F3288" s="3">
        <v>37254</v>
      </c>
      <c r="G3288" s="3">
        <v>45937</v>
      </c>
    </row>
    <row r="3289" spans="1:7" x14ac:dyDescent="0.2">
      <c r="A3289" t="s" s="0">
        <v>708</v>
      </c>
      <c r="B3289" s="2">
        <v>1069726</v>
      </c>
      <c r="C3289" s="2">
        <v>39171</v>
      </c>
      <c r="D3289" s="2">
        <v>47937</v>
      </c>
      <c r="E3289" s="2">
        <v>48104</v>
      </c>
      <c r="F3289" s="2">
        <v>44555</v>
      </c>
      <c r="G3289" s="2">
        <v>44560</v>
      </c>
    </row>
    <row r="3290" spans="1:7" x14ac:dyDescent="0.2">
      <c r="A3290" t="s" s="0">
        <v>707</v>
      </c>
      <c r="B3290" s="2">
        <v>1142546</v>
      </c>
      <c r="C3290" s="2">
        <v>54429</v>
      </c>
      <c r="D3290" s="2">
        <v>48495</v>
      </c>
      <c r="E3290" s="2">
        <v>48073</v>
      </c>
      <c r="F3290" s="2">
        <v>58363</v>
      </c>
      <c r="G3290" s="2">
        <v>44942</v>
      </c>
    </row>
    <row r="3291" spans="1:7" x14ac:dyDescent="0.2">
      <c r="A3291" t="s" s="0">
        <v>706</v>
      </c>
      <c r="B3291" s="2">
        <v>1091841</v>
      </c>
      <c r="C3291" s="2">
        <v>48165</v>
      </c>
      <c r="D3291" s="2">
        <v>48154</v>
      </c>
      <c r="E3291" s="2">
        <v>47877</v>
      </c>
      <c r="F3291" s="2">
        <v>49428</v>
      </c>
      <c r="G3291" s="2">
        <v>44851</v>
      </c>
    </row>
    <row r="3292" spans="1:7" x14ac:dyDescent="0.2">
      <c r="A3292" t="s" s="0">
        <v>705</v>
      </c>
      <c r="B3292" s="2">
        <v>1041172</v>
      </c>
      <c r="C3292" s="2">
        <v>55142</v>
      </c>
      <c r="D3292" s="2">
        <v>50853</v>
      </c>
      <c r="E3292" s="2">
        <v>48521</v>
      </c>
      <c r="F3292" s="2">
        <v>44443</v>
      </c>
      <c r="G3292" s="2">
        <v>43062</v>
      </c>
    </row>
    <row r="3293" spans="1:7" x14ac:dyDescent="0.2">
      <c r="A3293" t="s" s="0">
        <v>704</v>
      </c>
      <c r="B3293" s="2">
        <v>1144022</v>
      </c>
      <c r="C3293" s="2">
        <v>53459</v>
      </c>
      <c r="D3293" s="2">
        <v>51094</v>
      </c>
      <c r="E3293" s="2">
        <v>48457</v>
      </c>
      <c r="F3293" s="2">
        <v>54518</v>
      </c>
      <c r="G3293" s="2">
        <v>47750</v>
      </c>
    </row>
    <row r="3294" spans="1:7" x14ac:dyDescent="0.2">
      <c r="A3294" t="s" s="0">
        <v>703</v>
      </c>
      <c r="B3294" s="3">
        <v>1144022</v>
      </c>
      <c r="C3294" s="3">
        <v>53459</v>
      </c>
      <c r="D3294" s="3">
        <v>51094</v>
      </c>
      <c r="E3294" s="3">
        <v>48457</v>
      </c>
      <c r="F3294" s="3">
        <v>54518</v>
      </c>
      <c r="G3294" s="3">
        <v>47750</v>
      </c>
    </row>
    <row r="3295" spans="1:7" x14ac:dyDescent="0.2">
      <c r="A3295" t="s" s="0">
        <v>702</v>
      </c>
      <c r="B3295" s="3">
        <v>1144022</v>
      </c>
      <c r="C3295" s="3">
        <v>53459</v>
      </c>
      <c r="D3295" s="3">
        <v>51094</v>
      </c>
      <c r="E3295" s="3">
        <v>48457</v>
      </c>
      <c r="F3295" s="3">
        <v>54518</v>
      </c>
      <c r="G3295" s="3">
        <v>47750</v>
      </c>
    </row>
    <row r="3296" spans="1:7" x14ac:dyDescent="0.2">
      <c r="A3296" t="s" s="0">
        <v>701</v>
      </c>
      <c r="B3296" s="2">
        <v>1172690</v>
      </c>
      <c r="C3296" s="2">
        <v>29305</v>
      </c>
      <c r="D3296" s="2">
        <v>51182</v>
      </c>
      <c r="E3296" s="2">
        <v>49143</v>
      </c>
      <c r="F3296" s="2">
        <v>65783</v>
      </c>
      <c r="G3296" s="2">
        <v>48939</v>
      </c>
    </row>
    <row r="3297" spans="1:7" x14ac:dyDescent="0.2">
      <c r="A3297" t="s" s="0">
        <v>700</v>
      </c>
      <c r="B3297" s="2">
        <v>1127870</v>
      </c>
      <c r="C3297" s="2">
        <v>45544</v>
      </c>
      <c r="D3297" s="2">
        <v>49913</v>
      </c>
      <c r="E3297" s="2">
        <v>49183</v>
      </c>
      <c r="F3297" s="2">
        <v>47679</v>
      </c>
      <c r="G3297" s="2">
        <v>48941</v>
      </c>
    </row>
    <row r="3298" spans="1:7" x14ac:dyDescent="0.2">
      <c r="A3298" t="s" s="0">
        <v>699</v>
      </c>
      <c r="B3298" s="2">
        <v>1108888</v>
      </c>
      <c r="C3298" s="2">
        <v>49020</v>
      </c>
      <c r="D3298" s="2">
        <v>50750</v>
      </c>
      <c r="E3298" s="2">
        <v>48758</v>
      </c>
      <c r="F3298" s="2">
        <v>53041</v>
      </c>
      <c r="G3298" s="2">
        <v>48868</v>
      </c>
    </row>
    <row r="3299" spans="1:7" x14ac:dyDescent="0.2">
      <c r="A3299" t="s" s="0">
        <v>698</v>
      </c>
      <c r="B3299" s="2">
        <v>1119358</v>
      </c>
      <c r="C3299" s="2">
        <v>41660</v>
      </c>
      <c r="D3299" s="2">
        <v>46578</v>
      </c>
      <c r="E3299" s="2">
        <v>48677</v>
      </c>
      <c r="F3299" s="2">
        <v>57612</v>
      </c>
      <c r="G3299" s="2">
        <v>49457</v>
      </c>
    </row>
    <row r="3300" spans="1:7" x14ac:dyDescent="0.2">
      <c r="A3300" t="s" s="0">
        <v>697</v>
      </c>
      <c r="B3300" s="2">
        <v>1096332</v>
      </c>
      <c r="C3300" s="2">
        <v>43258</v>
      </c>
      <c r="D3300" s="2">
        <v>45977</v>
      </c>
      <c r="E3300" s="2">
        <v>47786</v>
      </c>
      <c r="F3300" s="2">
        <v>39029</v>
      </c>
      <c r="G3300" s="2">
        <v>45314</v>
      </c>
    </row>
    <row r="3301" spans="1:7" x14ac:dyDescent="0.2">
      <c r="A3301" t="s" s="0">
        <v>696</v>
      </c>
      <c r="B3301" s="3">
        <v>1096332</v>
      </c>
      <c r="C3301" s="3">
        <v>43258</v>
      </c>
      <c r="D3301" s="3">
        <v>45977</v>
      </c>
      <c r="E3301" s="3">
        <v>47786</v>
      </c>
      <c r="F3301" s="3">
        <v>39029</v>
      </c>
      <c r="G3301" s="3">
        <v>45314</v>
      </c>
    </row>
    <row r="3302" spans="1:7" x14ac:dyDescent="0.2">
      <c r="A3302" t="s" s="0">
        <v>695</v>
      </c>
      <c r="B3302" s="3">
        <v>1096332</v>
      </c>
      <c r="C3302" s="3">
        <v>43258</v>
      </c>
      <c r="D3302" s="3">
        <v>45977</v>
      </c>
      <c r="E3302" s="3">
        <v>47786</v>
      </c>
      <c r="F3302" s="3">
        <v>39029</v>
      </c>
      <c r="G3302" s="3">
        <v>45314</v>
      </c>
    </row>
    <row r="3303" spans="1:7" x14ac:dyDescent="0.2">
      <c r="A3303" t="s" s="0">
        <v>694</v>
      </c>
      <c r="B3303" s="2">
        <v>1232125</v>
      </c>
      <c r="C3303" s="2">
        <v>27119</v>
      </c>
      <c r="D3303" s="2">
        <v>44892</v>
      </c>
      <c r="E3303" s="2">
        <v>48332</v>
      </c>
      <c r="F3303" s="2">
        <v>53258</v>
      </c>
      <c r="G3303" s="2">
        <v>52172</v>
      </c>
    </row>
    <row r="3304" spans="1:7" x14ac:dyDescent="0.2">
      <c r="A3304" t="s" s="0">
        <v>693</v>
      </c>
      <c r="B3304" s="2">
        <v>1170957</v>
      </c>
      <c r="C3304" s="2">
        <v>41668</v>
      </c>
      <c r="D3304" s="2">
        <v>47197</v>
      </c>
      <c r="E3304" s="2">
        <v>48964</v>
      </c>
      <c r="F3304" s="2">
        <v>53259</v>
      </c>
      <c r="G3304" s="2">
        <v>48121</v>
      </c>
    </row>
    <row r="3305" spans="1:7" x14ac:dyDescent="0.2">
      <c r="A3305" t="s" s="0">
        <v>692</v>
      </c>
      <c r="B3305" s="2">
        <v>1095029</v>
      </c>
      <c r="C3305" s="2">
        <v>51673</v>
      </c>
      <c r="D3305" s="2">
        <v>50333</v>
      </c>
      <c r="E3305" s="2">
        <v>49463</v>
      </c>
      <c r="F3305" s="2">
        <v>48259</v>
      </c>
      <c r="G3305" s="2">
        <v>45852</v>
      </c>
    </row>
    <row r="3306" spans="1:7" x14ac:dyDescent="0.2">
      <c r="A3306" t="s" s="0">
        <v>691</v>
      </c>
      <c r="B3306" s="2">
        <v>1048748</v>
      </c>
      <c r="C3306" s="2">
        <v>46815</v>
      </c>
      <c r="D3306" s="2">
        <v>50582</v>
      </c>
      <c r="E3306" s="2">
        <v>48866</v>
      </c>
      <c r="F3306" s="2">
        <v>40401</v>
      </c>
      <c r="G3306" s="2">
        <v>43780</v>
      </c>
    </row>
    <row r="3307" spans="1:7" x14ac:dyDescent="0.2">
      <c r="A3307" t="s" s="0">
        <v>690</v>
      </c>
      <c r="B3307" s="2">
        <v>1091306</v>
      </c>
      <c r="C3307" s="2">
        <v>52453</v>
      </c>
      <c r="D3307" s="2">
        <v>51039</v>
      </c>
      <c r="E3307" s="2">
        <v>49078</v>
      </c>
      <c r="F3307" s="2">
        <v>50226</v>
      </c>
      <c r="G3307" s="2">
        <v>45257</v>
      </c>
    </row>
    <row r="3308" spans="1:7" x14ac:dyDescent="0.2">
      <c r="A3308" t="s" s="0">
        <v>689</v>
      </c>
      <c r="B3308" s="3">
        <v>1091306</v>
      </c>
      <c r="C3308" s="3">
        <v>52453</v>
      </c>
      <c r="D3308" s="3">
        <v>51039</v>
      </c>
      <c r="E3308" s="3">
        <v>49078</v>
      </c>
      <c r="F3308" s="3">
        <v>50226</v>
      </c>
      <c r="G3308" s="3">
        <v>45257</v>
      </c>
    </row>
    <row r="3309" spans="1:7" x14ac:dyDescent="0.2">
      <c r="A3309" t="s" s="0">
        <v>688</v>
      </c>
      <c r="B3309" s="3">
        <v>1091306</v>
      </c>
      <c r="C3309" s="3">
        <v>52453</v>
      </c>
      <c r="D3309" s="3">
        <v>51039</v>
      </c>
      <c r="E3309" s="3">
        <v>49078</v>
      </c>
      <c r="F3309" s="3">
        <v>50226</v>
      </c>
      <c r="G3309" s="3">
        <v>45257</v>
      </c>
    </row>
    <row r="3310" spans="1:7" x14ac:dyDescent="0.2">
      <c r="A3310" t="s" s="0">
        <v>687</v>
      </c>
      <c r="B3310" s="2">
        <v>1133789</v>
      </c>
      <c r="C3310" s="2">
        <v>31470</v>
      </c>
      <c r="D3310" s="2">
        <v>51185</v>
      </c>
      <c r="E3310" s="2">
        <v>48799</v>
      </c>
      <c r="F3310" s="2">
        <v>37040</v>
      </c>
      <c r="G3310" s="2">
        <v>50159</v>
      </c>
    </row>
    <row r="3311" spans="1:7" x14ac:dyDescent="0.2">
      <c r="A3311" t="s" s="0">
        <v>686</v>
      </c>
      <c r="B3311" s="2">
        <v>1084941</v>
      </c>
      <c r="C3311" s="2">
        <v>51074</v>
      </c>
      <c r="D3311" s="2">
        <v>52229</v>
      </c>
      <c r="E3311" s="2">
        <v>49459</v>
      </c>
      <c r="F3311" s="2">
        <v>39892</v>
      </c>
      <c r="G3311" s="2">
        <v>49798</v>
      </c>
    </row>
    <row r="3312" spans="1:7" x14ac:dyDescent="0.2">
      <c r="A3312" t="s" s="0">
        <v>685</v>
      </c>
      <c r="B3312" s="2">
        <v>1049302</v>
      </c>
      <c r="C3312" s="2">
        <v>46189</v>
      </c>
      <c r="D3312" s="2">
        <v>47974</v>
      </c>
      <c r="E3312" s="2">
        <v>49303</v>
      </c>
      <c r="F3312" s="2">
        <v>41320</v>
      </c>
      <c r="G3312" s="2">
        <v>48012</v>
      </c>
    </row>
    <row r="3313" spans="1:7" x14ac:dyDescent="0.2">
      <c r="A3313" t="s" s="0">
        <v>684</v>
      </c>
      <c r="B3313" s="2">
        <v>1090797</v>
      </c>
      <c r="C3313" s="2">
        <v>52540</v>
      </c>
      <c r="D3313" s="2">
        <v>48578</v>
      </c>
      <c r="E3313" s="2">
        <v>49148</v>
      </c>
      <c r="F3313" s="2">
        <v>54462</v>
      </c>
      <c r="G3313" s="2">
        <v>49230</v>
      </c>
    </row>
    <row r="3314" spans="1:7" x14ac:dyDescent="0.2">
      <c r="A3314" t="s" s="0">
        <v>683</v>
      </c>
      <c r="B3314" s="2">
        <v>1054639</v>
      </c>
      <c r="C3314" s="2">
        <v>53384</v>
      </c>
      <c r="D3314" s="2">
        <v>49568</v>
      </c>
      <c r="E3314" s="2">
        <v>49420</v>
      </c>
      <c r="F3314" s="2">
        <v>44209</v>
      </c>
      <c r="G3314" s="2">
        <v>46995</v>
      </c>
    </row>
    <row r="3315" spans="1:7" x14ac:dyDescent="0.2">
      <c r="A3315" t="s" s="0">
        <v>682</v>
      </c>
      <c r="B3315" s="3">
        <v>1054639</v>
      </c>
      <c r="C3315" s="3">
        <v>53384</v>
      </c>
      <c r="D3315" s="3">
        <v>49568</v>
      </c>
      <c r="E3315" s="3">
        <v>49420</v>
      </c>
      <c r="F3315" s="3">
        <v>44209</v>
      </c>
      <c r="G3315" s="3">
        <v>46995</v>
      </c>
    </row>
    <row r="3316" spans="1:7" x14ac:dyDescent="0.2">
      <c r="A3316" t="s" s="0">
        <v>681</v>
      </c>
      <c r="B3316" s="3">
        <v>1054639</v>
      </c>
      <c r="C3316" s="3">
        <v>53384</v>
      </c>
      <c r="D3316" s="3">
        <v>49568</v>
      </c>
      <c r="E3316" s="3">
        <v>49420</v>
      </c>
      <c r="F3316" s="3">
        <v>44209</v>
      </c>
      <c r="G3316" s="3">
        <v>46995</v>
      </c>
    </row>
    <row r="3317" spans="1:7" x14ac:dyDescent="0.2">
      <c r="A3317" t="s" s="0">
        <v>680</v>
      </c>
      <c r="B3317" s="2">
        <v>1055840</v>
      </c>
      <c r="C3317" s="2">
        <v>31664</v>
      </c>
      <c r="D3317" s="2">
        <v>51005</v>
      </c>
      <c r="E3317" s="2">
        <v>49566</v>
      </c>
      <c r="F3317" s="2">
        <v>39750</v>
      </c>
      <c r="G3317" s="2">
        <v>48958</v>
      </c>
    </row>
    <row r="3318" spans="1:7" x14ac:dyDescent="0.2">
      <c r="A3318" t="s" s="0">
        <v>679</v>
      </c>
      <c r="B3318" s="2">
        <v>1010746</v>
      </c>
      <c r="C3318" s="2">
        <v>42303</v>
      </c>
      <c r="D3318" s="2">
        <v>47396</v>
      </c>
      <c r="E3318" s="2">
        <v>49184</v>
      </c>
      <c r="F3318" s="2">
        <v>36642</v>
      </c>
      <c r="G3318" s="2">
        <v>44368</v>
      </c>
    </row>
    <row r="3319" spans="1:7" x14ac:dyDescent="0.2">
      <c r="A3319" t="s" s="0">
        <v>678</v>
      </c>
      <c r="B3319" s="2">
        <v>1051401</v>
      </c>
      <c r="C3319" s="2">
        <v>45952</v>
      </c>
      <c r="D3319" s="2">
        <v>49408</v>
      </c>
      <c r="E3319" s="2">
        <v>49616</v>
      </c>
      <c r="F3319" s="2">
        <v>49625</v>
      </c>
      <c r="G3319" s="2">
        <v>48062</v>
      </c>
    </row>
    <row r="3320" spans="1:7" x14ac:dyDescent="0.2">
      <c r="A3320" t="s" s="0">
        <v>677</v>
      </c>
      <c r="B3320" s="2">
        <v>1037819</v>
      </c>
      <c r="C3320" s="2">
        <v>40862</v>
      </c>
      <c r="D3320" s="2">
        <v>47740</v>
      </c>
      <c r="E3320" s="2">
        <v>48369</v>
      </c>
      <c r="F3320" s="2">
        <v>40089</v>
      </c>
      <c r="G3320" s="2">
        <v>48141</v>
      </c>
    </row>
    <row r="3321" spans="1:7" x14ac:dyDescent="0.2">
      <c r="A3321" t="s" s="0">
        <v>676</v>
      </c>
      <c r="B3321" s="2">
        <v>1102367</v>
      </c>
      <c r="C3321" s="2">
        <v>46409</v>
      </c>
      <c r="D3321" s="2">
        <v>46605</v>
      </c>
      <c r="E3321" s="2">
        <v>48297</v>
      </c>
      <c r="F3321" s="2">
        <v>53341</v>
      </c>
      <c r="G3321" s="2">
        <v>46701</v>
      </c>
    </row>
    <row r="3322" spans="1:7" x14ac:dyDescent="0.2">
      <c r="A3322" t="s" s="0">
        <v>675</v>
      </c>
      <c r="B3322" s="3">
        <v>1102367</v>
      </c>
      <c r="C3322" s="3">
        <v>46409</v>
      </c>
      <c r="D3322" s="3">
        <v>46605</v>
      </c>
      <c r="E3322" s="3">
        <v>48297</v>
      </c>
      <c r="F3322" s="3">
        <v>53341</v>
      </c>
      <c r="G3322" s="3">
        <v>46701</v>
      </c>
    </row>
    <row r="3323" spans="1:7" x14ac:dyDescent="0.2">
      <c r="A3323" t="s" s="0">
        <v>674</v>
      </c>
      <c r="B3323" s="3">
        <v>1102367</v>
      </c>
      <c r="C3323" s="3">
        <v>46409</v>
      </c>
      <c r="D3323" s="3">
        <v>46605</v>
      </c>
      <c r="E3323" s="3">
        <v>48297</v>
      </c>
      <c r="F3323" s="3">
        <v>53341</v>
      </c>
      <c r="G3323" s="3">
        <v>46701</v>
      </c>
    </row>
    <row r="3324" spans="1:7" x14ac:dyDescent="0.2">
      <c r="A3324" t="s" s="0">
        <v>673</v>
      </c>
      <c r="B3324" s="2">
        <v>1044897</v>
      </c>
      <c r="C3324" s="2">
        <v>27206</v>
      </c>
      <c r="D3324" s="2">
        <v>42847</v>
      </c>
      <c r="E3324" s="2">
        <v>47482</v>
      </c>
      <c r="F3324" s="2">
        <v>41202</v>
      </c>
      <c r="G3324" s="2">
        <v>42812</v>
      </c>
    </row>
    <row r="3325" spans="1:7" x14ac:dyDescent="0.2">
      <c r="A3325" t="s" s="0">
        <v>672</v>
      </c>
      <c r="B3325" s="2">
        <v>1117598</v>
      </c>
      <c r="C3325" s="2">
        <v>42698</v>
      </c>
      <c r="D3325" s="2">
        <v>42700</v>
      </c>
      <c r="E3325" s="2">
        <v>47381</v>
      </c>
      <c r="F3325" s="2">
        <v>57880</v>
      </c>
      <c r="G3325" s="2">
        <v>46918</v>
      </c>
    </row>
    <row r="3326" spans="1:7" x14ac:dyDescent="0.2">
      <c r="A3326" t="s" s="0">
        <v>671</v>
      </c>
      <c r="B3326" s="2">
        <v>1070771</v>
      </c>
      <c r="C3326" s="2">
        <v>44908</v>
      </c>
      <c r="D3326" s="2">
        <v>40505</v>
      </c>
      <c r="E3326" s="2">
        <v>47055</v>
      </c>
      <c r="F3326" s="2">
        <v>43174</v>
      </c>
      <c r="G3326" s="2">
        <v>45595</v>
      </c>
    </row>
    <row r="3327" spans="1:7" x14ac:dyDescent="0.2">
      <c r="A3327" t="s" s="0">
        <v>670</v>
      </c>
      <c r="B3327" s="2">
        <v>1027917</v>
      </c>
      <c r="C3327" s="2">
        <v>38864</v>
      </c>
      <c r="D3327" s="2">
        <v>40828</v>
      </c>
      <c r="E3327" s="2">
        <v>46932</v>
      </c>
      <c r="F3327" s="2">
        <v>39315</v>
      </c>
      <c r="G3327" s="2">
        <v>43567</v>
      </c>
    </row>
    <row r="3328" spans="1:7" x14ac:dyDescent="0.2">
      <c r="A3328" t="s" s="0">
        <v>669</v>
      </c>
      <c r="B3328" s="2">
        <v>1071641</v>
      </c>
      <c r="C3328" s="2">
        <v>37089</v>
      </c>
      <c r="D3328" s="2">
        <v>39598</v>
      </c>
      <c r="E3328" s="2">
        <v>46703</v>
      </c>
      <c r="F3328" s="2">
        <v>35110</v>
      </c>
      <c r="G3328" s="2">
        <v>45722</v>
      </c>
    </row>
    <row r="3329" spans="1:7" x14ac:dyDescent="0.2">
      <c r="A3329" t="s" s="0">
        <v>668</v>
      </c>
      <c r="B3329" s="3">
        <v>1071641</v>
      </c>
      <c r="C3329" s="3">
        <v>37089</v>
      </c>
      <c r="D3329" s="3">
        <v>39598</v>
      </c>
      <c r="E3329" s="3">
        <v>46703</v>
      </c>
      <c r="F3329" s="3">
        <v>35110</v>
      </c>
      <c r="G3329" s="3">
        <v>45722</v>
      </c>
    </row>
    <row r="3330" spans="1:7" x14ac:dyDescent="0.2">
      <c r="A3330" t="s" s="0">
        <v>667</v>
      </c>
      <c r="B3330" s="3">
        <v>1071641</v>
      </c>
      <c r="C3330" s="3">
        <v>37089</v>
      </c>
      <c r="D3330" s="3">
        <v>39598</v>
      </c>
      <c r="E3330" s="3">
        <v>46703</v>
      </c>
      <c r="F3330" s="3">
        <v>35110</v>
      </c>
      <c r="G3330" s="3">
        <v>45722</v>
      </c>
    </row>
    <row r="3331" spans="1:7" x14ac:dyDescent="0.2">
      <c r="A3331" t="s" s="0">
        <v>666</v>
      </c>
      <c r="B3331" s="2">
        <v>1025012</v>
      </c>
      <c r="C3331" s="2">
        <v>24479</v>
      </c>
      <c r="D3331" s="2">
        <v>37888</v>
      </c>
      <c r="E3331" s="2">
        <v>45731</v>
      </c>
      <c r="F3331" s="2">
        <v>34950</v>
      </c>
      <c r="G3331" s="2">
        <v>38235</v>
      </c>
    </row>
    <row r="3332" spans="1:7" x14ac:dyDescent="0.2">
      <c r="A3332" t="s" s="0">
        <v>665</v>
      </c>
      <c r="B3332" s="2">
        <v>1080899</v>
      </c>
      <c r="C3332" s="2">
        <v>42067</v>
      </c>
      <c r="D3332" s="2">
        <v>37798</v>
      </c>
      <c r="E3332" s="2">
        <v>45031</v>
      </c>
      <c r="F3332" s="2">
        <v>32447</v>
      </c>
      <c r="G3332" s="2">
        <v>41715</v>
      </c>
    </row>
    <row r="3333" spans="1:7" x14ac:dyDescent="0.2">
      <c r="A3333" t="s" s="0">
        <v>664</v>
      </c>
      <c r="B3333" s="2">
        <v>1099119</v>
      </c>
      <c r="C3333" s="2">
        <v>41903</v>
      </c>
      <c r="D3333" s="2">
        <v>38789</v>
      </c>
      <c r="E3333" s="2">
        <v>44169</v>
      </c>
      <c r="F3333" s="2">
        <v>42741</v>
      </c>
      <c r="G3333" s="2">
        <v>44215</v>
      </c>
    </row>
    <row r="3334" spans="1:7" x14ac:dyDescent="0.2">
      <c r="A3334" t="s" s="0">
        <v>663</v>
      </c>
      <c r="B3334" s="2">
        <v>1050409</v>
      </c>
      <c r="C3334" s="2">
        <v>48764</v>
      </c>
      <c r="D3334" s="2">
        <v>39595</v>
      </c>
      <c r="E3334" s="2">
        <v>44185</v>
      </c>
      <c r="F3334" s="2">
        <v>42711</v>
      </c>
      <c r="G3334" s="2">
        <v>44144</v>
      </c>
    </row>
    <row r="3335" spans="1:7" x14ac:dyDescent="0.2">
      <c r="A3335" t="s" s="0">
        <v>662</v>
      </c>
      <c r="B3335" s="2">
        <v>1027513</v>
      </c>
      <c r="C3335" s="2">
        <v>42581</v>
      </c>
      <c r="D3335" s="2">
        <v>41676</v>
      </c>
      <c r="E3335" s="2">
        <v>44362</v>
      </c>
      <c r="F3335" s="2">
        <v>35273</v>
      </c>
      <c r="G3335" s="2">
        <v>41983</v>
      </c>
    </row>
    <row r="3336" spans="1:7" x14ac:dyDescent="0.2">
      <c r="A3336" t="s" s="0">
        <v>661</v>
      </c>
      <c r="B3336" s="3">
        <v>1027513</v>
      </c>
      <c r="C3336" s="3">
        <v>42581</v>
      </c>
      <c r="D3336" s="3">
        <v>41676</v>
      </c>
      <c r="E3336" s="3">
        <v>44362</v>
      </c>
      <c r="F3336" s="3">
        <v>35273</v>
      </c>
      <c r="G3336" s="3">
        <v>41983</v>
      </c>
    </row>
    <row r="3337" spans="1:7" x14ac:dyDescent="0.2">
      <c r="A3337" t="s" s="0">
        <v>660</v>
      </c>
      <c r="B3337" s="3">
        <v>1027513</v>
      </c>
      <c r="C3337" s="3">
        <v>42581</v>
      </c>
      <c r="D3337" s="3">
        <v>41676</v>
      </c>
      <c r="E3337" s="3">
        <v>44362</v>
      </c>
      <c r="F3337" s="3">
        <v>35273</v>
      </c>
      <c r="G3337" s="3">
        <v>41983</v>
      </c>
    </row>
    <row r="3338" spans="1:7" x14ac:dyDescent="0.2">
      <c r="A3338" t="s" s="0">
        <v>659</v>
      </c>
      <c r="B3338" s="2">
        <v>1090023</v>
      </c>
      <c r="C3338" s="2">
        <v>28399</v>
      </c>
      <c r="D3338" s="2">
        <v>46221</v>
      </c>
      <c r="E3338" s="2">
        <v>44490</v>
      </c>
      <c r="F3338" s="2">
        <v>55408</v>
      </c>
      <c r="G3338" s="2">
        <v>42827</v>
      </c>
    </row>
    <row r="3339" spans="1:7" x14ac:dyDescent="0.2">
      <c r="A3339" t="s" s="0">
        <v>658</v>
      </c>
      <c r="B3339" s="2">
        <v>1065832</v>
      </c>
      <c r="C3339" s="2">
        <v>42608</v>
      </c>
      <c r="D3339" s="2">
        <v>47299</v>
      </c>
      <c r="E3339" s="2">
        <v>43798</v>
      </c>
      <c r="F3339" s="2">
        <v>45086</v>
      </c>
      <c r="G3339" s="2">
        <v>43013</v>
      </c>
    </row>
    <row r="3340" spans="1:7" x14ac:dyDescent="0.2">
      <c r="A3340" t="s" s="0">
        <v>657</v>
      </c>
      <c r="B3340" s="2">
        <v>1054539</v>
      </c>
      <c r="C3340" s="2">
        <v>46378</v>
      </c>
      <c r="D3340" s="2">
        <v>46518</v>
      </c>
      <c r="E3340" s="2">
        <v>43805</v>
      </c>
      <c r="F3340" s="2">
        <v>40090</v>
      </c>
      <c r="G3340" s="2">
        <v>43908</v>
      </c>
    </row>
    <row r="3341" spans="1:7" x14ac:dyDescent="0.2">
      <c r="A3341" t="s" s="0">
        <v>656</v>
      </c>
      <c r="B3341" s="2">
        <v>1005286</v>
      </c>
      <c r="C3341" s="2">
        <v>42323</v>
      </c>
      <c r="D3341" s="2">
        <v>46596</v>
      </c>
      <c r="E3341" s="2">
        <v>43690</v>
      </c>
      <c r="F3341" s="2">
        <v>40092</v>
      </c>
      <c r="G3341" s="2">
        <v>40552</v>
      </c>
    </row>
    <row r="3342" spans="1:7" x14ac:dyDescent="0.2">
      <c r="A3342" t="s" s="0">
        <v>655</v>
      </c>
      <c r="B3342" s="2">
        <v>1082473</v>
      </c>
      <c r="C3342" s="2">
        <v>47319</v>
      </c>
      <c r="D3342" s="2">
        <v>45871</v>
      </c>
      <c r="E3342" s="2">
        <v>43438</v>
      </c>
      <c r="F3342" s="2">
        <v>53664</v>
      </c>
      <c r="G3342" s="2">
        <v>44347</v>
      </c>
    </row>
    <row r="3343" spans="1:7" x14ac:dyDescent="0.2">
      <c r="A3343" t="s" s="0">
        <v>654</v>
      </c>
      <c r="B3343" s="3">
        <v>1082473</v>
      </c>
      <c r="C3343" s="3">
        <v>47319</v>
      </c>
      <c r="D3343" s="3">
        <v>45871</v>
      </c>
      <c r="E3343" s="3">
        <v>43438</v>
      </c>
      <c r="F3343" s="3">
        <v>53664</v>
      </c>
      <c r="G3343" s="3">
        <v>44347</v>
      </c>
    </row>
    <row r="3344" spans="1:7" x14ac:dyDescent="0.2">
      <c r="A3344" t="s" s="0">
        <v>653</v>
      </c>
      <c r="B3344" s="3">
        <v>1082473</v>
      </c>
      <c r="C3344" s="3">
        <v>47319</v>
      </c>
      <c r="D3344" s="3">
        <v>45871</v>
      </c>
      <c r="E3344" s="3">
        <v>43438</v>
      </c>
      <c r="F3344" s="3">
        <v>53664</v>
      </c>
      <c r="G3344" s="3">
        <v>44347</v>
      </c>
    </row>
    <row r="3345" spans="1:7" x14ac:dyDescent="0.2">
      <c r="A3345" t="s" s="0">
        <v>652</v>
      </c>
      <c r="B3345" s="2">
        <v>1078412</v>
      </c>
      <c r="C3345" s="2">
        <v>30298</v>
      </c>
      <c r="D3345" s="2">
        <v>42176</v>
      </c>
      <c r="E3345" s="2">
        <v>42283</v>
      </c>
      <c r="F3345" s="2">
        <v>40459</v>
      </c>
      <c r="G3345" s="2">
        <v>43005</v>
      </c>
    </row>
    <row r="3346" spans="1:7" x14ac:dyDescent="0.2">
      <c r="A3346" t="s" s="0">
        <v>651</v>
      </c>
      <c r="B3346" s="2">
        <v>1038851</v>
      </c>
      <c r="C3346" s="2">
        <v>40952</v>
      </c>
      <c r="D3346" s="2">
        <v>40939</v>
      </c>
      <c r="E3346" s="2">
        <v>42184</v>
      </c>
      <c r="F3346" s="2">
        <v>37022</v>
      </c>
      <c r="G3346" s="2">
        <v>43109</v>
      </c>
    </row>
    <row r="3347" spans="1:7" x14ac:dyDescent="0.2">
      <c r="A3347" t="s" s="0">
        <v>650</v>
      </c>
      <c r="B3347" s="2">
        <v>1045748</v>
      </c>
      <c r="C3347" s="2">
        <v>48420</v>
      </c>
      <c r="D3347" s="2">
        <v>41906</v>
      </c>
      <c r="E3347" s="2">
        <v>41929</v>
      </c>
      <c r="F3347" s="2">
        <v>40587</v>
      </c>
      <c r="G3347" s="2">
        <v>41648</v>
      </c>
    </row>
    <row r="3348" spans="1:7" x14ac:dyDescent="0.2">
      <c r="A3348" t="s" s="0">
        <v>649</v>
      </c>
      <c r="B3348" s="2">
        <v>1021460</v>
      </c>
      <c r="C3348" s="2">
        <v>50809</v>
      </c>
      <c r="D3348" s="2">
        <v>42119</v>
      </c>
      <c r="E3348" s="2">
        <v>42285</v>
      </c>
      <c r="F3348" s="2">
        <v>44366</v>
      </c>
      <c r="G3348" s="2">
        <v>41621</v>
      </c>
    </row>
    <row r="3349" spans="1:7" x14ac:dyDescent="0.2">
      <c r="A3349" t="s" s="0">
        <v>648</v>
      </c>
      <c r="B3349" s="2">
        <v>1028986</v>
      </c>
      <c r="C3349" s="2">
        <v>47436</v>
      </c>
      <c r="D3349" s="2">
        <v>42137</v>
      </c>
      <c r="E3349" s="2">
        <v>42320</v>
      </c>
      <c r="F3349" s="2">
        <v>34443</v>
      </c>
      <c r="G3349" s="2">
        <v>39623</v>
      </c>
    </row>
    <row r="3350" spans="1:7" x14ac:dyDescent="0.2">
      <c r="A3350" t="s" s="0">
        <v>647</v>
      </c>
      <c r="B3350" s="3">
        <v>1028986</v>
      </c>
      <c r="C3350" s="3">
        <v>47436</v>
      </c>
      <c r="D3350" s="3">
        <v>42137</v>
      </c>
      <c r="E3350" s="3">
        <v>42320</v>
      </c>
      <c r="F3350" s="3">
        <v>34443</v>
      </c>
      <c r="G3350" s="3">
        <v>39623</v>
      </c>
    </row>
    <row r="3351" spans="1:7" x14ac:dyDescent="0.2">
      <c r="A3351" t="s" s="0">
        <v>646</v>
      </c>
      <c r="B3351" s="3">
        <v>1028986</v>
      </c>
      <c r="C3351" s="3">
        <v>47436</v>
      </c>
      <c r="D3351" s="3">
        <v>42137</v>
      </c>
      <c r="E3351" s="3">
        <v>42320</v>
      </c>
      <c r="F3351" s="3">
        <v>34443</v>
      </c>
      <c r="G3351" s="3">
        <v>39623</v>
      </c>
    </row>
    <row r="3352" spans="1:7" x14ac:dyDescent="0.2">
      <c r="A3352" t="s" s="0">
        <v>645</v>
      </c>
      <c r="B3352" s="2">
        <v>1117928</v>
      </c>
      <c r="C3352" s="2">
        <v>28874</v>
      </c>
      <c r="D3352" s="2">
        <v>42515</v>
      </c>
      <c r="E3352" s="2">
        <v>42200</v>
      </c>
      <c r="F3352" s="2">
        <v>48108</v>
      </c>
      <c r="G3352" s="2">
        <v>44731</v>
      </c>
    </row>
    <row r="3353" spans="1:7" x14ac:dyDescent="0.2">
      <c r="A3353" t="s" s="0">
        <v>644</v>
      </c>
      <c r="B3353" s="2">
        <v>1078916</v>
      </c>
      <c r="C3353" s="2">
        <v>36317</v>
      </c>
      <c r="D3353" s="2">
        <v>43667</v>
      </c>
      <c r="E3353" s="2">
        <v>42426</v>
      </c>
      <c r="F3353" s="2">
        <v>49373</v>
      </c>
      <c r="G3353" s="2">
        <v>40982</v>
      </c>
    </row>
    <row r="3354" spans="1:7" x14ac:dyDescent="0.2">
      <c r="A3354" t="s" s="0">
        <v>643</v>
      </c>
      <c r="B3354" s="2">
        <v>1034088</v>
      </c>
      <c r="C3354" s="2">
        <v>46438</v>
      </c>
      <c r="D3354" s="2">
        <v>42709</v>
      </c>
      <c r="E3354" s="2">
        <v>42480</v>
      </c>
      <c r="F3354" s="2">
        <v>40844</v>
      </c>
      <c r="G3354" s="2">
        <v>41066</v>
      </c>
    </row>
    <row r="3355" spans="1:7" x14ac:dyDescent="0.2">
      <c r="A3355" t="s" s="0">
        <v>642</v>
      </c>
      <c r="B3355" s="2">
        <v>1071478</v>
      </c>
      <c r="C3355" s="2">
        <v>47071</v>
      </c>
      <c r="D3355" s="2">
        <v>42175</v>
      </c>
      <c r="E3355" s="2">
        <v>42621</v>
      </c>
      <c r="F3355" s="2">
        <v>49121</v>
      </c>
      <c r="G3355" s="2">
        <v>44073</v>
      </c>
    </row>
    <row r="3356" spans="1:7" x14ac:dyDescent="0.2">
      <c r="A3356" t="s" s="0">
        <v>641</v>
      </c>
      <c r="B3356" s="2">
        <v>1087613</v>
      </c>
      <c r="C3356" s="2">
        <v>44485</v>
      </c>
      <c r="D3356" s="2">
        <v>41038</v>
      </c>
      <c r="E3356" s="2">
        <v>42681</v>
      </c>
      <c r="F3356" s="2">
        <v>49204</v>
      </c>
      <c r="G3356" s="2">
        <v>43146</v>
      </c>
    </row>
    <row r="3357" spans="1:7" x14ac:dyDescent="0.2">
      <c r="A3357" t="s" s="0">
        <v>640</v>
      </c>
      <c r="B3357" s="3">
        <v>1087613</v>
      </c>
      <c r="C3357" s="3">
        <v>44485</v>
      </c>
      <c r="D3357" s="3">
        <v>41038</v>
      </c>
      <c r="E3357" s="3">
        <v>42681</v>
      </c>
      <c r="F3357" s="3">
        <v>49204</v>
      </c>
      <c r="G3357" s="3">
        <v>43146</v>
      </c>
    </row>
    <row r="3358" spans="1:7" x14ac:dyDescent="0.2">
      <c r="A3358" t="s" s="0">
        <v>639</v>
      </c>
      <c r="B3358" s="3">
        <v>1087613</v>
      </c>
      <c r="C3358" s="3">
        <v>44485</v>
      </c>
      <c r="D3358" s="3">
        <v>41038</v>
      </c>
      <c r="E3358" s="3">
        <v>42681</v>
      </c>
      <c r="F3358" s="3">
        <v>49204</v>
      </c>
      <c r="G3358" s="3">
        <v>43146</v>
      </c>
    </row>
    <row r="3359" spans="1:7" x14ac:dyDescent="0.2">
      <c r="A3359" t="s" s="0">
        <v>638</v>
      </c>
      <c r="B3359" s="2">
        <v>1088681</v>
      </c>
      <c r="C3359" s="2">
        <v>24411</v>
      </c>
      <c r="D3359" s="2">
        <v>39460</v>
      </c>
      <c r="E3359" s="2">
        <v>42593</v>
      </c>
      <c r="F3359" s="2">
        <v>35046</v>
      </c>
      <c r="G3359" s="2">
        <v>44755</v>
      </c>
    </row>
    <row r="3360" spans="1:7" x14ac:dyDescent="0.2">
      <c r="A3360" t="s" s="0">
        <v>637</v>
      </c>
      <c r="B3360" s="2">
        <v>1046313</v>
      </c>
      <c r="C3360" s="2">
        <v>36023</v>
      </c>
      <c r="D3360" s="2">
        <v>39033</v>
      </c>
      <c r="E3360" s="2">
        <v>42735</v>
      </c>
      <c r="F3360" s="2">
        <v>34047</v>
      </c>
      <c r="G3360" s="2">
        <v>41382</v>
      </c>
    </row>
    <row r="3361" spans="1:7" x14ac:dyDescent="0.2">
      <c r="A3361" t="s" s="0">
        <v>636</v>
      </c>
      <c r="B3361" s="2">
        <v>1007503</v>
      </c>
      <c r="C3361" s="2">
        <v>38847</v>
      </c>
      <c r="D3361" s="2">
        <v>37949</v>
      </c>
      <c r="E3361" s="2">
        <v>42270</v>
      </c>
      <c r="F3361" s="2">
        <v>34005</v>
      </c>
      <c r="G3361" s="2">
        <v>38882</v>
      </c>
    </row>
    <row r="3362" spans="1:7" x14ac:dyDescent="0.2">
      <c r="A3362" t="s" s="0">
        <v>635</v>
      </c>
      <c r="B3362" s="2">
        <v>1032976</v>
      </c>
      <c r="C3362" s="2">
        <v>41667</v>
      </c>
      <c r="D3362" s="2">
        <v>38301</v>
      </c>
      <c r="E3362" s="2">
        <v>42298</v>
      </c>
      <c r="F3362" s="2">
        <v>32656</v>
      </c>
      <c r="G3362" s="2">
        <v>41559</v>
      </c>
    </row>
    <row r="3363" spans="1:7" x14ac:dyDescent="0.2">
      <c r="A3363" t="s" s="0">
        <v>634</v>
      </c>
      <c r="B3363" s="2">
        <v>993254</v>
      </c>
      <c r="C3363" s="2">
        <v>42671</v>
      </c>
      <c r="D3363" s="2">
        <v>38041</v>
      </c>
      <c r="E3363" s="2">
        <v>41772</v>
      </c>
      <c r="F3363" s="2">
        <v>24004</v>
      </c>
      <c r="G3363" s="2">
        <v>40329</v>
      </c>
    </row>
    <row r="3364" spans="1:7" x14ac:dyDescent="0.2">
      <c r="A3364" t="s" s="0">
        <v>633</v>
      </c>
      <c r="B3364" s="3">
        <v>993254</v>
      </c>
      <c r="C3364" s="3">
        <v>42671</v>
      </c>
      <c r="D3364" s="3">
        <v>38041</v>
      </c>
      <c r="E3364" s="3">
        <v>41772</v>
      </c>
      <c r="F3364" s="3">
        <v>24004</v>
      </c>
      <c r="G3364" s="3">
        <v>40329</v>
      </c>
    </row>
    <row r="3365" spans="1:7" x14ac:dyDescent="0.2">
      <c r="A3365" t="s" s="0">
        <v>632</v>
      </c>
      <c r="B3365" s="3">
        <v>993254</v>
      </c>
      <c r="C3365" s="3">
        <v>42671</v>
      </c>
      <c r="D3365" s="3">
        <v>38041</v>
      </c>
      <c r="E3365" s="3">
        <v>41772</v>
      </c>
      <c r="F3365" s="3">
        <v>24004</v>
      </c>
      <c r="G3365" s="3">
        <v>40329</v>
      </c>
    </row>
    <row r="3366" spans="1:7" x14ac:dyDescent="0.2">
      <c r="A3366" t="s" s="0">
        <v>631</v>
      </c>
      <c r="B3366" s="2">
        <v>1076043</v>
      </c>
      <c r="C3366" s="2">
        <v>25600</v>
      </c>
      <c r="D3366" s="2">
        <v>38203</v>
      </c>
      <c r="E3366" s="2">
        <v>40589</v>
      </c>
      <c r="F3366" s="2">
        <v>35867</v>
      </c>
      <c r="G3366" s="2">
        <v>39870</v>
      </c>
    </row>
    <row r="3367" spans="1:7" x14ac:dyDescent="0.2">
      <c r="A3367" t="s" s="0">
        <v>630</v>
      </c>
      <c r="B3367" s="2">
        <v>1120413</v>
      </c>
      <c r="C3367" s="2">
        <v>38003</v>
      </c>
      <c r="D3367" s="2">
        <v>37773</v>
      </c>
      <c r="E3367" s="2">
        <v>40353</v>
      </c>
      <c r="F3367" s="2">
        <v>46847</v>
      </c>
      <c r="G3367" s="2">
        <v>41822</v>
      </c>
    </row>
    <row r="3368" spans="1:7" x14ac:dyDescent="0.2">
      <c r="A3368" t="s" s="0">
        <v>629</v>
      </c>
      <c r="B3368" s="2">
        <v>1127996</v>
      </c>
      <c r="C3368" s="2">
        <v>41919</v>
      </c>
      <c r="D3368" s="2">
        <v>38212</v>
      </c>
      <c r="E3368" s="2">
        <v>40194</v>
      </c>
      <c r="F3368" s="2">
        <v>53912</v>
      </c>
      <c r="G3368" s="2">
        <v>42337</v>
      </c>
    </row>
    <row r="3369" spans="1:7" x14ac:dyDescent="0.2">
      <c r="A3369" t="s" s="0">
        <v>628</v>
      </c>
      <c r="B3369" s="2">
        <v>1163384</v>
      </c>
      <c r="C3369" s="2">
        <v>39297</v>
      </c>
      <c r="D3369" s="2">
        <v>38159</v>
      </c>
      <c r="E3369" s="2">
        <v>40189</v>
      </c>
      <c r="F3369" s="2">
        <v>55275</v>
      </c>
      <c r="G3369" s="2">
        <v>45354</v>
      </c>
    </row>
    <row r="3370" spans="1:7" x14ac:dyDescent="0.2">
      <c r="A3370" t="s" s="0">
        <v>627</v>
      </c>
      <c r="B3370" s="2">
        <v>1128731</v>
      </c>
      <c r="C3370" s="2">
        <v>40288</v>
      </c>
      <c r="D3370" s="2">
        <v>37819</v>
      </c>
      <c r="E3370" s="2">
        <v>39759</v>
      </c>
      <c r="F3370" s="2">
        <v>55275</v>
      </c>
      <c r="G3370" s="2">
        <v>40731</v>
      </c>
    </row>
    <row r="3371" spans="1:7" x14ac:dyDescent="0.2">
      <c r="A3371" t="s" s="0">
        <v>626</v>
      </c>
      <c r="B3371" s="3">
        <v>1128731</v>
      </c>
      <c r="C3371" s="3">
        <v>40288</v>
      </c>
      <c r="D3371" s="3">
        <v>37819</v>
      </c>
      <c r="E3371" s="3">
        <v>39759</v>
      </c>
      <c r="F3371" s="3">
        <v>55275</v>
      </c>
      <c r="G3371" s="3">
        <v>40731</v>
      </c>
    </row>
    <row r="3372" spans="1:7" x14ac:dyDescent="0.2">
      <c r="A3372" t="s" s="0">
        <v>625</v>
      </c>
      <c r="B3372" s="3">
        <v>1128731</v>
      </c>
      <c r="C3372" s="3">
        <v>40288</v>
      </c>
      <c r="D3372" s="3">
        <v>37819</v>
      </c>
      <c r="E3372" s="3">
        <v>39759</v>
      </c>
      <c r="F3372" s="3">
        <v>55275</v>
      </c>
      <c r="G3372" s="3">
        <v>40731</v>
      </c>
    </row>
    <row r="3373" spans="1:7" x14ac:dyDescent="0.2">
      <c r="A3373" t="s" s="0">
        <v>624</v>
      </c>
      <c r="B3373" s="2">
        <v>1154975</v>
      </c>
      <c r="C3373" s="2">
        <v>24345</v>
      </c>
      <c r="D3373" s="2">
        <v>41765</v>
      </c>
      <c r="E3373" s="2">
        <v>40486</v>
      </c>
      <c r="F3373" s="2">
        <v>51142</v>
      </c>
      <c r="G3373" s="2">
        <v>42541</v>
      </c>
    </row>
    <row r="3374" spans="1:7" x14ac:dyDescent="0.2">
      <c r="A3374" t="s" s="0">
        <v>623</v>
      </c>
      <c r="B3374" s="2">
        <v>1157387</v>
      </c>
      <c r="C3374" s="2">
        <v>40501</v>
      </c>
      <c r="D3374" s="2">
        <v>42871</v>
      </c>
      <c r="E3374" s="2">
        <v>40836</v>
      </c>
      <c r="F3374" s="2">
        <v>46875</v>
      </c>
      <c r="G3374" s="2">
        <v>44286</v>
      </c>
    </row>
    <row r="3375" spans="1:7" x14ac:dyDescent="0.2">
      <c r="A3375" t="s" s="0">
        <v>622</v>
      </c>
      <c r="B3375" s="2">
        <v>1143333</v>
      </c>
      <c r="C3375" s="2">
        <v>41118</v>
      </c>
      <c r="D3375" s="2">
        <v>42757</v>
      </c>
      <c r="E3375" s="2">
        <v>40407</v>
      </c>
      <c r="F3375" s="2">
        <v>43670</v>
      </c>
      <c r="G3375" s="2">
        <v>43108</v>
      </c>
    </row>
    <row r="3376" spans="1:7" x14ac:dyDescent="0.2">
      <c r="A3376" t="s" s="0">
        <v>621</v>
      </c>
      <c r="B3376" s="2">
        <v>1158707</v>
      </c>
      <c r="C3376" s="2">
        <v>44878</v>
      </c>
      <c r="D3376" s="2">
        <v>43557</v>
      </c>
      <c r="E3376" s="2">
        <v>40548</v>
      </c>
      <c r="F3376" s="2">
        <v>41612</v>
      </c>
      <c r="G3376" s="2">
        <v>44666</v>
      </c>
    </row>
    <row r="3377" spans="1:7" x14ac:dyDescent="0.2">
      <c r="A3377" t="s" s="0">
        <v>620</v>
      </c>
      <c r="B3377" s="2">
        <v>1234780</v>
      </c>
      <c r="C3377" s="2">
        <v>41443</v>
      </c>
      <c r="D3377" s="2">
        <v>43722</v>
      </c>
      <c r="E3377" s="2">
        <v>40155</v>
      </c>
      <c r="F3377" s="2">
        <v>58198</v>
      </c>
      <c r="G3377" s="2">
        <v>46670</v>
      </c>
    </row>
    <row r="3378" spans="1:7" x14ac:dyDescent="0.2">
      <c r="A3378" t="s" s="0">
        <v>619</v>
      </c>
      <c r="B3378" s="3">
        <v>1234780</v>
      </c>
      <c r="C3378" s="3">
        <v>41443</v>
      </c>
      <c r="D3378" s="3">
        <v>43722</v>
      </c>
      <c r="E3378" s="3">
        <v>40155</v>
      </c>
      <c r="F3378" s="3">
        <v>58198</v>
      </c>
      <c r="G3378" s="3">
        <v>46670</v>
      </c>
    </row>
    <row r="3379" spans="1:7" x14ac:dyDescent="0.2">
      <c r="A3379" t="s" s="0">
        <v>618</v>
      </c>
      <c r="B3379" s="3">
        <v>1234780</v>
      </c>
      <c r="C3379" s="3">
        <v>41443</v>
      </c>
      <c r="D3379" s="3">
        <v>43722</v>
      </c>
      <c r="E3379" s="3">
        <v>40155</v>
      </c>
      <c r="F3379" s="3">
        <v>58198</v>
      </c>
      <c r="G3379" s="3">
        <v>46670</v>
      </c>
    </row>
    <row r="3380" spans="1:7" x14ac:dyDescent="0.2">
      <c r="A3380" t="s" s="0">
        <v>617</v>
      </c>
      <c r="B3380" s="2">
        <v>1147555</v>
      </c>
      <c r="C3380" s="2">
        <v>31092</v>
      </c>
      <c r="D3380" s="2">
        <v>41512</v>
      </c>
      <c r="E3380" s="2">
        <v>40235</v>
      </c>
      <c r="F3380" s="2">
        <v>39745</v>
      </c>
      <c r="G3380" s="2">
        <v>40450</v>
      </c>
    </row>
    <row r="3381" spans="1:7" x14ac:dyDescent="0.2">
      <c r="A3381" t="s" s="0">
        <v>616</v>
      </c>
      <c r="B3381" s="2">
        <v>1145222</v>
      </c>
      <c r="C3381" s="2">
        <v>44697</v>
      </c>
      <c r="D3381" s="2">
        <v>40646</v>
      </c>
      <c r="E3381" s="2">
        <v>40081</v>
      </c>
      <c r="F3381" s="2">
        <v>37716</v>
      </c>
      <c r="G3381" s="2">
        <v>41371</v>
      </c>
    </row>
    <row r="3382" spans="1:7" x14ac:dyDescent="0.2">
      <c r="A3382" t="s" s="0">
        <v>615</v>
      </c>
      <c r="B3382" s="2">
        <v>1135030</v>
      </c>
      <c r="C3382" s="2">
        <v>42770</v>
      </c>
      <c r="D3382" s="2">
        <v>43745</v>
      </c>
      <c r="E3382" s="2">
        <v>40666</v>
      </c>
      <c r="F3382" s="2">
        <v>41365</v>
      </c>
      <c r="G3382" s="2">
        <v>43238</v>
      </c>
    </row>
    <row r="3383" spans="1:7" x14ac:dyDescent="0.2">
      <c r="A3383" t="s" s="0">
        <v>614</v>
      </c>
      <c r="B3383" s="2">
        <v>1172379</v>
      </c>
      <c r="C3383" s="2">
        <v>40561</v>
      </c>
      <c r="D3383" s="2">
        <v>45857</v>
      </c>
      <c r="E3383" s="2">
        <v>41469</v>
      </c>
      <c r="F3383" s="2">
        <v>46618</v>
      </c>
      <c r="G3383" s="2">
        <v>44040</v>
      </c>
    </row>
    <row r="3384" spans="1:7" x14ac:dyDescent="0.2">
      <c r="A3384" t="s" s="0">
        <v>613</v>
      </c>
      <c r="B3384" s="2">
        <v>1202133</v>
      </c>
      <c r="C3384" s="2">
        <v>45228</v>
      </c>
      <c r="D3384" s="2">
        <v>46398</v>
      </c>
      <c r="E3384" s="2">
        <v>41495</v>
      </c>
      <c r="F3384" s="2">
        <v>39459</v>
      </c>
      <c r="G3384" s="2">
        <v>44234</v>
      </c>
    </row>
    <row r="3385" spans="1:7" x14ac:dyDescent="0.2">
      <c r="A3385" t="s" s="0">
        <v>612</v>
      </c>
      <c r="B3385" s="3">
        <v>1202133</v>
      </c>
      <c r="C3385" s="3">
        <v>45228</v>
      </c>
      <c r="D3385" s="3">
        <v>46398</v>
      </c>
      <c r="E3385" s="3">
        <v>41495</v>
      </c>
      <c r="F3385" s="3">
        <v>39459</v>
      </c>
      <c r="G3385" s="3">
        <v>44234</v>
      </c>
    </row>
    <row r="3386" spans="1:7" x14ac:dyDescent="0.2">
      <c r="A3386" t="s" s="0">
        <v>611</v>
      </c>
      <c r="B3386" s="3">
        <v>1202133</v>
      </c>
      <c r="C3386" s="3">
        <v>45228</v>
      </c>
      <c r="D3386" s="3">
        <v>46398</v>
      </c>
      <c r="E3386" s="3">
        <v>41495</v>
      </c>
      <c r="F3386" s="3">
        <v>39459</v>
      </c>
      <c r="G3386" s="3">
        <v>44234</v>
      </c>
    </row>
    <row r="3387" spans="1:7" x14ac:dyDescent="0.2">
      <c r="A3387" t="s" s="0">
        <v>610</v>
      </c>
      <c r="B3387" s="2">
        <v>1233386</v>
      </c>
      <c r="C3387" s="2">
        <v>29724</v>
      </c>
      <c r="D3387" s="2">
        <v>46884</v>
      </c>
      <c r="E3387" s="2">
        <v>42091</v>
      </c>
      <c r="F3387" s="2">
        <v>56904</v>
      </c>
      <c r="G3387" s="2">
        <v>45914</v>
      </c>
    </row>
    <row r="3388" spans="1:7" x14ac:dyDescent="0.2">
      <c r="A3388" t="s" s="0">
        <v>609</v>
      </c>
      <c r="B3388" s="2">
        <v>1248234</v>
      </c>
      <c r="C3388" s="2">
        <v>42352</v>
      </c>
      <c r="D3388" s="2">
        <v>47263</v>
      </c>
      <c r="E3388" s="2">
        <v>42138</v>
      </c>
      <c r="F3388" s="2">
        <v>60254</v>
      </c>
      <c r="G3388" s="2">
        <v>47923</v>
      </c>
    </row>
    <row r="3389" spans="1:7" x14ac:dyDescent="0.2">
      <c r="A3389" t="s" s="0">
        <v>608</v>
      </c>
      <c r="B3389" s="2">
        <v>1188284</v>
      </c>
      <c r="C3389" s="2">
        <v>47045</v>
      </c>
      <c r="D3389" s="2">
        <v>47995</v>
      </c>
      <c r="E3389" s="2">
        <v>43177</v>
      </c>
      <c r="F3389" s="2">
        <v>53461</v>
      </c>
      <c r="G3389" s="2">
        <v>48102</v>
      </c>
    </row>
    <row r="3390" spans="1:7" x14ac:dyDescent="0.2">
      <c r="A3390" t="s" s="0">
        <v>607</v>
      </c>
      <c r="B3390" s="2">
        <v>1200124</v>
      </c>
      <c r="C3390" s="2">
        <v>43131</v>
      </c>
      <c r="D3390" s="2">
        <v>44934</v>
      </c>
      <c r="E3390" s="2">
        <v>43127</v>
      </c>
      <c r="F3390" s="2">
        <v>46755</v>
      </c>
      <c r="G3390" s="2">
        <v>47565</v>
      </c>
    </row>
    <row r="3391" spans="1:7" x14ac:dyDescent="0.2">
      <c r="A3391" t="s" s="0">
        <v>606</v>
      </c>
      <c r="B3391" s="2">
        <v>1228684</v>
      </c>
      <c r="C3391" s="2">
        <v>45309</v>
      </c>
      <c r="D3391" s="2">
        <v>44946</v>
      </c>
      <c r="E3391" s="2">
        <v>43221</v>
      </c>
      <c r="F3391" s="2">
        <v>47340</v>
      </c>
      <c r="G3391" s="2">
        <v>50068</v>
      </c>
    </row>
    <row r="3392" spans="1:7" x14ac:dyDescent="0.2">
      <c r="A3392" t="s" s="0">
        <v>605</v>
      </c>
      <c r="B3392" s="3">
        <v>1228684</v>
      </c>
      <c r="C3392" s="3">
        <v>45309</v>
      </c>
      <c r="D3392" s="3">
        <v>44946</v>
      </c>
      <c r="E3392" s="3">
        <v>43221</v>
      </c>
      <c r="F3392" s="3">
        <v>47340</v>
      </c>
      <c r="G3392" s="3">
        <v>50068</v>
      </c>
    </row>
    <row r="3393" spans="1:7" x14ac:dyDescent="0.2">
      <c r="A3393" t="s" s="0">
        <v>604</v>
      </c>
      <c r="B3393" s="3">
        <v>1228684</v>
      </c>
      <c r="C3393" s="3">
        <v>45309</v>
      </c>
      <c r="D3393" s="3">
        <v>44946</v>
      </c>
      <c r="E3393" s="3">
        <v>43221</v>
      </c>
      <c r="F3393" s="3">
        <v>47340</v>
      </c>
      <c r="G3393" s="3">
        <v>50068</v>
      </c>
    </row>
    <row r="3394" spans="1:7" x14ac:dyDescent="0.2">
      <c r="A3394" t="s" s="0">
        <v>603</v>
      </c>
      <c r="B3394" s="2">
        <v>1208871</v>
      </c>
      <c r="C3394" s="2">
        <v>27906</v>
      </c>
      <c r="D3394" s="2">
        <v>51980</v>
      </c>
      <c r="E3394" s="2">
        <v>45535</v>
      </c>
      <c r="F3394" s="2">
        <v>47079</v>
      </c>
      <c r="G3394" s="2">
        <v>48718</v>
      </c>
    </row>
    <row r="3395" spans="1:7" x14ac:dyDescent="0.2">
      <c r="A3395" t="s" s="0">
        <v>602</v>
      </c>
      <c r="B3395" s="2">
        <v>1178438</v>
      </c>
      <c r="C3395" s="2">
        <v>43461</v>
      </c>
      <c r="D3395" s="2">
        <v>50710</v>
      </c>
      <c r="E3395" s="2">
        <v>45373</v>
      </c>
      <c r="F3395" s="2">
        <v>38603</v>
      </c>
      <c r="G3395" s="2">
        <v>45862</v>
      </c>
    </row>
    <row r="3396" spans="1:7" x14ac:dyDescent="0.2">
      <c r="A3396" t="s" s="0">
        <v>601</v>
      </c>
      <c r="B3396" s="2">
        <v>1176697</v>
      </c>
      <c r="C3396" s="2">
        <v>48249</v>
      </c>
      <c r="D3396" s="2">
        <v>48613</v>
      </c>
      <c r="E3396" s="2">
        <v>45777</v>
      </c>
      <c r="F3396" s="2">
        <v>45238</v>
      </c>
      <c r="G3396" s="2">
        <v>45934</v>
      </c>
    </row>
    <row r="3397" spans="1:7" x14ac:dyDescent="0.2">
      <c r="A3397" t="s" s="0">
        <v>600</v>
      </c>
      <c r="B3397" s="2">
        <v>1196487</v>
      </c>
      <c r="C3397" s="2">
        <v>45383</v>
      </c>
      <c r="D3397" s="2">
        <v>48221</v>
      </c>
      <c r="E3397" s="2">
        <v>45642</v>
      </c>
      <c r="F3397" s="2">
        <v>45981</v>
      </c>
      <c r="G3397" s="2">
        <v>45241</v>
      </c>
    </row>
    <row r="3398" spans="1:7" x14ac:dyDescent="0.2">
      <c r="A3398" t="s" s="0">
        <v>599</v>
      </c>
      <c r="B3398" s="2">
        <v>1153115</v>
      </c>
      <c r="C3398" s="2">
        <v>46010</v>
      </c>
      <c r="D3398" s="2">
        <v>49748</v>
      </c>
      <c r="E3398" s="2">
        <v>46204</v>
      </c>
      <c r="F3398" s="2">
        <v>37397</v>
      </c>
      <c r="G3398" s="2">
        <v>45598</v>
      </c>
    </row>
    <row r="3399" spans="1:7" x14ac:dyDescent="0.2">
      <c r="A3399" t="s" s="0">
        <v>598</v>
      </c>
      <c r="B3399" s="3">
        <v>1153115</v>
      </c>
      <c r="C3399" s="3">
        <v>46010</v>
      </c>
      <c r="D3399" s="3">
        <v>49748</v>
      </c>
      <c r="E3399" s="3">
        <v>46204</v>
      </c>
      <c r="F3399" s="3">
        <v>37397</v>
      </c>
      <c r="G3399" s="3">
        <v>45598</v>
      </c>
    </row>
    <row r="3400" spans="1:7" x14ac:dyDescent="0.2">
      <c r="A3400" t="s" s="0">
        <v>597</v>
      </c>
      <c r="B3400" s="3">
        <v>1153115</v>
      </c>
      <c r="C3400" s="3">
        <v>46010</v>
      </c>
      <c r="D3400" s="3">
        <v>49748</v>
      </c>
      <c r="E3400" s="3">
        <v>46204</v>
      </c>
      <c r="F3400" s="3">
        <v>37397</v>
      </c>
      <c r="G3400" s="3">
        <v>45598</v>
      </c>
    </row>
    <row r="3401" spans="1:7" x14ac:dyDescent="0.2">
      <c r="A3401" t="s" s="0">
        <v>596</v>
      </c>
      <c r="B3401" s="2">
        <v>1186098</v>
      </c>
      <c r="C3401" s="2">
        <v>26725</v>
      </c>
      <c r="D3401" s="2">
        <v>41794</v>
      </c>
      <c r="E3401" s="2">
        <v>45543</v>
      </c>
      <c r="F3401" s="2">
        <v>36985</v>
      </c>
      <c r="G3401" s="2">
        <v>45178</v>
      </c>
    </row>
    <row r="3402" spans="1:7" x14ac:dyDescent="0.2">
      <c r="A3402" t="s" s="0">
        <v>595</v>
      </c>
      <c r="B3402" s="2">
        <v>1220780</v>
      </c>
      <c r="C3402" s="2">
        <v>38056</v>
      </c>
      <c r="D3402" s="2">
        <v>43171</v>
      </c>
      <c r="E3402" s="2">
        <v>45448</v>
      </c>
      <c r="F3402" s="2">
        <v>48543</v>
      </c>
      <c r="G3402" s="2">
        <v>46279</v>
      </c>
    </row>
    <row r="3403" spans="1:7" x14ac:dyDescent="0.2">
      <c r="A3403" t="s" s="0">
        <v>594</v>
      </c>
      <c r="B3403" s="2">
        <v>1192914</v>
      </c>
      <c r="C3403" s="2">
        <v>40966</v>
      </c>
      <c r="D3403" s="2">
        <v>42251</v>
      </c>
      <c r="E3403" s="2">
        <v>45651</v>
      </c>
      <c r="F3403" s="2">
        <v>43891</v>
      </c>
      <c r="G3403" s="2">
        <v>45989</v>
      </c>
    </row>
    <row r="3404" spans="1:7" x14ac:dyDescent="0.2">
      <c r="A3404" t="s" s="0">
        <v>593</v>
      </c>
      <c r="B3404" s="2">
        <v>1181716</v>
      </c>
      <c r="C3404" s="2">
        <v>46284</v>
      </c>
      <c r="D3404" s="2">
        <v>42379</v>
      </c>
      <c r="E3404" s="2">
        <v>45348</v>
      </c>
      <c r="F3404" s="2">
        <v>39594</v>
      </c>
      <c r="G3404" s="2">
        <v>44737</v>
      </c>
    </row>
    <row r="3405" spans="1:7" x14ac:dyDescent="0.2">
      <c r="A3405" t="s" s="0">
        <v>592</v>
      </c>
      <c r="B3405" s="2">
        <v>1207054</v>
      </c>
      <c r="C3405" s="2">
        <v>46696</v>
      </c>
      <c r="D3405" s="2">
        <v>41050</v>
      </c>
      <c r="E3405" s="2">
        <v>45536</v>
      </c>
      <c r="F3405" s="2">
        <v>48159</v>
      </c>
      <c r="G3405" s="2">
        <v>43089</v>
      </c>
    </row>
    <row r="3406" spans="1:7" x14ac:dyDescent="0.2">
      <c r="A3406" t="s" s="0">
        <v>591</v>
      </c>
      <c r="B3406" s="3">
        <v>1207054</v>
      </c>
      <c r="C3406" s="3">
        <v>46696</v>
      </c>
      <c r="D3406" s="3">
        <v>41050</v>
      </c>
      <c r="E3406" s="3">
        <v>45536</v>
      </c>
      <c r="F3406" s="3">
        <v>48159</v>
      </c>
      <c r="G3406" s="3">
        <v>43089</v>
      </c>
    </row>
    <row r="3407" spans="1:7" x14ac:dyDescent="0.2">
      <c r="A3407" t="s" s="0">
        <v>590</v>
      </c>
      <c r="B3407" s="3">
        <v>1207054</v>
      </c>
      <c r="C3407" s="3">
        <v>46696</v>
      </c>
      <c r="D3407" s="3">
        <v>41050</v>
      </c>
      <c r="E3407" s="3">
        <v>45536</v>
      </c>
      <c r="F3407" s="3">
        <v>48159</v>
      </c>
      <c r="G3407" s="3">
        <v>43089</v>
      </c>
    </row>
    <row r="3408" spans="1:7" x14ac:dyDescent="0.2">
      <c r="A3408" t="s" s="0">
        <v>589</v>
      </c>
      <c r="B3408" s="2">
        <v>1181081</v>
      </c>
      <c r="C3408" s="2">
        <v>25015</v>
      </c>
      <c r="D3408" s="2">
        <v>42222</v>
      </c>
      <c r="E3408" s="2">
        <v>45720</v>
      </c>
      <c r="F3408" s="2">
        <v>40909</v>
      </c>
      <c r="G3408" s="2">
        <v>45469</v>
      </c>
    </row>
    <row r="3409" spans="1:7" x14ac:dyDescent="0.2">
      <c r="A3409" t="s" s="0">
        <v>588</v>
      </c>
      <c r="B3409" s="2">
        <v>1198208</v>
      </c>
      <c r="C3409" s="2">
        <v>35293</v>
      </c>
      <c r="D3409" s="2">
        <v>41106</v>
      </c>
      <c r="E3409" s="2">
        <v>45563</v>
      </c>
      <c r="F3409" s="2">
        <v>36597</v>
      </c>
      <c r="G3409" s="2">
        <v>46000</v>
      </c>
    </row>
    <row r="3410" spans="1:7" x14ac:dyDescent="0.2">
      <c r="A3410" t="s" s="0">
        <v>587</v>
      </c>
      <c r="B3410" s="2">
        <v>1160998</v>
      </c>
      <c r="C3410" s="2">
        <v>38892</v>
      </c>
      <c r="D3410" s="2">
        <v>39976</v>
      </c>
      <c r="E3410" s="2">
        <v>44709</v>
      </c>
      <c r="F3410" s="2">
        <v>33900</v>
      </c>
      <c r="G3410" s="2">
        <v>44122</v>
      </c>
    </row>
    <row r="3411" spans="1:7" x14ac:dyDescent="0.2">
      <c r="A3411" t="s" s="0">
        <v>586</v>
      </c>
      <c r="B3411" s="2">
        <v>1188046</v>
      </c>
      <c r="C3411" s="2">
        <v>38269</v>
      </c>
      <c r="D3411" s="2">
        <v>41697</v>
      </c>
      <c r="E3411" s="2">
        <v>44308</v>
      </c>
      <c r="F3411" s="2">
        <v>41086</v>
      </c>
      <c r="G3411" s="2">
        <v>43354</v>
      </c>
    </row>
    <row r="3412" spans="1:7" x14ac:dyDescent="0.2">
      <c r="A3412" t="s" s="0">
        <v>585</v>
      </c>
      <c r="B3412" s="2">
        <v>1196818</v>
      </c>
      <c r="C3412" s="2">
        <v>40940</v>
      </c>
      <c r="D3412" s="2">
        <v>41589</v>
      </c>
      <c r="E3412" s="2">
        <v>44333</v>
      </c>
      <c r="F3412" s="2">
        <v>38235</v>
      </c>
      <c r="G3412" s="2">
        <v>42783</v>
      </c>
    </row>
    <row r="3413" spans="1:7" x14ac:dyDescent="0.2">
      <c r="A3413" t="s" s="0">
        <v>584</v>
      </c>
      <c r="B3413" s="3">
        <v>1196818</v>
      </c>
      <c r="C3413" s="3">
        <v>40940</v>
      </c>
      <c r="D3413" s="3">
        <v>41589</v>
      </c>
      <c r="E3413" s="3">
        <v>44333</v>
      </c>
      <c r="F3413" s="3">
        <v>38235</v>
      </c>
      <c r="G3413" s="3">
        <v>42783</v>
      </c>
    </row>
    <row r="3414" spans="1:7" x14ac:dyDescent="0.2">
      <c r="A3414" t="s" s="0">
        <v>583</v>
      </c>
      <c r="B3414" s="3">
        <v>1196818</v>
      </c>
      <c r="C3414" s="3">
        <v>40940</v>
      </c>
      <c r="D3414" s="3">
        <v>41589</v>
      </c>
      <c r="E3414" s="3">
        <v>44333</v>
      </c>
      <c r="F3414" s="3">
        <v>38235</v>
      </c>
      <c r="G3414" s="3">
        <v>42783</v>
      </c>
    </row>
    <row r="3415" spans="1:7" x14ac:dyDescent="0.2">
      <c r="A3415" t="s" s="0">
        <v>582</v>
      </c>
      <c r="B3415" s="2">
        <v>1185415</v>
      </c>
      <c r="C3415" s="2">
        <v>25153</v>
      </c>
      <c r="D3415" s="2">
        <v>42110</v>
      </c>
      <c r="E3415" s="2">
        <v>44527</v>
      </c>
      <c r="F3415" s="2">
        <v>40838</v>
      </c>
      <c r="G3415" s="2">
        <v>41453</v>
      </c>
    </row>
    <row r="3416" spans="1:7" x14ac:dyDescent="0.2">
      <c r="A3416" t="s" s="0">
        <v>581</v>
      </c>
      <c r="B3416" s="2">
        <v>1161075</v>
      </c>
      <c r="C3416" s="2">
        <v>37783</v>
      </c>
      <c r="D3416" s="2">
        <v>42683</v>
      </c>
      <c r="E3416" s="2">
        <v>44418</v>
      </c>
      <c r="F3416" s="2">
        <v>35781</v>
      </c>
      <c r="G3416" s="2">
        <v>39881</v>
      </c>
    </row>
    <row r="3417" spans="1:7" x14ac:dyDescent="0.2">
      <c r="A3417" t="s" s="0">
        <v>580</v>
      </c>
      <c r="B3417" s="2">
        <v>1180653</v>
      </c>
      <c r="C3417" s="2">
        <v>37445</v>
      </c>
      <c r="D3417" s="2">
        <v>43126</v>
      </c>
      <c r="E3417" s="2">
        <v>43491</v>
      </c>
      <c r="F3417" s="2">
        <v>44299</v>
      </c>
      <c r="G3417" s="2">
        <v>41832</v>
      </c>
    </row>
    <row r="3418" spans="1:7" x14ac:dyDescent="0.2">
      <c r="A3418" t="s" s="0">
        <v>579</v>
      </c>
      <c r="B3418" s="2">
        <v>1182333</v>
      </c>
      <c r="C3418" s="2">
        <v>37871</v>
      </c>
      <c r="D3418" s="2">
        <v>42414</v>
      </c>
      <c r="E3418" s="2">
        <v>43678</v>
      </c>
      <c r="F3418" s="2">
        <v>39963</v>
      </c>
      <c r="G3418" s="2">
        <v>41656</v>
      </c>
    </row>
    <row r="3419" spans="1:7" x14ac:dyDescent="0.2">
      <c r="A3419" t="s" s="0">
        <v>578</v>
      </c>
      <c r="B3419" s="2">
        <v>1178153</v>
      </c>
      <c r="C3419" s="2">
        <v>43554</v>
      </c>
      <c r="D3419" s="2">
        <v>42121</v>
      </c>
      <c r="E3419" s="2">
        <v>43627</v>
      </c>
      <c r="F3419" s="2">
        <v>37833</v>
      </c>
      <c r="G3419" s="2">
        <v>40406</v>
      </c>
    </row>
    <row r="3420" spans="1:7" x14ac:dyDescent="0.2">
      <c r="A3420" t="s" s="0">
        <v>577</v>
      </c>
      <c r="B3420" s="3">
        <v>1178153</v>
      </c>
      <c r="C3420" s="3">
        <v>43554</v>
      </c>
      <c r="D3420" s="3">
        <v>42121</v>
      </c>
      <c r="E3420" s="3">
        <v>43627</v>
      </c>
      <c r="F3420" s="3">
        <v>37833</v>
      </c>
      <c r="G3420" s="3">
        <v>40406</v>
      </c>
    </row>
    <row r="3421" spans="1:7" x14ac:dyDescent="0.2">
      <c r="A3421" t="s" s="0">
        <v>576</v>
      </c>
      <c r="B3421" s="3">
        <v>1178153</v>
      </c>
      <c r="C3421" s="3">
        <v>43554</v>
      </c>
      <c r="D3421" s="3">
        <v>42121</v>
      </c>
      <c r="E3421" s="3">
        <v>43627</v>
      </c>
      <c r="F3421" s="3">
        <v>37833</v>
      </c>
      <c r="G3421" s="3">
        <v>40406</v>
      </c>
    </row>
    <row r="3422" spans="1:7" x14ac:dyDescent="0.2">
      <c r="A3422" t="s" s="0">
        <v>575</v>
      </c>
      <c r="B3422" s="2">
        <v>1198296</v>
      </c>
      <c r="C3422" s="2">
        <v>30541</v>
      </c>
      <c r="D3422" s="2">
        <v>45444</v>
      </c>
      <c r="E3422" s="2">
        <v>42892</v>
      </c>
      <c r="F3422" s="2">
        <v>45663</v>
      </c>
      <c r="G3422" s="2">
        <v>41099</v>
      </c>
    </row>
    <row r="3423" spans="1:7" x14ac:dyDescent="0.2">
      <c r="A3423" t="s" s="0">
        <v>574</v>
      </c>
      <c r="B3423" s="2">
        <v>1191413</v>
      </c>
      <c r="C3423" s="2">
        <v>42719</v>
      </c>
      <c r="D3423" s="2">
        <v>48216</v>
      </c>
      <c r="E3423" s="2">
        <v>43794</v>
      </c>
      <c r="F3423" s="2">
        <v>51342</v>
      </c>
      <c r="G3423" s="2">
        <v>43066</v>
      </c>
    </row>
    <row r="3424" spans="1:7" x14ac:dyDescent="0.2">
      <c r="A3424" t="s" s="0">
        <v>573</v>
      </c>
      <c r="B3424" s="2">
        <v>1148757</v>
      </c>
      <c r="C3424" s="2">
        <v>42664</v>
      </c>
      <c r="D3424" s="2">
        <v>48312</v>
      </c>
      <c r="E3424" s="2">
        <v>43416</v>
      </c>
      <c r="F3424" s="2">
        <v>42817</v>
      </c>
      <c r="G3424" s="2">
        <v>41227</v>
      </c>
    </row>
    <row r="3425" spans="1:7" x14ac:dyDescent="0.2">
      <c r="A3425" t="s" s="0">
        <v>572</v>
      </c>
      <c r="B3425" s="2">
        <v>1116052</v>
      </c>
      <c r="C3425" s="2">
        <v>37956</v>
      </c>
      <c r="D3425" s="2">
        <v>47542</v>
      </c>
      <c r="E3425" s="2">
        <v>43508</v>
      </c>
      <c r="F3425" s="2">
        <v>37134</v>
      </c>
      <c r="G3425" s="2">
        <v>39444</v>
      </c>
    </row>
    <row r="3426" spans="1:7" x14ac:dyDescent="0.2">
      <c r="A3426" t="s" s="0">
        <v>571</v>
      </c>
      <c r="B3426" s="2">
        <v>1125274</v>
      </c>
      <c r="C3426" s="2">
        <v>40915</v>
      </c>
      <c r="D3426" s="2">
        <v>48116</v>
      </c>
      <c r="E3426" s="2">
        <v>43219</v>
      </c>
      <c r="F3426" s="2">
        <v>39520</v>
      </c>
      <c r="G3426" s="2">
        <v>40937</v>
      </c>
    </row>
    <row r="3427" spans="1:7" x14ac:dyDescent="0.2">
      <c r="A3427" t="s" s="0">
        <v>570</v>
      </c>
      <c r="B3427" s="3">
        <v>1125274</v>
      </c>
      <c r="C3427" s="3">
        <v>40915</v>
      </c>
      <c r="D3427" s="3">
        <v>48116</v>
      </c>
      <c r="E3427" s="3">
        <v>43219</v>
      </c>
      <c r="F3427" s="3">
        <v>39520</v>
      </c>
      <c r="G3427" s="3">
        <v>40937</v>
      </c>
    </row>
    <row r="3428" spans="1:7" x14ac:dyDescent="0.2">
      <c r="A3428" t="s" s="0">
        <v>569</v>
      </c>
      <c r="B3428" s="3">
        <v>1125274</v>
      </c>
      <c r="C3428" s="3">
        <v>40915</v>
      </c>
      <c r="D3428" s="3">
        <v>48116</v>
      </c>
      <c r="E3428" s="3">
        <v>43219</v>
      </c>
      <c r="F3428" s="3">
        <v>39520</v>
      </c>
      <c r="G3428" s="3">
        <v>40937</v>
      </c>
    </row>
    <row r="3429" spans="1:7" x14ac:dyDescent="0.2">
      <c r="A3429" t="s" s="0">
        <v>568</v>
      </c>
      <c r="B3429" s="2">
        <v>1194388</v>
      </c>
      <c r="C3429" s="2">
        <v>22436</v>
      </c>
      <c r="D3429" s="2">
        <v>41781</v>
      </c>
      <c r="E3429" s="2">
        <v>42889</v>
      </c>
      <c r="F3429" s="2">
        <v>39591</v>
      </c>
      <c r="G3429" s="2">
        <v>41750</v>
      </c>
    </row>
    <row r="3430" spans="1:7" x14ac:dyDescent="0.2">
      <c r="A3430" t="s" s="0">
        <v>567</v>
      </c>
      <c r="B3430" s="2">
        <v>1210346</v>
      </c>
      <c r="C3430" s="2">
        <v>41058</v>
      </c>
      <c r="D3430" s="2">
        <v>39271</v>
      </c>
      <c r="E3430" s="2">
        <v>42819</v>
      </c>
      <c r="F3430" s="2">
        <v>40589</v>
      </c>
      <c r="G3430" s="2">
        <v>41077</v>
      </c>
    </row>
    <row r="3431" spans="1:7" x14ac:dyDescent="0.2">
      <c r="A3431" t="s" s="0">
        <v>566</v>
      </c>
      <c r="B3431" s="2">
        <v>1212354</v>
      </c>
      <c r="C3431" s="2">
        <v>40863</v>
      </c>
      <c r="D3431" s="2">
        <v>39014</v>
      </c>
      <c r="E3431" s="2">
        <v>42607</v>
      </c>
      <c r="F3431" s="2">
        <v>46294</v>
      </c>
      <c r="G3431" s="2">
        <v>41828</v>
      </c>
    </row>
    <row r="3432" spans="1:7" x14ac:dyDescent="0.2">
      <c r="A3432" t="s" s="0">
        <v>565</v>
      </c>
      <c r="B3432" s="2">
        <v>1235217</v>
      </c>
      <c r="C3432" s="2">
        <v>42183</v>
      </c>
      <c r="D3432" s="2">
        <v>38189</v>
      </c>
      <c r="E3432" s="2">
        <v>42460</v>
      </c>
      <c r="F3432" s="2">
        <v>53409</v>
      </c>
      <c r="G3432" s="2">
        <v>42898</v>
      </c>
    </row>
    <row r="3433" spans="1:7" x14ac:dyDescent="0.2">
      <c r="A3433" t="s" s="0">
        <v>564</v>
      </c>
      <c r="B3433" s="2">
        <v>1208834</v>
      </c>
      <c r="C3433" s="2">
        <v>26361</v>
      </c>
      <c r="D3433" s="2">
        <v>35111</v>
      </c>
      <c r="E3433" s="2">
        <v>41734</v>
      </c>
      <c r="F3433" s="2">
        <v>46005</v>
      </c>
      <c r="G3433" s="2">
        <v>40398</v>
      </c>
    </row>
    <row r="3434" spans="1:7" x14ac:dyDescent="0.2">
      <c r="A3434" t="s" s="0">
        <v>563</v>
      </c>
      <c r="B3434" s="3">
        <v>1208834</v>
      </c>
      <c r="C3434" s="3">
        <v>26361</v>
      </c>
      <c r="D3434" s="3">
        <v>35111</v>
      </c>
      <c r="E3434" s="3">
        <v>41734</v>
      </c>
      <c r="F3434" s="3">
        <v>46005</v>
      </c>
      <c r="G3434" s="3">
        <v>40398</v>
      </c>
    </row>
    <row r="3435" spans="1:7" x14ac:dyDescent="0.2">
      <c r="A3435" t="s" s="0">
        <v>562</v>
      </c>
      <c r="B3435" s="3">
        <v>1208834</v>
      </c>
      <c r="C3435" s="3">
        <v>26361</v>
      </c>
      <c r="D3435" s="3">
        <v>35111</v>
      </c>
      <c r="E3435" s="3">
        <v>41734</v>
      </c>
      <c r="F3435" s="3">
        <v>46005</v>
      </c>
      <c r="G3435" s="3">
        <v>40398</v>
      </c>
    </row>
    <row r="3436" spans="1:7" x14ac:dyDescent="0.2">
      <c r="A3436" t="s" s="0">
        <v>561</v>
      </c>
      <c r="B3436" s="2">
        <v>1268129</v>
      </c>
      <c r="C3436" s="2">
        <v>26020</v>
      </c>
      <c r="D3436" s="2">
        <v>35853</v>
      </c>
      <c r="E3436" s="2">
        <v>41297</v>
      </c>
      <c r="F3436" s="2">
        <v>45940</v>
      </c>
      <c r="G3436" s="2">
        <v>43008</v>
      </c>
    </row>
    <row r="3437" spans="1:7" x14ac:dyDescent="0.2">
      <c r="A3437" t="s" s="0">
        <v>560</v>
      </c>
      <c r="B3437" s="2">
        <v>1226435</v>
      </c>
      <c r="C3437" s="2">
        <v>35457</v>
      </c>
      <c r="D3437" s="2">
        <v>35756</v>
      </c>
      <c r="E3437" s="2">
        <v>41481</v>
      </c>
      <c r="F3437" s="2">
        <v>37085</v>
      </c>
      <c r="G3437" s="2">
        <v>41199</v>
      </c>
    </row>
    <row r="3438" spans="1:7" x14ac:dyDescent="0.2">
      <c r="A3438" t="s" s="0">
        <v>559</v>
      </c>
      <c r="B3438" s="2">
        <v>1190385</v>
      </c>
      <c r="C3438" s="2">
        <v>36091</v>
      </c>
      <c r="D3438" s="2">
        <v>35074</v>
      </c>
      <c r="E3438" s="2">
        <v>41381</v>
      </c>
      <c r="F3438" s="2">
        <v>31385</v>
      </c>
      <c r="G3438" s="2">
        <v>41199</v>
      </c>
    </row>
    <row r="3439" spans="1:7" x14ac:dyDescent="0.2">
      <c r="A3439" t="s" s="0">
        <v>558</v>
      </c>
      <c r="B3439" s="2">
        <v>1316328</v>
      </c>
      <c r="C3439" s="2">
        <v>37717</v>
      </c>
      <c r="D3439" s="2">
        <v>36860</v>
      </c>
      <c r="E3439" s="2">
        <v>41251</v>
      </c>
      <c r="F3439" s="2">
        <v>47898</v>
      </c>
      <c r="G3439" s="2">
        <v>44601</v>
      </c>
    </row>
    <row r="3440" spans="1:7" x14ac:dyDescent="0.2">
      <c r="A3440" t="s" s="0">
        <v>557</v>
      </c>
      <c r="B3440" s="2">
        <v>1338407</v>
      </c>
      <c r="C3440" s="2">
        <v>36383</v>
      </c>
      <c r="D3440" s="2">
        <v>38292</v>
      </c>
      <c r="E3440" s="2">
        <v>40910</v>
      </c>
      <c r="F3440" s="2">
        <v>55032</v>
      </c>
      <c r="G3440" s="2">
        <v>44597</v>
      </c>
    </row>
    <row r="3441" spans="1:7" x14ac:dyDescent="0.2">
      <c r="A3441" t="s" s="0">
        <v>556</v>
      </c>
      <c r="B3441" s="3">
        <v>1338407</v>
      </c>
      <c r="C3441" s="3">
        <v>36383</v>
      </c>
      <c r="D3441" s="3">
        <v>38292</v>
      </c>
      <c r="E3441" s="3">
        <v>40910</v>
      </c>
      <c r="F3441" s="3">
        <v>55032</v>
      </c>
      <c r="G3441" s="3">
        <v>44597</v>
      </c>
    </row>
    <row r="3442" spans="1:7" x14ac:dyDescent="0.2">
      <c r="A3442" t="s" s="0">
        <v>555</v>
      </c>
      <c r="B3442" s="3">
        <v>1338407</v>
      </c>
      <c r="C3442" s="3">
        <v>36383</v>
      </c>
      <c r="D3442" s="3">
        <v>38292</v>
      </c>
      <c r="E3442" s="3">
        <v>40910</v>
      </c>
      <c r="F3442" s="3">
        <v>55032</v>
      </c>
      <c r="G3442" s="3">
        <v>44597</v>
      </c>
    </row>
    <row r="3443" spans="1:7" x14ac:dyDescent="0.2">
      <c r="A3443" t="s" s="0">
        <v>554</v>
      </c>
      <c r="B3443" s="2">
        <v>1317149</v>
      </c>
      <c r="C3443" s="2">
        <v>22393</v>
      </c>
      <c r="D3443" s="2">
        <v>37979</v>
      </c>
      <c r="E3443" s="2">
        <v>40264</v>
      </c>
      <c r="F3443" s="2">
        <v>43205</v>
      </c>
      <c r="G3443" s="2">
        <v>43600</v>
      </c>
    </row>
    <row r="3444" spans="1:7" x14ac:dyDescent="0.2">
      <c r="A3444" t="s" s="0">
        <v>553</v>
      </c>
      <c r="B3444" s="2">
        <v>1322615</v>
      </c>
      <c r="C3444" s="2">
        <v>34310</v>
      </c>
      <c r="D3444" s="2">
        <v>37100</v>
      </c>
      <c r="E3444" s="2">
        <v>40086</v>
      </c>
      <c r="F3444" s="2">
        <v>48505</v>
      </c>
      <c r="G3444" s="2">
        <v>44380</v>
      </c>
    </row>
    <row r="3445" spans="1:7" x14ac:dyDescent="0.2">
      <c r="A3445" t="s" s="0">
        <v>552</v>
      </c>
      <c r="B3445" s="2">
        <v>1332735</v>
      </c>
      <c r="C3445" s="2">
        <v>36047</v>
      </c>
      <c r="D3445" s="2">
        <v>38362</v>
      </c>
      <c r="E3445" s="2">
        <v>40191</v>
      </c>
      <c r="F3445" s="2">
        <v>56363</v>
      </c>
      <c r="G3445" s="2">
        <v>44215</v>
      </c>
    </row>
    <row r="3446" spans="1:7" x14ac:dyDescent="0.2">
      <c r="A3446" t="s" s="0">
        <v>551</v>
      </c>
      <c r="B3446" s="2">
        <v>1374053</v>
      </c>
      <c r="C3446" s="2">
        <v>33709</v>
      </c>
      <c r="D3446" s="2">
        <v>37509</v>
      </c>
      <c r="E3446" s="2">
        <v>40025</v>
      </c>
      <c r="F3446" s="2">
        <v>43419</v>
      </c>
      <c r="G3446" s="2">
        <v>45465</v>
      </c>
    </row>
    <row r="3447" spans="1:7" x14ac:dyDescent="0.2">
      <c r="A3447" t="s" s="0">
        <v>550</v>
      </c>
      <c r="B3447" s="2">
        <v>1395121</v>
      </c>
      <c r="C3447" s="2">
        <v>35982</v>
      </c>
      <c r="D3447" s="2">
        <v>37452</v>
      </c>
      <c r="E3447" s="2">
        <v>39743</v>
      </c>
      <c r="F3447" s="2">
        <v>43979</v>
      </c>
      <c r="G3447" s="2">
        <v>46134</v>
      </c>
    </row>
    <row r="3448" spans="1:7" x14ac:dyDescent="0.2">
      <c r="A3448" t="s" s="0">
        <v>549</v>
      </c>
      <c r="B3448" s="3">
        <v>1395121</v>
      </c>
      <c r="C3448" s="3">
        <v>35982</v>
      </c>
      <c r="D3448" s="3">
        <v>37452</v>
      </c>
      <c r="E3448" s="3">
        <v>39743</v>
      </c>
      <c r="F3448" s="3">
        <v>43979</v>
      </c>
      <c r="G3448" s="3">
        <v>46134</v>
      </c>
    </row>
    <row r="3449" spans="1:7" x14ac:dyDescent="0.2">
      <c r="A3449" t="s" s="0">
        <v>548</v>
      </c>
      <c r="B3449" s="3">
        <v>1395121</v>
      </c>
      <c r="C3449" s="3">
        <v>35982</v>
      </c>
      <c r="D3449" s="3">
        <v>37452</v>
      </c>
      <c r="E3449" s="3">
        <v>39743</v>
      </c>
      <c r="F3449" s="3">
        <v>43979</v>
      </c>
      <c r="G3449" s="3">
        <v>46134</v>
      </c>
    </row>
    <row r="3450" spans="1:7" x14ac:dyDescent="0.2">
      <c r="A3450" t="s" s="0">
        <v>547</v>
      </c>
      <c r="B3450" s="2">
        <v>1337340</v>
      </c>
      <c r="C3450" s="2">
        <v>24136</v>
      </c>
      <c r="D3450" s="2">
        <v>35960</v>
      </c>
      <c r="E3450" s="2">
        <v>37893</v>
      </c>
      <c r="F3450" s="2">
        <v>37270</v>
      </c>
      <c r="G3450" s="2">
        <v>41502</v>
      </c>
    </row>
    <row r="3451" spans="1:7" x14ac:dyDescent="0.2">
      <c r="A3451" t="s" s="0">
        <v>546</v>
      </c>
      <c r="B3451" s="2">
        <v>1383980</v>
      </c>
      <c r="C3451" s="2">
        <v>32421</v>
      </c>
      <c r="D3451" s="2">
        <v>34976</v>
      </c>
      <c r="E3451" s="2">
        <v>36776</v>
      </c>
      <c r="F3451" s="2">
        <v>42684</v>
      </c>
      <c r="G3451" s="2">
        <v>42216</v>
      </c>
    </row>
    <row r="3452" spans="1:7" x14ac:dyDescent="0.2">
      <c r="A3452" t="s" s="0">
        <v>545</v>
      </c>
      <c r="B3452" s="2">
        <v>1277419</v>
      </c>
      <c r="C3452" s="2">
        <v>36425</v>
      </c>
      <c r="D3452" s="2">
        <v>50184</v>
      </c>
      <c r="E3452" s="2">
        <v>40659</v>
      </c>
      <c r="F3452" s="2">
        <v>41225</v>
      </c>
      <c r="G3452" s="2">
        <v>43817</v>
      </c>
    </row>
    <row r="3453" spans="1:7" x14ac:dyDescent="0.2">
      <c r="A3453" t="s" s="0">
        <v>544</v>
      </c>
      <c r="B3453" s="2">
        <v>1284777</v>
      </c>
      <c r="C3453" s="2">
        <v>37463</v>
      </c>
      <c r="D3453" s="2">
        <v>48577</v>
      </c>
      <c r="E3453" s="2">
        <v>40284</v>
      </c>
      <c r="F3453" s="2">
        <v>34766</v>
      </c>
      <c r="G3453" s="2">
        <v>44873</v>
      </c>
    </row>
    <row r="3454" spans="1:7" x14ac:dyDescent="0.2">
      <c r="A3454" t="s" s="0">
        <v>543</v>
      </c>
      <c r="B3454" s="2">
        <v>1295620</v>
      </c>
      <c r="C3454" s="2">
        <v>39447</v>
      </c>
      <c r="D3454" s="2">
        <v>49072</v>
      </c>
      <c r="E3454" s="2">
        <v>39982</v>
      </c>
      <c r="F3454" s="2">
        <v>33932</v>
      </c>
      <c r="G3454" s="2">
        <v>44737</v>
      </c>
    </row>
    <row r="3455" spans="1:7" x14ac:dyDescent="0.2">
      <c r="A3455" t="s" s="0">
        <v>542</v>
      </c>
      <c r="B3455" s="3">
        <v>1295620</v>
      </c>
      <c r="C3455" s="3">
        <v>39447</v>
      </c>
      <c r="D3455" s="3">
        <v>49072</v>
      </c>
      <c r="E3455" s="3">
        <v>39982</v>
      </c>
      <c r="F3455" s="3">
        <v>33932</v>
      </c>
      <c r="G3455" s="3">
        <v>44737</v>
      </c>
    </row>
    <row r="3456" spans="1:7" x14ac:dyDescent="0.2">
      <c r="A3456" t="s" s="0">
        <v>541</v>
      </c>
      <c r="B3456" s="3">
        <v>1295620</v>
      </c>
      <c r="C3456" s="3">
        <v>39447</v>
      </c>
      <c r="D3456" s="3">
        <v>49072</v>
      </c>
      <c r="E3456" s="3">
        <v>39982</v>
      </c>
      <c r="F3456" s="3">
        <v>33932</v>
      </c>
      <c r="G3456" s="3">
        <v>44737</v>
      </c>
    </row>
    <row r="3457" spans="1:7" x14ac:dyDescent="0.2">
      <c r="A3457" t="s" s="0">
        <v>540</v>
      </c>
      <c r="B3457" s="2">
        <v>1350108</v>
      </c>
      <c r="C3457" s="2">
        <v>23566</v>
      </c>
      <c r="D3457" s="2">
        <v>50542</v>
      </c>
      <c r="E3457" s="2">
        <v>40083</v>
      </c>
      <c r="F3457" s="2">
        <v>51440</v>
      </c>
      <c r="G3457" s="2">
        <v>44464</v>
      </c>
    </row>
    <row r="3458" spans="1:7" x14ac:dyDescent="0.2">
      <c r="A3458" t="s" s="0">
        <v>539</v>
      </c>
      <c r="B3458" s="2">
        <v>1316191</v>
      </c>
      <c r="C3458" s="2">
        <v>37926</v>
      </c>
      <c r="D3458" s="2">
        <v>51328</v>
      </c>
      <c r="E3458" s="2">
        <v>39790</v>
      </c>
      <c r="F3458" s="2">
        <v>40729</v>
      </c>
      <c r="G3458" s="2">
        <v>42251</v>
      </c>
    </row>
    <row r="3459" spans="1:7" x14ac:dyDescent="0.2">
      <c r="A3459" t="s" s="0">
        <v>538</v>
      </c>
      <c r="B3459" s="2">
        <v>1272801</v>
      </c>
      <c r="C3459" s="2">
        <v>43462</v>
      </c>
      <c r="D3459" s="2">
        <v>35910</v>
      </c>
      <c r="E3459" s="2">
        <v>39883</v>
      </c>
      <c r="F3459" s="2">
        <v>34335</v>
      </c>
      <c r="G3459" s="2">
        <v>40827</v>
      </c>
    </row>
    <row r="3460" spans="1:7" x14ac:dyDescent="0.2">
      <c r="A3460" t="s" s="0">
        <v>537</v>
      </c>
      <c r="B3460" s="2">
        <v>1253593</v>
      </c>
      <c r="C3460" s="2">
        <v>38116</v>
      </c>
      <c r="D3460" s="2">
        <v>37610</v>
      </c>
      <c r="E3460" s="2">
        <v>40139</v>
      </c>
      <c r="F3460" s="2">
        <v>32239</v>
      </c>
      <c r="G3460" s="2">
        <v>39581</v>
      </c>
    </row>
    <row r="3461" spans="1:7" x14ac:dyDescent="0.2">
      <c r="A3461" t="s" s="0">
        <v>536</v>
      </c>
      <c r="B3461" s="2">
        <v>1329344</v>
      </c>
      <c r="C3461" s="2">
        <v>35986</v>
      </c>
      <c r="D3461" s="2">
        <v>37115</v>
      </c>
      <c r="E3461" s="2">
        <v>40483</v>
      </c>
      <c r="F3461" s="2">
        <v>41096</v>
      </c>
      <c r="G3461" s="2">
        <v>43510</v>
      </c>
    </row>
    <row r="3462" spans="1:7" x14ac:dyDescent="0.2">
      <c r="A3462" t="s" s="0">
        <v>535</v>
      </c>
      <c r="B3462" s="3">
        <v>1329344</v>
      </c>
      <c r="C3462" s="3">
        <v>35986</v>
      </c>
      <c r="D3462" s="3">
        <v>37115</v>
      </c>
      <c r="E3462" s="3">
        <v>40483</v>
      </c>
      <c r="F3462" s="3">
        <v>41096</v>
      </c>
      <c r="G3462" s="3">
        <v>43510</v>
      </c>
    </row>
    <row r="3463" spans="1:7" x14ac:dyDescent="0.2">
      <c r="A3463" t="s" s="0">
        <v>534</v>
      </c>
      <c r="B3463" s="3">
        <v>1329344</v>
      </c>
      <c r="C3463" s="3">
        <v>35986</v>
      </c>
      <c r="D3463" s="3">
        <v>37115</v>
      </c>
      <c r="E3463" s="3">
        <v>40483</v>
      </c>
      <c r="F3463" s="3">
        <v>41096</v>
      </c>
      <c r="G3463" s="3">
        <v>43510</v>
      </c>
    </row>
    <row r="3464" spans="1:7" x14ac:dyDescent="0.2">
      <c r="A3464" t="s" s="0">
        <v>533</v>
      </c>
      <c r="B3464" s="2">
        <v>1300630</v>
      </c>
      <c r="C3464" s="2">
        <v>22242</v>
      </c>
      <c r="D3464" s="2">
        <v>36329</v>
      </c>
      <c r="E3464" s="2">
        <v>40202</v>
      </c>
      <c r="F3464" s="2">
        <v>28424</v>
      </c>
      <c r="G3464" s="2">
        <v>40085</v>
      </c>
    </row>
    <row r="3465" spans="1:7" x14ac:dyDescent="0.2">
      <c r="A3465" t="s" s="0">
        <v>532</v>
      </c>
      <c r="B3465" s="2">
        <v>1301261</v>
      </c>
      <c r="C3465" s="2">
        <v>12369</v>
      </c>
      <c r="D3465" s="2">
        <v>32678</v>
      </c>
      <c r="E3465" s="2">
        <v>39021</v>
      </c>
      <c r="F3465" s="2">
        <v>30278</v>
      </c>
      <c r="G3465" s="2">
        <v>40549</v>
      </c>
    </row>
    <row r="3466" spans="1:7" x14ac:dyDescent="0.2">
      <c r="A3466" t="s" s="0">
        <v>531</v>
      </c>
      <c r="B3466" s="2">
        <v>1371203</v>
      </c>
      <c r="C3466" s="2">
        <v>35045</v>
      </c>
      <c r="D3466" s="2">
        <v>32190</v>
      </c>
      <c r="E3466" s="2">
        <v>39162</v>
      </c>
      <c r="F3466" s="2">
        <v>45986</v>
      </c>
      <c r="G3466" s="2">
        <v>44477</v>
      </c>
    </row>
    <row r="3467" spans="1:7" x14ac:dyDescent="0.2">
      <c r="A3467" t="s" s="0">
        <v>530</v>
      </c>
      <c r="B3467" s="2">
        <v>1338386</v>
      </c>
      <c r="C3467" s="2">
        <v>36435</v>
      </c>
      <c r="D3467" s="2">
        <v>33916</v>
      </c>
      <c r="E3467" s="2">
        <v>39403</v>
      </c>
      <c r="F3467" s="2">
        <v>45604</v>
      </c>
      <c r="G3467" s="2">
        <v>39007</v>
      </c>
    </row>
    <row r="3468" spans="1:7" x14ac:dyDescent="0.2">
      <c r="A3468" t="s" s="0">
        <v>529</v>
      </c>
      <c r="B3468" s="2">
        <v>1386609</v>
      </c>
      <c r="C3468" s="2">
        <v>32337</v>
      </c>
      <c r="D3468" s="2">
        <v>33395</v>
      </c>
      <c r="E3468" s="2">
        <v>39259</v>
      </c>
      <c r="F3468" s="2">
        <v>41393</v>
      </c>
      <c r="G3468" s="2">
        <v>40100</v>
      </c>
    </row>
    <row r="3469" spans="1:7" x14ac:dyDescent="0.2">
      <c r="A3469" t="s" s="0">
        <v>528</v>
      </c>
      <c r="B3469" s="3">
        <v>1386609</v>
      </c>
      <c r="C3469" s="3">
        <v>32337</v>
      </c>
      <c r="D3469" s="3">
        <v>33395</v>
      </c>
      <c r="E3469" s="3">
        <v>39259</v>
      </c>
      <c r="F3469" s="3">
        <v>41393</v>
      </c>
      <c r="G3469" s="3">
        <v>40100</v>
      </c>
    </row>
    <row r="3470" spans="1:7" x14ac:dyDescent="0.2">
      <c r="A3470" t="s" s="0">
        <v>527</v>
      </c>
      <c r="B3470" s="3">
        <v>1386609</v>
      </c>
      <c r="C3470" s="3">
        <v>32337</v>
      </c>
      <c r="D3470" s="3">
        <v>33395</v>
      </c>
      <c r="E3470" s="3">
        <v>39259</v>
      </c>
      <c r="F3470" s="3">
        <v>41393</v>
      </c>
      <c r="G3470" s="3">
        <v>40100</v>
      </c>
    </row>
    <row r="3471" spans="1:7" x14ac:dyDescent="0.2">
      <c r="A3471" t="s" s="0">
        <v>526</v>
      </c>
      <c r="B3471" s="2">
        <v>1324921</v>
      </c>
      <c r="C3471" s="2">
        <v>18629</v>
      </c>
      <c r="D3471" s="2">
        <v>38382</v>
      </c>
      <c r="E3471" s="2">
        <v>40303</v>
      </c>
      <c r="F3471" s="2">
        <v>41637</v>
      </c>
      <c r="G3471" s="2">
        <v>39693</v>
      </c>
    </row>
    <row r="3472" spans="1:7" x14ac:dyDescent="0.2">
      <c r="A3472" t="s" s="0">
        <v>525</v>
      </c>
      <c r="B3472" s="2">
        <v>1304483</v>
      </c>
      <c r="C3472" s="2">
        <v>20617</v>
      </c>
      <c r="D3472" s="2">
        <v>39560</v>
      </c>
      <c r="E3472" s="2">
        <v>39635</v>
      </c>
      <c r="F3472" s="2">
        <v>39806</v>
      </c>
      <c r="G3472" s="2">
        <v>38374</v>
      </c>
    </row>
    <row r="3473" spans="1:7" x14ac:dyDescent="0.2">
      <c r="A3473" t="s" s="0">
        <v>524</v>
      </c>
      <c r="B3473" s="2">
        <v>1289461</v>
      </c>
      <c r="C3473" s="2">
        <v>37215</v>
      </c>
      <c r="D3473" s="2">
        <v>39870</v>
      </c>
      <c r="E3473" s="2">
        <v>39539</v>
      </c>
      <c r="F3473" s="2">
        <v>27767</v>
      </c>
      <c r="G3473" s="2">
        <v>37328</v>
      </c>
    </row>
    <row r="3474" spans="1:7" x14ac:dyDescent="0.2">
      <c r="A3474" t="s" s="0">
        <v>523</v>
      </c>
      <c r="B3474" s="2">
        <v>1384962</v>
      </c>
      <c r="C3474" s="2">
        <v>35436</v>
      </c>
      <c r="D3474" s="2">
        <v>36160</v>
      </c>
      <c r="E3474" s="2">
        <v>39066</v>
      </c>
      <c r="F3474" s="2">
        <v>42552</v>
      </c>
      <c r="G3474" s="2">
        <v>38790</v>
      </c>
    </row>
    <row r="3475" spans="1:7" x14ac:dyDescent="0.2">
      <c r="A3475" t="s" s="0">
        <v>522</v>
      </c>
      <c r="B3475" s="2">
        <v>1363533</v>
      </c>
      <c r="C3475" s="2">
        <v>34306</v>
      </c>
      <c r="D3475" s="2">
        <v>36441</v>
      </c>
      <c r="E3475" s="2">
        <v>39006</v>
      </c>
      <c r="F3475" s="2">
        <v>32777</v>
      </c>
      <c r="G3475" s="2">
        <v>37300</v>
      </c>
    </row>
    <row r="3476" spans="1:7" x14ac:dyDescent="0.2">
      <c r="A3476" t="s" s="0">
        <v>521</v>
      </c>
      <c r="B3476" s="3">
        <v>1363533</v>
      </c>
      <c r="C3476" s="3">
        <v>34306</v>
      </c>
      <c r="D3476" s="3">
        <v>36441</v>
      </c>
      <c r="E3476" s="3">
        <v>39006</v>
      </c>
      <c r="F3476" s="3">
        <v>32777</v>
      </c>
      <c r="G3476" s="3">
        <v>37300</v>
      </c>
    </row>
    <row r="3477" spans="1:7" x14ac:dyDescent="0.2">
      <c r="A3477" t="s" s="0">
        <v>520</v>
      </c>
      <c r="B3477" s="3">
        <v>1363533</v>
      </c>
      <c r="C3477" s="3">
        <v>34306</v>
      </c>
      <c r="D3477" s="3">
        <v>36441</v>
      </c>
      <c r="E3477" s="3">
        <v>39006</v>
      </c>
      <c r="F3477" s="3">
        <v>32777</v>
      </c>
      <c r="G3477" s="3">
        <v>37300</v>
      </c>
    </row>
    <row r="3478" spans="1:7" x14ac:dyDescent="0.2">
      <c r="A3478" t="s" s="0">
        <v>519</v>
      </c>
      <c r="B3478" s="2">
        <v>1351187</v>
      </c>
      <c r="C3478" s="2">
        <v>22888</v>
      </c>
      <c r="D3478" s="2">
        <v>32186</v>
      </c>
      <c r="E3478" s="2">
        <v>39360</v>
      </c>
      <c r="F3478" s="2">
        <v>35605</v>
      </c>
      <c r="G3478" s="2">
        <v>39276</v>
      </c>
    </row>
    <row r="3479" spans="1:7" x14ac:dyDescent="0.2">
      <c r="A3479" t="s" s="0">
        <v>518</v>
      </c>
      <c r="B3479" s="2">
        <v>1416502</v>
      </c>
      <c r="C3479" s="2">
        <v>29249</v>
      </c>
      <c r="D3479" s="2">
        <v>33589</v>
      </c>
      <c r="E3479" s="2">
        <v>39289</v>
      </c>
      <c r="F3479" s="2">
        <v>49171</v>
      </c>
      <c r="G3479" s="2">
        <v>39996</v>
      </c>
    </row>
    <row r="3480" spans="1:7" x14ac:dyDescent="0.2">
      <c r="A3480" t="s" s="0">
        <v>517</v>
      </c>
      <c r="B3480" s="2">
        <v>1389345</v>
      </c>
      <c r="C3480" s="2">
        <v>27189</v>
      </c>
      <c r="D3480" s="2">
        <v>31442</v>
      </c>
      <c r="E3480" s="2">
        <v>34853</v>
      </c>
      <c r="F3480" s="2">
        <v>45499</v>
      </c>
      <c r="G3480" s="2">
        <v>38397</v>
      </c>
    </row>
    <row r="3481" spans="1:7" x14ac:dyDescent="0.2">
      <c r="A3481" t="s" s="0">
        <v>516</v>
      </c>
      <c r="B3481" s="2">
        <v>1466996</v>
      </c>
      <c r="C3481" s="2">
        <v>32329</v>
      </c>
      <c r="D3481" s="2">
        <v>30994</v>
      </c>
      <c r="E3481" s="2">
        <v>34670</v>
      </c>
      <c r="F3481" s="2">
        <v>42503</v>
      </c>
      <c r="G3481" s="2">
        <v>40724</v>
      </c>
    </row>
    <row r="3482" spans="1:7" x14ac:dyDescent="0.2">
      <c r="A3482" t="s" s="0">
        <v>515</v>
      </c>
      <c r="B3482" s="2">
        <v>1406140</v>
      </c>
      <c r="C3482" s="2">
        <v>37691</v>
      </c>
      <c r="D3482" s="2">
        <v>35050</v>
      </c>
      <c r="E3482" s="2">
        <v>35500</v>
      </c>
      <c r="F3482" s="2">
        <v>40588</v>
      </c>
      <c r="G3482" s="2">
        <v>38964</v>
      </c>
    </row>
    <row r="3483" spans="1:7" x14ac:dyDescent="0.2">
      <c r="A3483" t="s" s="0">
        <v>514</v>
      </c>
      <c r="B3483" s="3">
        <v>1406140</v>
      </c>
      <c r="C3483" s="3">
        <v>37691</v>
      </c>
      <c r="D3483" s="3">
        <v>35050</v>
      </c>
      <c r="E3483" s="3">
        <v>35500</v>
      </c>
      <c r="F3483" s="3">
        <v>40588</v>
      </c>
      <c r="G3483" s="3">
        <v>38964</v>
      </c>
    </row>
    <row r="3484" spans="1:7" x14ac:dyDescent="0.2">
      <c r="A3484" t="s" s="0">
        <v>513</v>
      </c>
      <c r="B3484" s="3">
        <v>1406140</v>
      </c>
      <c r="C3484" s="3">
        <v>37691</v>
      </c>
      <c r="D3484" s="3">
        <v>35050</v>
      </c>
      <c r="E3484" s="3">
        <v>35500</v>
      </c>
      <c r="F3484" s="3">
        <v>40588</v>
      </c>
      <c r="G3484" s="3">
        <v>38964</v>
      </c>
    </row>
    <row r="3485" spans="1:7" x14ac:dyDescent="0.2">
      <c r="A3485" t="s" s="0">
        <v>512</v>
      </c>
      <c r="B3485" s="2">
        <v>1373920</v>
      </c>
      <c r="C3485" s="2">
        <v>15966</v>
      </c>
      <c r="D3485" s="2">
        <v>37554</v>
      </c>
      <c r="E3485" s="2">
        <v>36113</v>
      </c>
      <c r="F3485" s="2">
        <v>40254</v>
      </c>
      <c r="G3485" s="2">
        <v>36480</v>
      </c>
    </row>
    <row r="3486" spans="1:7" x14ac:dyDescent="0.2">
      <c r="A3486" t="s" s="0">
        <v>511</v>
      </c>
      <c r="B3486" s="2">
        <v>1351972</v>
      </c>
      <c r="C3486" s="2">
        <v>22373</v>
      </c>
      <c r="D3486" s="2">
        <v>37046</v>
      </c>
      <c r="E3486" s="2">
        <v>35718</v>
      </c>
      <c r="F3486" s="2">
        <v>26669</v>
      </c>
      <c r="G3486" s="2">
        <v>36481</v>
      </c>
    </row>
    <row r="3487" spans="1:7" x14ac:dyDescent="0.2">
      <c r="A3487" t="s" s="0">
        <v>510</v>
      </c>
      <c r="B3487" s="2">
        <v>1315062</v>
      </c>
      <c r="C3487" s="2">
        <v>31959</v>
      </c>
      <c r="D3487" s="2">
        <v>38438</v>
      </c>
      <c r="E3487" s="2">
        <v>35485</v>
      </c>
      <c r="F3487" s="2">
        <v>26667</v>
      </c>
      <c r="G3487" s="2">
        <v>36480</v>
      </c>
    </row>
    <row r="3488" spans="1:7" x14ac:dyDescent="0.2">
      <c r="A3488" t="s" s="0">
        <v>509</v>
      </c>
      <c r="B3488" s="2">
        <v>1314941</v>
      </c>
      <c r="C3488" s="2">
        <v>34673</v>
      </c>
      <c r="D3488" s="2">
        <v>39486</v>
      </c>
      <c r="E3488" s="2">
        <v>35139</v>
      </c>
      <c r="F3488" s="2">
        <v>16605</v>
      </c>
      <c r="G3488" s="2">
        <v>36816</v>
      </c>
    </row>
    <row r="3489" spans="1:7" x14ac:dyDescent="0.2">
      <c r="A3489" t="s" s="0">
        <v>508</v>
      </c>
      <c r="B3489" s="2">
        <v>1425127</v>
      </c>
      <c r="C3489" s="2">
        <v>36003</v>
      </c>
      <c r="D3489" s="2">
        <v>35673</v>
      </c>
      <c r="E3489" s="2">
        <v>35140</v>
      </c>
      <c r="F3489" s="2">
        <v>37516</v>
      </c>
      <c r="G3489" s="2">
        <v>38069</v>
      </c>
    </row>
    <row r="3490" spans="1:7" x14ac:dyDescent="0.2">
      <c r="A3490" t="s" s="0">
        <v>507</v>
      </c>
      <c r="B3490" s="3">
        <v>1425127</v>
      </c>
      <c r="C3490" s="3">
        <v>36003</v>
      </c>
      <c r="D3490" s="3">
        <v>35673</v>
      </c>
      <c r="E3490" s="3">
        <v>35140</v>
      </c>
      <c r="F3490" s="3">
        <v>37516</v>
      </c>
      <c r="G3490" s="3">
        <v>38069</v>
      </c>
    </row>
    <row r="3491" spans="1:7" x14ac:dyDescent="0.2">
      <c r="A3491" t="s" s="0">
        <v>506</v>
      </c>
      <c r="B3491" s="3">
        <v>1425127</v>
      </c>
      <c r="C3491" s="3">
        <v>36003</v>
      </c>
      <c r="D3491" s="3">
        <v>35673</v>
      </c>
      <c r="E3491" s="3">
        <v>35140</v>
      </c>
      <c r="F3491" s="3">
        <v>37516</v>
      </c>
      <c r="G3491" s="3">
        <v>38069</v>
      </c>
    </row>
    <row r="3492" spans="1:7" x14ac:dyDescent="0.2">
      <c r="A3492" t="s" s="0">
        <v>505</v>
      </c>
      <c r="B3492" s="2">
        <v>1353653</v>
      </c>
      <c r="C3492" s="2">
        <v>28753</v>
      </c>
      <c r="D3492" s="2">
        <v>32615</v>
      </c>
      <c r="E3492" s="2">
        <v>35184</v>
      </c>
      <c r="F3492" s="2">
        <v>28849</v>
      </c>
      <c r="G3492" s="2">
        <v>36586</v>
      </c>
    </row>
    <row r="3493" spans="1:7" x14ac:dyDescent="0.2">
      <c r="A3493" t="s" s="0">
        <v>504</v>
      </c>
      <c r="B3493" s="2">
        <v>1396446</v>
      </c>
      <c r="C3493" s="2">
        <v>30094</v>
      </c>
      <c r="D3493" s="2">
        <v>34218</v>
      </c>
      <c r="E3493" s="2">
        <v>36103</v>
      </c>
      <c r="F3493" s="2">
        <v>40246</v>
      </c>
      <c r="G3493" s="2">
        <v>38973</v>
      </c>
    </row>
    <row r="3494" spans="1:7" x14ac:dyDescent="0.2">
      <c r="A3494" t="s" s="0">
        <v>503</v>
      </c>
      <c r="B3494" s="2">
        <v>1462717</v>
      </c>
      <c r="C3494" s="2">
        <v>34644</v>
      </c>
      <c r="D3494" s="2">
        <v>34606</v>
      </c>
      <c r="E3494" s="2">
        <v>36089</v>
      </c>
      <c r="F3494" s="2">
        <v>55373</v>
      </c>
      <c r="G3494" s="2">
        <v>38826</v>
      </c>
    </row>
    <row r="3495" spans="1:7" x14ac:dyDescent="0.2">
      <c r="A3495" t="s" s="0">
        <v>502</v>
      </c>
      <c r="B3495" s="2">
        <v>1466809</v>
      </c>
      <c r="C3495" s="2">
        <v>35451</v>
      </c>
      <c r="D3495" s="2">
        <v>34717</v>
      </c>
      <c r="E3495" s="2">
        <v>35339</v>
      </c>
      <c r="F3495" s="2">
        <v>56085</v>
      </c>
      <c r="G3495" s="2">
        <v>39436</v>
      </c>
    </row>
    <row r="3496" spans="1:7" x14ac:dyDescent="0.2">
      <c r="A3496" t="s" s="0">
        <v>501</v>
      </c>
      <c r="B3496" s="2">
        <v>1486938</v>
      </c>
      <c r="C3496" s="2">
        <v>35602</v>
      </c>
      <c r="D3496" s="2">
        <v>34660</v>
      </c>
      <c r="E3496" s="2">
        <v>35456</v>
      </c>
      <c r="F3496" s="2">
        <v>43209</v>
      </c>
      <c r="G3496" s="2">
        <v>38523</v>
      </c>
    </row>
    <row r="3497" spans="1:7" x14ac:dyDescent="0.2">
      <c r="A3497" t="s" s="0">
        <v>500</v>
      </c>
      <c r="B3497" s="3">
        <v>1486938</v>
      </c>
      <c r="C3497" s="3">
        <v>35602</v>
      </c>
      <c r="D3497" s="3">
        <v>34660</v>
      </c>
      <c r="E3497" s="3">
        <v>35456</v>
      </c>
      <c r="F3497" s="3">
        <v>43209</v>
      </c>
      <c r="G3497" s="3">
        <v>38523</v>
      </c>
    </row>
    <row r="3498" spans="1:7" x14ac:dyDescent="0.2">
      <c r="A3498" t="s" s="0">
        <v>499</v>
      </c>
      <c r="B3498" s="3">
        <v>1486938</v>
      </c>
      <c r="C3498" s="3">
        <v>35602</v>
      </c>
      <c r="D3498" s="3">
        <v>34660</v>
      </c>
      <c r="E3498" s="3">
        <v>35456</v>
      </c>
      <c r="F3498" s="3">
        <v>43209</v>
      </c>
      <c r="G3498" s="3">
        <v>38523</v>
      </c>
    </row>
    <row r="3499" spans="1:7" x14ac:dyDescent="0.2">
      <c r="A3499" t="s" s="0">
        <v>498</v>
      </c>
      <c r="B3499" s="2">
        <v>1584750</v>
      </c>
      <c r="C3499" s="2">
        <v>21876</v>
      </c>
      <c r="D3499" s="2">
        <v>32969</v>
      </c>
      <c r="E3499" s="2">
        <v>33831</v>
      </c>
      <c r="F3499" s="2">
        <v>65702</v>
      </c>
      <c r="G3499" s="2">
        <v>42602</v>
      </c>
    </row>
    <row r="3500" spans="1:7" x14ac:dyDescent="0.2">
      <c r="A3500" t="s" s="0">
        <v>497</v>
      </c>
      <c r="B3500" s="2">
        <v>1557993</v>
      </c>
      <c r="C3500" s="2">
        <v>29753</v>
      </c>
      <c r="D3500" s="2">
        <v>31777</v>
      </c>
      <c r="E3500" s="2">
        <v>34157</v>
      </c>
      <c r="F3500" s="2">
        <v>54296</v>
      </c>
      <c r="G3500" s="2">
        <v>42596</v>
      </c>
    </row>
    <row r="3501" spans="1:7" x14ac:dyDescent="0.2">
      <c r="A3501" t="s" s="0">
        <v>496</v>
      </c>
      <c r="B3501" s="2">
        <v>1553959</v>
      </c>
      <c r="C3501" s="2">
        <v>36068</v>
      </c>
      <c r="D3501" s="2">
        <v>31266</v>
      </c>
      <c r="E3501" s="2">
        <v>33938</v>
      </c>
      <c r="F3501" s="2">
        <v>43741</v>
      </c>
      <c r="G3501" s="2">
        <v>42820</v>
      </c>
    </row>
    <row r="3502" spans="1:7" x14ac:dyDescent="0.2">
      <c r="A3502" t="s" s="0">
        <v>495</v>
      </c>
      <c r="B3502" s="2">
        <v>1615712</v>
      </c>
      <c r="C3502" s="2">
        <v>33092</v>
      </c>
      <c r="D3502" s="2">
        <v>30214</v>
      </c>
      <c r="E3502" s="2">
        <v>33853</v>
      </c>
      <c r="F3502" s="2">
        <v>50970</v>
      </c>
      <c r="G3502" s="2">
        <v>41541</v>
      </c>
    </row>
    <row r="3503" spans="1:7" x14ac:dyDescent="0.2">
      <c r="A3503" t="s" s="0">
        <v>494</v>
      </c>
      <c r="B3503" s="2">
        <v>1602851</v>
      </c>
      <c r="C3503" s="2">
        <v>31177</v>
      </c>
      <c r="D3503" s="2">
        <v>29582</v>
      </c>
      <c r="E3503" s="2">
        <v>33741</v>
      </c>
      <c r="F3503" s="2">
        <v>45407</v>
      </c>
      <c r="G3503" s="2">
        <v>41680</v>
      </c>
    </row>
    <row r="3504" spans="1:7" x14ac:dyDescent="0.2">
      <c r="A3504" t="s" s="0">
        <v>493</v>
      </c>
      <c r="B3504" s="3">
        <v>1602851</v>
      </c>
      <c r="C3504" s="3">
        <v>31177</v>
      </c>
      <c r="D3504" s="3">
        <v>29582</v>
      </c>
      <c r="E3504" s="3">
        <v>33741</v>
      </c>
      <c r="F3504" s="3">
        <v>45407</v>
      </c>
      <c r="G3504" s="3">
        <v>41680</v>
      </c>
    </row>
    <row r="3505" spans="1:7" x14ac:dyDescent="0.2">
      <c r="A3505" t="s" s="0">
        <v>492</v>
      </c>
      <c r="B3505" s="3">
        <v>1602851</v>
      </c>
      <c r="C3505" s="3">
        <v>31177</v>
      </c>
      <c r="D3505" s="3">
        <v>29582</v>
      </c>
      <c r="E3505" s="3">
        <v>33741</v>
      </c>
      <c r="F3505" s="3">
        <v>45407</v>
      </c>
      <c r="G3505" s="3">
        <v>41680</v>
      </c>
    </row>
    <row r="3506" spans="1:7" x14ac:dyDescent="0.2">
      <c r="A3506" t="s" s="0">
        <v>491</v>
      </c>
      <c r="B3506" s="2">
        <v>1562350</v>
      </c>
      <c r="C3506" s="2">
        <v>24077</v>
      </c>
      <c r="D3506" s="2">
        <v>30082</v>
      </c>
      <c r="E3506" s="2">
        <v>33305</v>
      </c>
      <c r="F3506" s="2">
        <v>26149</v>
      </c>
      <c r="G3506" s="2">
        <v>40239</v>
      </c>
    </row>
    <row r="3507" spans="1:7" x14ac:dyDescent="0.2">
      <c r="A3507" t="s" s="0">
        <v>490</v>
      </c>
      <c r="B3507" s="2">
        <v>1527045</v>
      </c>
      <c r="C3507" s="2">
        <v>36210</v>
      </c>
      <c r="D3507" s="2">
        <v>32849</v>
      </c>
      <c r="E3507" s="2">
        <v>33972</v>
      </c>
      <c r="F3507" s="2">
        <v>27580</v>
      </c>
      <c r="G3507" s="2">
        <v>37198</v>
      </c>
    </row>
    <row r="3508" spans="1:7" x14ac:dyDescent="0.2">
      <c r="A3508" t="s" s="0">
        <v>489</v>
      </c>
      <c r="B3508" s="2">
        <v>1497328</v>
      </c>
      <c r="C3508" s="2">
        <v>35808</v>
      </c>
      <c r="D3508" s="2">
        <v>42667</v>
      </c>
      <c r="E3508" s="2">
        <v>36744</v>
      </c>
      <c r="F3508" s="2">
        <v>33728</v>
      </c>
      <c r="G3508" s="2">
        <v>39877</v>
      </c>
    </row>
    <row r="3509" spans="1:7" x14ac:dyDescent="0.2">
      <c r="A3509" t="s" s="0">
        <v>488</v>
      </c>
      <c r="B3509" s="2">
        <v>1476539</v>
      </c>
      <c r="C3509" s="2">
        <v>34009</v>
      </c>
      <c r="D3509" s="2">
        <v>44074</v>
      </c>
      <c r="E3509" s="2">
        <v>37123</v>
      </c>
      <c r="F3509" s="2">
        <v>23300</v>
      </c>
      <c r="G3509" s="2">
        <v>36740</v>
      </c>
    </row>
    <row r="3510" spans="1:7" x14ac:dyDescent="0.2">
      <c r="A3510" t="s" s="0">
        <v>487</v>
      </c>
      <c r="B3510" s="2">
        <v>1451434</v>
      </c>
      <c r="C3510" s="2">
        <v>36776</v>
      </c>
      <c r="D3510" s="2">
        <v>44874</v>
      </c>
      <c r="E3510" s="2">
        <v>36197</v>
      </c>
      <c r="F3510" s="2">
        <v>22442</v>
      </c>
      <c r="G3510" s="2">
        <v>37144</v>
      </c>
    </row>
    <row r="3511" spans="1:7" x14ac:dyDescent="0.2">
      <c r="A3511" t="s" s="0">
        <v>486</v>
      </c>
      <c r="B3511" s="3">
        <v>1451434</v>
      </c>
      <c r="C3511" s="3">
        <v>36776</v>
      </c>
      <c r="D3511" s="3">
        <v>44874</v>
      </c>
      <c r="E3511" s="3">
        <v>36197</v>
      </c>
      <c r="F3511" s="3">
        <v>22442</v>
      </c>
      <c r="G3511" s="3">
        <v>37144</v>
      </c>
    </row>
    <row r="3512" spans="1:7" x14ac:dyDescent="0.2">
      <c r="A3512" t="s" s="0">
        <v>485</v>
      </c>
      <c r="B3512" s="3">
        <v>1451434</v>
      </c>
      <c r="C3512" s="3">
        <v>36776</v>
      </c>
      <c r="D3512" s="3">
        <v>44874</v>
      </c>
      <c r="E3512" s="3">
        <v>36197</v>
      </c>
      <c r="F3512" s="3">
        <v>22442</v>
      </c>
      <c r="G3512" s="3">
        <v>37144</v>
      </c>
    </row>
    <row r="3513" spans="1:7" x14ac:dyDescent="0.2">
      <c r="A3513" t="s" s="0">
        <v>484</v>
      </c>
      <c r="B3513" s="2">
        <v>1405370</v>
      </c>
      <c r="C3513" s="2">
        <v>21815</v>
      </c>
      <c r="D3513" s="2">
        <v>45579</v>
      </c>
      <c r="E3513" s="2">
        <v>35311</v>
      </c>
      <c r="F3513" s="2">
        <v>23883</v>
      </c>
      <c r="G3513" s="2">
        <v>36146</v>
      </c>
    </row>
    <row r="3514" spans="1:7" x14ac:dyDescent="0.2">
      <c r="A3514" t="s" s="0">
        <v>483</v>
      </c>
      <c r="B3514" s="2">
        <v>1451435</v>
      </c>
      <c r="C3514" s="2">
        <v>29961</v>
      </c>
      <c r="D3514" s="2">
        <v>43127</v>
      </c>
      <c r="E3514" s="2">
        <v>35493</v>
      </c>
      <c r="F3514" s="2">
        <v>33156</v>
      </c>
      <c r="G3514" s="2">
        <v>38820</v>
      </c>
    </row>
    <row r="3515" spans="1:7" x14ac:dyDescent="0.2">
      <c r="A3515" t="s" s="0">
        <v>482</v>
      </c>
      <c r="B3515" s="2">
        <v>1466649</v>
      </c>
      <c r="C3515" s="2">
        <v>38899</v>
      </c>
      <c r="D3515" s="2">
        <v>34429</v>
      </c>
      <c r="E3515" s="2">
        <v>35742</v>
      </c>
      <c r="F3515" s="2">
        <v>30879</v>
      </c>
      <c r="G3515" s="2">
        <v>40930</v>
      </c>
    </row>
    <row r="3516" spans="1:7" x14ac:dyDescent="0.2">
      <c r="A3516" t="s" s="0">
        <v>481</v>
      </c>
      <c r="B3516" s="2">
        <v>1488904</v>
      </c>
      <c r="C3516" s="2">
        <v>30795</v>
      </c>
      <c r="D3516" s="2">
        <v>32980</v>
      </c>
      <c r="E3516" s="2">
        <v>35496</v>
      </c>
      <c r="F3516" s="2">
        <v>35579</v>
      </c>
      <c r="G3516" s="2">
        <v>41483</v>
      </c>
    </row>
    <row r="3517" spans="1:7" x14ac:dyDescent="0.2">
      <c r="A3517" t="s" s="0">
        <v>480</v>
      </c>
      <c r="B3517" s="2">
        <v>1456862</v>
      </c>
      <c r="C3517" s="2">
        <v>34337</v>
      </c>
      <c r="D3517" s="2">
        <v>32632</v>
      </c>
      <c r="E3517" s="2">
        <v>35437</v>
      </c>
      <c r="F3517" s="2">
        <v>34147</v>
      </c>
      <c r="G3517" s="2">
        <v>36301</v>
      </c>
    </row>
    <row r="3518" spans="1:7" x14ac:dyDescent="0.2">
      <c r="A3518" t="s" s="0">
        <v>479</v>
      </c>
      <c r="B3518" s="3">
        <v>1456862</v>
      </c>
      <c r="C3518" s="3">
        <v>34337</v>
      </c>
      <c r="D3518" s="3">
        <v>32632</v>
      </c>
      <c r="E3518" s="3">
        <v>35437</v>
      </c>
      <c r="F3518" s="3">
        <v>34147</v>
      </c>
      <c r="G3518" s="3">
        <v>36301</v>
      </c>
    </row>
    <row r="3519" spans="1:7" x14ac:dyDescent="0.2">
      <c r="A3519" t="s" s="0">
        <v>478</v>
      </c>
      <c r="B3519" s="3">
        <v>1456862</v>
      </c>
      <c r="C3519" s="3">
        <v>34337</v>
      </c>
      <c r="D3519" s="3">
        <v>32632</v>
      </c>
      <c r="E3519" s="3">
        <v>35437</v>
      </c>
      <c r="F3519" s="3">
        <v>34147</v>
      </c>
      <c r="G3519" s="3">
        <v>36301</v>
      </c>
    </row>
    <row r="3520" spans="1:7" x14ac:dyDescent="0.2">
      <c r="A3520" t="s" s="0">
        <v>477</v>
      </c>
      <c r="B3520" s="2">
        <v>1494237</v>
      </c>
      <c r="C3520" s="2">
        <v>23180</v>
      </c>
      <c r="D3520" s="2">
        <v>31522</v>
      </c>
      <c r="E3520" s="2">
        <v>35038</v>
      </c>
      <c r="F3520" s="2">
        <v>43425</v>
      </c>
      <c r="G3520" s="2">
        <v>39790</v>
      </c>
    </row>
    <row r="3521" spans="1:7" x14ac:dyDescent="0.2">
      <c r="A3521" t="s" s="0">
        <v>476</v>
      </c>
      <c r="B3521" s="2">
        <v>1497395</v>
      </c>
      <c r="C3521" s="2">
        <v>33858</v>
      </c>
      <c r="D3521" s="2">
        <v>32886</v>
      </c>
      <c r="E3521" s="2">
        <v>35160</v>
      </c>
      <c r="F3521" s="2">
        <v>38449</v>
      </c>
      <c r="G3521" s="2">
        <v>38370</v>
      </c>
    </row>
    <row r="3522" spans="1:7" x14ac:dyDescent="0.2">
      <c r="A3522" t="s" s="0">
        <v>475</v>
      </c>
      <c r="B3522" s="2">
        <v>1514752</v>
      </c>
      <c r="C3522" s="2">
        <v>37679</v>
      </c>
      <c r="D3522" s="2">
        <v>31996</v>
      </c>
      <c r="E3522" s="2">
        <v>35090</v>
      </c>
      <c r="F3522" s="2">
        <v>37864</v>
      </c>
      <c r="G3522" s="2">
        <v>36553</v>
      </c>
    </row>
    <row r="3523" spans="1:7" x14ac:dyDescent="0.2">
      <c r="A3523" t="s" s="0">
        <v>474</v>
      </c>
      <c r="B3523" s="2">
        <v>1472672</v>
      </c>
      <c r="C3523" s="2">
        <v>38567</v>
      </c>
      <c r="D3523" s="2">
        <v>33321</v>
      </c>
      <c r="E3523" s="2">
        <v>35147</v>
      </c>
      <c r="F3523" s="2">
        <v>29998</v>
      </c>
      <c r="G3523" s="2">
        <v>34962</v>
      </c>
    </row>
    <row r="3524" spans="1:7" x14ac:dyDescent="0.2">
      <c r="A3524" t="s" s="0">
        <v>473</v>
      </c>
      <c r="B3524" s="2">
        <v>1454415</v>
      </c>
      <c r="C3524" s="2">
        <v>37471</v>
      </c>
      <c r="D3524" s="2">
        <v>33769</v>
      </c>
      <c r="E3524" s="2">
        <v>35214</v>
      </c>
      <c r="F3524" s="2">
        <v>32142</v>
      </c>
      <c r="G3524" s="2">
        <v>33535</v>
      </c>
    </row>
    <row r="3525" spans="1:7" x14ac:dyDescent="0.2">
      <c r="A3525" t="s" s="0">
        <v>472</v>
      </c>
      <c r="B3525" s="3">
        <v>1454415</v>
      </c>
      <c r="C3525" s="3">
        <v>37471</v>
      </c>
      <c r="D3525" s="3">
        <v>33769</v>
      </c>
      <c r="E3525" s="3">
        <v>35214</v>
      </c>
      <c r="F3525" s="3">
        <v>32142</v>
      </c>
      <c r="G3525" s="3">
        <v>33535</v>
      </c>
    </row>
    <row r="3526" spans="1:7" x14ac:dyDescent="0.2">
      <c r="A3526" t="s" s="0">
        <v>471</v>
      </c>
      <c r="B3526" s="3">
        <v>1454415</v>
      </c>
      <c r="C3526" s="3">
        <v>37471</v>
      </c>
      <c r="D3526" s="3">
        <v>33769</v>
      </c>
      <c r="E3526" s="3">
        <v>35214</v>
      </c>
      <c r="F3526" s="3">
        <v>32142</v>
      </c>
      <c r="G3526" s="3">
        <v>33535</v>
      </c>
    </row>
    <row r="3527" spans="1:7" x14ac:dyDescent="0.2">
      <c r="A3527" t="s" s="0">
        <v>470</v>
      </c>
      <c r="B3527" s="2">
        <v>1498254</v>
      </c>
      <c r="C3527" s="2">
        <v>23547</v>
      </c>
      <c r="D3527" s="2">
        <v>34257</v>
      </c>
      <c r="E3527" s="2">
        <v>35360</v>
      </c>
      <c r="F3527" s="2">
        <v>33554</v>
      </c>
      <c r="G3527" s="2">
        <v>31753</v>
      </c>
    </row>
    <row r="3528" spans="1:7" x14ac:dyDescent="0.2">
      <c r="A3528" t="s" s="0">
        <v>469</v>
      </c>
      <c r="B3528" s="2">
        <v>1474648</v>
      </c>
      <c r="C3528" s="2">
        <v>36182</v>
      </c>
      <c r="D3528" s="2">
        <v>33923</v>
      </c>
      <c r="E3528" s="2">
        <v>35696</v>
      </c>
      <c r="F3528" s="2">
        <v>29257</v>
      </c>
      <c r="G3528" s="2">
        <v>32111</v>
      </c>
    </row>
    <row r="3529" spans="1:7" x14ac:dyDescent="0.2">
      <c r="A3529" t="s" s="0">
        <v>468</v>
      </c>
      <c r="B3529" s="2">
        <v>1504162</v>
      </c>
      <c r="C3529" s="2">
        <v>40522</v>
      </c>
      <c r="D3529" s="2">
        <v>34330</v>
      </c>
      <c r="E3529" s="2">
        <v>35856</v>
      </c>
      <c r="F3529" s="2">
        <v>31400</v>
      </c>
      <c r="G3529" s="2">
        <v>33468</v>
      </c>
    </row>
    <row r="3530" spans="1:7" x14ac:dyDescent="0.2">
      <c r="A3530" t="s" s="0">
        <v>467</v>
      </c>
      <c r="B3530" s="2">
        <v>1510417</v>
      </c>
      <c r="C3530" s="2">
        <v>32017</v>
      </c>
      <c r="D3530" s="2">
        <v>33608</v>
      </c>
      <c r="E3530" s="2">
        <v>35996</v>
      </c>
      <c r="F3530" s="2">
        <v>37584</v>
      </c>
      <c r="G3530" s="2">
        <v>31615</v>
      </c>
    </row>
    <row r="3531" spans="1:7" x14ac:dyDescent="0.2">
      <c r="A3531" t="s" s="0">
        <v>466</v>
      </c>
      <c r="B3531" s="3">
        <v>1454415</v>
      </c>
      <c r="C3531" s="3">
        <v>37471</v>
      </c>
      <c r="D3531" s="3">
        <v>33769</v>
      </c>
      <c r="E3531" s="3">
        <v>35214</v>
      </c>
      <c r="F3531" s="3">
        <v>32142</v>
      </c>
      <c r="G3531" s="3">
        <v>33535</v>
      </c>
    </row>
    <row r="3532" spans="1:7" x14ac:dyDescent="0.2">
      <c r="A3532" t="s" s="0">
        <v>465</v>
      </c>
      <c r="B3532" s="3">
        <v>1454415</v>
      </c>
      <c r="C3532" s="3">
        <v>37471</v>
      </c>
      <c r="D3532" s="3">
        <v>33769</v>
      </c>
      <c r="E3532" s="3">
        <v>35214</v>
      </c>
      <c r="F3532" s="3">
        <v>32142</v>
      </c>
      <c r="G3532" s="3">
        <v>33535</v>
      </c>
    </row>
    <row r="3533" spans="1:7" x14ac:dyDescent="0.2">
      <c r="A3533" t="s" s="0">
        <v>464</v>
      </c>
      <c r="B3533" s="2">
        <v>1352654</v>
      </c>
      <c r="C3533" s="2">
        <v>26203</v>
      </c>
      <c r="D3533" s="2">
        <v>54330</v>
      </c>
      <c r="E3533" s="2">
        <v>41422</v>
      </c>
      <c r="F3533" s="2">
        <v>31948</v>
      </c>
      <c r="G3533" s="2">
        <v>33203</v>
      </c>
    </row>
    <row r="3534" spans="1:7" x14ac:dyDescent="0.2">
      <c r="A3534" t="s" s="0">
        <v>463</v>
      </c>
      <c r="B3534" s="2">
        <v>1345389</v>
      </c>
      <c r="C3534" s="2">
        <v>36102</v>
      </c>
      <c r="D3534" s="2">
        <v>53890</v>
      </c>
      <c r="E3534" s="2">
        <v>40957</v>
      </c>
      <c r="F3534" s="2">
        <v>34088</v>
      </c>
      <c r="G3534" s="2">
        <v>33738</v>
      </c>
    </row>
    <row r="3535" spans="1:7" x14ac:dyDescent="0.2">
      <c r="A3535" t="s" s="0">
        <v>462</v>
      </c>
      <c r="B3535" s="2">
        <v>1306310</v>
      </c>
      <c r="C3535" s="2">
        <v>39116</v>
      </c>
      <c r="D3535" s="2">
        <v>53689</v>
      </c>
      <c r="E3535" s="2">
        <v>38611</v>
      </c>
      <c r="F3535" s="2">
        <v>24088</v>
      </c>
      <c r="G3535" s="2">
        <v>31058</v>
      </c>
    </row>
    <row r="3536" spans="1:7" x14ac:dyDescent="0.2">
      <c r="A3536" t="s" s="0">
        <v>461</v>
      </c>
      <c r="B3536" s="2">
        <v>1350123</v>
      </c>
      <c r="C3536" s="2">
        <v>41662</v>
      </c>
      <c r="D3536" s="2">
        <v>54998</v>
      </c>
      <c r="E3536" s="2">
        <v>38727</v>
      </c>
      <c r="F3536" s="2">
        <v>30762</v>
      </c>
      <c r="G3536" s="2">
        <v>33481</v>
      </c>
    </row>
    <row r="3537" spans="1:7" x14ac:dyDescent="0.2">
      <c r="A3537" t="s" s="0">
        <v>460</v>
      </c>
      <c r="B3537" s="2">
        <v>1344298</v>
      </c>
      <c r="C3537" s="2">
        <v>38227</v>
      </c>
      <c r="D3537" s="2">
        <v>49263</v>
      </c>
      <c r="E3537" s="2">
        <v>38779</v>
      </c>
      <c r="F3537" s="2">
        <v>35051</v>
      </c>
      <c r="G3537" s="2">
        <v>34195</v>
      </c>
    </row>
    <row r="3538" spans="1:7" x14ac:dyDescent="0.2">
      <c r="A3538" t="s" s="0">
        <v>459</v>
      </c>
      <c r="B3538" s="3">
        <v>1344298</v>
      </c>
      <c r="C3538" s="3">
        <v>38227</v>
      </c>
      <c r="D3538" s="3">
        <v>49263</v>
      </c>
      <c r="E3538" s="3">
        <v>38779</v>
      </c>
      <c r="F3538" s="3">
        <v>35051</v>
      </c>
      <c r="G3538" s="3">
        <v>34195</v>
      </c>
    </row>
    <row r="3539" spans="1:7" x14ac:dyDescent="0.2">
      <c r="A3539" t="s" s="0">
        <v>458</v>
      </c>
      <c r="B3539" s="3">
        <v>1344298</v>
      </c>
      <c r="C3539" s="3">
        <v>38227</v>
      </c>
      <c r="D3539" s="3">
        <v>49263</v>
      </c>
      <c r="E3539" s="3">
        <v>38779</v>
      </c>
      <c r="F3539" s="3">
        <v>35051</v>
      </c>
      <c r="G3539" s="3">
        <v>34195</v>
      </c>
    </row>
    <row r="3540" spans="1:7" x14ac:dyDescent="0.2">
      <c r="A3540" t="s" s="0">
        <v>457</v>
      </c>
      <c r="B3540" s="2">
        <v>1339945</v>
      </c>
      <c r="C3540" s="2">
        <v>23342</v>
      </c>
      <c r="D3540" s="2">
        <v>35313</v>
      </c>
      <c r="E3540" s="2">
        <v>38855</v>
      </c>
      <c r="F3540" s="2">
        <v>32375</v>
      </c>
      <c r="G3540" s="2">
        <v>35326</v>
      </c>
    </row>
    <row r="3541" spans="1:7" x14ac:dyDescent="0.2">
      <c r="A3541" t="s" s="0">
        <v>456</v>
      </c>
      <c r="B3541" s="2">
        <v>1344804</v>
      </c>
      <c r="C3541" s="2">
        <v>32221</v>
      </c>
      <c r="D3541" s="2">
        <v>36477</v>
      </c>
      <c r="E3541" s="2">
        <v>39294</v>
      </c>
      <c r="F3541" s="2">
        <v>35806</v>
      </c>
      <c r="G3541" s="2">
        <v>34400</v>
      </c>
    </row>
    <row r="3542" spans="1:7" x14ac:dyDescent="0.2">
      <c r="A3542" t="s" s="0">
        <v>455</v>
      </c>
      <c r="B3542" s="2">
        <v>1340167</v>
      </c>
      <c r="C3542" s="2">
        <v>34394</v>
      </c>
      <c r="D3542" s="2">
        <v>35802</v>
      </c>
      <c r="E3542" s="2">
        <v>38954</v>
      </c>
      <c r="F3542" s="2">
        <v>40052</v>
      </c>
      <c r="G3542" s="2">
        <v>33351</v>
      </c>
    </row>
    <row r="3543" spans="1:7" x14ac:dyDescent="0.2">
      <c r="A3543" t="s" s="0">
        <v>454</v>
      </c>
      <c r="B3543" s="2">
        <v>1361847</v>
      </c>
      <c r="C3543" s="2">
        <v>35503</v>
      </c>
      <c r="D3543" s="2">
        <v>35704</v>
      </c>
      <c r="E3543" s="2">
        <v>39408</v>
      </c>
      <c r="F3543" s="2">
        <v>36793</v>
      </c>
      <c r="G3543" s="2">
        <v>33784</v>
      </c>
    </row>
    <row r="3544" spans="1:7" x14ac:dyDescent="0.2">
      <c r="A3544" t="s" s="0">
        <v>453</v>
      </c>
      <c r="B3544" s="2">
        <v>1378118</v>
      </c>
      <c r="C3544" s="2">
        <v>37668</v>
      </c>
      <c r="D3544" s="2">
        <v>35624</v>
      </c>
      <c r="E3544" s="2">
        <v>39527</v>
      </c>
      <c r="F3544" s="2">
        <v>39292</v>
      </c>
      <c r="G3544" s="2">
        <v>35481</v>
      </c>
    </row>
    <row r="3545" spans="1:7" x14ac:dyDescent="0.2">
      <c r="A3545" t="s" s="0">
        <v>452</v>
      </c>
      <c r="B3545" s="3">
        <v>1378118</v>
      </c>
      <c r="C3545" s="3">
        <v>37668</v>
      </c>
      <c r="D3545" s="3">
        <v>35624</v>
      </c>
      <c r="E3545" s="3">
        <v>39527</v>
      </c>
      <c r="F3545" s="3">
        <v>39292</v>
      </c>
      <c r="G3545" s="3">
        <v>35481</v>
      </c>
    </row>
    <row r="3546" spans="1:7" x14ac:dyDescent="0.2">
      <c r="A3546" t="s" s="0">
        <v>451</v>
      </c>
      <c r="B3546" s="3">
        <v>1378118</v>
      </c>
      <c r="C3546" s="3">
        <v>37668</v>
      </c>
      <c r="D3546" s="3">
        <v>35624</v>
      </c>
      <c r="E3546" s="3">
        <v>39527</v>
      </c>
      <c r="F3546" s="3">
        <v>39292</v>
      </c>
      <c r="G3546" s="3">
        <v>35481</v>
      </c>
    </row>
    <row r="3547" spans="1:7" x14ac:dyDescent="0.2">
      <c r="A3547" t="s" s="0">
        <v>450</v>
      </c>
      <c r="B3547" s="2">
        <v>1464771</v>
      </c>
      <c r="C3547" s="2">
        <v>24367</v>
      </c>
      <c r="D3547" s="2">
        <v>35174</v>
      </c>
      <c r="E3547" s="2">
        <v>39768</v>
      </c>
      <c r="F3547" s="2">
        <v>52054</v>
      </c>
      <c r="G3547" s="2">
        <v>37483</v>
      </c>
    </row>
    <row r="3548" spans="1:7" x14ac:dyDescent="0.2">
      <c r="A3548" t="s" s="0">
        <v>449</v>
      </c>
      <c r="B3548" s="2">
        <v>1421277</v>
      </c>
      <c r="C3548" s="2">
        <v>32868</v>
      </c>
      <c r="D3548" s="2">
        <v>33984</v>
      </c>
      <c r="E3548" s="2">
        <v>39569</v>
      </c>
      <c r="F3548" s="2">
        <v>43623</v>
      </c>
      <c r="G3548" s="2">
        <v>35694</v>
      </c>
    </row>
    <row r="3549" spans="1:7" x14ac:dyDescent="0.2">
      <c r="A3549" t="s" s="0">
        <v>448</v>
      </c>
      <c r="B3549" s="2">
        <v>1375900</v>
      </c>
      <c r="C3549" s="2">
        <v>40475</v>
      </c>
      <c r="D3549" s="2">
        <v>39129</v>
      </c>
      <c r="E3549" s="2">
        <v>40737</v>
      </c>
      <c r="F3549" s="2">
        <v>42948</v>
      </c>
      <c r="G3549" s="2">
        <v>34622</v>
      </c>
    </row>
    <row r="3550" spans="1:7" x14ac:dyDescent="0.2">
      <c r="A3550" t="s" s="0">
        <v>447</v>
      </c>
      <c r="B3550" s="2">
        <v>1417538</v>
      </c>
      <c r="C3550" s="2">
        <v>34262</v>
      </c>
      <c r="D3550" s="2">
        <v>37882</v>
      </c>
      <c r="E3550" s="2">
        <v>40548</v>
      </c>
      <c r="F3550" s="2">
        <v>44551</v>
      </c>
      <c r="G3550" s="2">
        <v>37422</v>
      </c>
    </row>
    <row r="3551" spans="1:7" x14ac:dyDescent="0.2">
      <c r="A3551" t="s" s="0">
        <v>446</v>
      </c>
      <c r="B3551" s="2">
        <v>1363505</v>
      </c>
      <c r="C3551" s="2">
        <v>36487</v>
      </c>
      <c r="D3551" s="2">
        <v>40363</v>
      </c>
      <c r="E3551" s="2">
        <v>41175</v>
      </c>
      <c r="F3551" s="2">
        <v>37766</v>
      </c>
      <c r="G3551" s="2">
        <v>36887</v>
      </c>
    </row>
    <row r="3552" spans="1:7" x14ac:dyDescent="0.2">
      <c r="A3552" t="s" s="0">
        <v>445</v>
      </c>
      <c r="B3552" s="3">
        <v>1363505</v>
      </c>
      <c r="C3552" s="3">
        <v>36487</v>
      </c>
      <c r="D3552" s="3">
        <v>40363</v>
      </c>
      <c r="E3552" s="3">
        <v>41175</v>
      </c>
      <c r="F3552" s="3">
        <v>37766</v>
      </c>
      <c r="G3552" s="3">
        <v>36887</v>
      </c>
    </row>
    <row r="3553" spans="1:7" x14ac:dyDescent="0.2">
      <c r="A3553" t="s" s="0">
        <v>444</v>
      </c>
      <c r="B3553" s="3">
        <v>1363505</v>
      </c>
      <c r="C3553" s="3">
        <v>36487</v>
      </c>
      <c r="D3553" s="3">
        <v>40363</v>
      </c>
      <c r="E3553" s="3">
        <v>41175</v>
      </c>
      <c r="F3553" s="3">
        <v>37766</v>
      </c>
      <c r="G3553" s="3">
        <v>36887</v>
      </c>
    </row>
    <row r="3554" spans="1:7" x14ac:dyDescent="0.2">
      <c r="A3554" t="s" s="0">
        <v>443</v>
      </c>
      <c r="B3554" s="2">
        <v>1413179</v>
      </c>
      <c r="C3554" s="2">
        <v>23640</v>
      </c>
      <c r="D3554" s="2">
        <v>42949</v>
      </c>
      <c r="E3554" s="2">
        <v>41941</v>
      </c>
      <c r="F3554" s="2">
        <v>35069</v>
      </c>
      <c r="G3554" s="2">
        <v>37862</v>
      </c>
    </row>
    <row r="3555" spans="1:7" x14ac:dyDescent="0.2">
      <c r="A3555" t="s" s="0">
        <v>442</v>
      </c>
      <c r="B3555" s="2">
        <v>1358889</v>
      </c>
      <c r="C3555" s="2">
        <v>32967</v>
      </c>
      <c r="D3555" s="2">
        <v>46171</v>
      </c>
      <c r="E3555" s="2">
        <v>42630</v>
      </c>
      <c r="F3555" s="2">
        <v>36499</v>
      </c>
      <c r="G3555" s="2">
        <v>37504</v>
      </c>
    </row>
    <row r="3556" spans="1:7" x14ac:dyDescent="0.2">
      <c r="A3556" t="s" s="0">
        <v>441</v>
      </c>
      <c r="B3556" s="2">
        <v>1326355</v>
      </c>
      <c r="C3556" s="2">
        <v>32569</v>
      </c>
      <c r="D3556" s="2">
        <v>40766</v>
      </c>
      <c r="E3556" s="2">
        <v>42346</v>
      </c>
      <c r="F3556" s="2">
        <v>32927</v>
      </c>
      <c r="G3556" s="2">
        <v>35004</v>
      </c>
    </row>
    <row r="3557" spans="1:7" x14ac:dyDescent="0.2">
      <c r="A3557" t="s" s="0">
        <v>440</v>
      </c>
      <c r="B3557" s="2">
        <v>1354909</v>
      </c>
      <c r="C3557" s="2">
        <v>35455</v>
      </c>
      <c r="D3557" s="2">
        <v>42150</v>
      </c>
      <c r="E3557" s="2">
        <v>42683</v>
      </c>
      <c r="F3557" s="2">
        <v>32444</v>
      </c>
      <c r="G3557" s="2">
        <v>36138</v>
      </c>
    </row>
    <row r="3558" spans="1:7" x14ac:dyDescent="0.2">
      <c r="A3558" t="s" s="0">
        <v>439</v>
      </c>
      <c r="B3558" s="2">
        <v>1432069</v>
      </c>
      <c r="C3558" s="2">
        <v>39328</v>
      </c>
      <c r="D3558" s="2">
        <v>41335</v>
      </c>
      <c r="E3558" s="2">
        <v>41646</v>
      </c>
      <c r="F3558" s="2">
        <v>50297</v>
      </c>
      <c r="G3558" s="2">
        <v>40602</v>
      </c>
    </row>
    <row r="3559" spans="1:7" x14ac:dyDescent="0.2">
      <c r="A3559" t="s" s="0">
        <v>438</v>
      </c>
      <c r="B3559" s="3">
        <v>1432069</v>
      </c>
      <c r="C3559" s="3">
        <v>39328</v>
      </c>
      <c r="D3559" s="3">
        <v>41335</v>
      </c>
      <c r="E3559" s="3">
        <v>41646</v>
      </c>
      <c r="F3559" s="3">
        <v>50297</v>
      </c>
      <c r="G3559" s="3">
        <v>40602</v>
      </c>
    </row>
    <row r="3560" spans="1:7" x14ac:dyDescent="0.2">
      <c r="A3560" t="s" s="0">
        <v>437</v>
      </c>
      <c r="B3560" s="3">
        <v>1432069</v>
      </c>
      <c r="C3560" s="3">
        <v>39328</v>
      </c>
      <c r="D3560" s="3">
        <v>41335</v>
      </c>
      <c r="E3560" s="3">
        <v>41646</v>
      </c>
      <c r="F3560" s="3">
        <v>50297</v>
      </c>
      <c r="G3560" s="3">
        <v>40602</v>
      </c>
    </row>
    <row r="3561" spans="1:7" x14ac:dyDescent="0.2">
      <c r="A3561" t="s" s="0">
        <v>436</v>
      </c>
      <c r="B3561" s="2">
        <v>1343557</v>
      </c>
      <c r="C3561" s="2">
        <v>25627</v>
      </c>
      <c r="D3561" s="2">
        <v>42082</v>
      </c>
      <c r="E3561" s="2">
        <v>38879</v>
      </c>
      <c r="F3561" s="2">
        <v>31187</v>
      </c>
      <c r="G3561" s="2">
        <v>37671</v>
      </c>
    </row>
    <row r="3562" spans="1:7" x14ac:dyDescent="0.2">
      <c r="A3562" t="s" s="0">
        <v>435</v>
      </c>
      <c r="B3562" s="2">
        <v>1308836</v>
      </c>
      <c r="C3562" s="2">
        <v>36997</v>
      </c>
      <c r="D3562" s="2">
        <v>39871</v>
      </c>
      <c r="E3562" s="2">
        <v>39126</v>
      </c>
      <c r="F3562" s="2">
        <v>31288</v>
      </c>
      <c r="G3562" s="2">
        <v>36804</v>
      </c>
    </row>
    <row r="3563" spans="1:7" x14ac:dyDescent="0.2">
      <c r="A3563" t="s" s="0">
        <v>434</v>
      </c>
      <c r="B3563" s="2">
        <v>1338728</v>
      </c>
      <c r="C3563" s="2">
        <v>40157</v>
      </c>
      <c r="D3563" s="2">
        <v>40955</v>
      </c>
      <c r="E3563" s="2">
        <v>39163</v>
      </c>
      <c r="F3563" s="2">
        <v>41288</v>
      </c>
      <c r="G3563" s="2">
        <v>39304</v>
      </c>
    </row>
    <row r="3564" spans="1:7" x14ac:dyDescent="0.2">
      <c r="A3564" t="s" s="0">
        <v>433</v>
      </c>
      <c r="B3564" s="2">
        <v>1342493</v>
      </c>
      <c r="C3564" s="2">
        <v>36251</v>
      </c>
      <c r="D3564" s="2">
        <v>39497</v>
      </c>
      <c r="E3564" s="2">
        <v>38808</v>
      </c>
      <c r="F3564" s="2">
        <v>36288</v>
      </c>
      <c r="G3564" s="2">
        <v>37519</v>
      </c>
    </row>
    <row r="3565" spans="1:7" x14ac:dyDescent="0.2">
      <c r="A3565" t="s" s="0">
        <v>432</v>
      </c>
      <c r="B3565" s="2">
        <v>1338640</v>
      </c>
      <c r="C3565" s="2">
        <v>36896</v>
      </c>
      <c r="D3565" s="2">
        <v>37721</v>
      </c>
      <c r="E3565" s="2">
        <v>38761</v>
      </c>
      <c r="F3565" s="2">
        <v>22736</v>
      </c>
      <c r="G3565" s="2">
        <v>37523</v>
      </c>
    </row>
    <row r="3566" spans="1:7" x14ac:dyDescent="0.2">
      <c r="A3566" t="s" s="0">
        <v>431</v>
      </c>
      <c r="B3566" s="3">
        <v>1338640</v>
      </c>
      <c r="C3566" s="3">
        <v>36896</v>
      </c>
      <c r="D3566" s="3">
        <v>37721</v>
      </c>
      <c r="E3566" s="3">
        <v>38761</v>
      </c>
      <c r="F3566" s="3">
        <v>22736</v>
      </c>
      <c r="G3566" s="3">
        <v>37523</v>
      </c>
    </row>
    <row r="3567" spans="1:7" x14ac:dyDescent="0.2">
      <c r="A3567" t="s" s="0">
        <v>430</v>
      </c>
      <c r="B3567" s="3">
        <v>1338640</v>
      </c>
      <c r="C3567" s="3">
        <v>36896</v>
      </c>
      <c r="D3567" s="3">
        <v>37721</v>
      </c>
      <c r="E3567" s="3">
        <v>38761</v>
      </c>
      <c r="F3567" s="3">
        <v>22736</v>
      </c>
      <c r="G3567" s="3">
        <v>37523</v>
      </c>
    </row>
    <row r="3568" spans="1:7" x14ac:dyDescent="0.2">
      <c r="A3568" t="s" s="0">
        <v>429</v>
      </c>
      <c r="B3568" s="2">
        <v>1301376</v>
      </c>
      <c r="C3568" s="2">
        <v>25117</v>
      </c>
      <c r="D3568" s="2">
        <v>34799</v>
      </c>
      <c r="E3568" s="2">
        <v>38751</v>
      </c>
      <c r="F3568" s="2">
        <v>27251</v>
      </c>
      <c r="G3568" s="2">
        <v>36390</v>
      </c>
    </row>
    <row r="3569" spans="1:7" x14ac:dyDescent="0.2">
      <c r="A3569" t="s" s="0">
        <v>428</v>
      </c>
      <c r="B3569" s="2">
        <v>1352766</v>
      </c>
      <c r="C3569" s="2">
        <v>36443</v>
      </c>
      <c r="D3569" s="2">
        <v>33863</v>
      </c>
      <c r="E3569" s="2">
        <v>38472</v>
      </c>
      <c r="F3569" s="2">
        <v>39295</v>
      </c>
      <c r="G3569" s="2">
        <v>37676</v>
      </c>
    </row>
    <row r="3570" spans="1:7" x14ac:dyDescent="0.2">
      <c r="A3570" t="s" s="0">
        <v>427</v>
      </c>
      <c r="B3570" s="2">
        <v>1363404</v>
      </c>
      <c r="C3570" s="2">
        <v>40614</v>
      </c>
      <c r="D3570" s="2">
        <v>34643</v>
      </c>
      <c r="E3570" s="2">
        <v>38873</v>
      </c>
      <c r="F3570" s="2">
        <v>37326</v>
      </c>
      <c r="G3570" s="2">
        <v>38622</v>
      </c>
    </row>
    <row r="3571" spans="1:7" x14ac:dyDescent="0.2">
      <c r="A3571" t="s" s="0">
        <v>426</v>
      </c>
      <c r="B3571" s="2">
        <v>1304835</v>
      </c>
      <c r="C3571" s="2">
        <v>34846</v>
      </c>
      <c r="D3571" s="2">
        <v>38572</v>
      </c>
      <c r="E3571" s="2">
        <v>39525</v>
      </c>
      <c r="F3571" s="2">
        <v>31621</v>
      </c>
      <c r="G3571" s="2">
        <v>36226</v>
      </c>
    </row>
    <row r="3572" spans="1:7" x14ac:dyDescent="0.2">
      <c r="A3572" t="s" s="0">
        <v>425</v>
      </c>
      <c r="B3572" s="2">
        <v>1310212</v>
      </c>
      <c r="C3572" s="2">
        <v>40031</v>
      </c>
      <c r="D3572" s="2">
        <v>39020</v>
      </c>
      <c r="E3572" s="2">
        <v>39610</v>
      </c>
      <c r="F3572" s="2">
        <v>33386</v>
      </c>
      <c r="G3572" s="2">
        <v>36046</v>
      </c>
    </row>
    <row r="3573" spans="1:7" x14ac:dyDescent="0.2">
      <c r="A3573" t="s" s="0">
        <v>424</v>
      </c>
      <c r="B3573" s="3">
        <v>1310212</v>
      </c>
      <c r="C3573" s="3">
        <v>40031</v>
      </c>
      <c r="D3573" s="3">
        <v>39020</v>
      </c>
      <c r="E3573" s="3">
        <v>39610</v>
      </c>
      <c r="F3573" s="3">
        <v>33386</v>
      </c>
      <c r="G3573" s="3">
        <v>36046</v>
      </c>
    </row>
    <row r="3574" spans="1:7" x14ac:dyDescent="0.2">
      <c r="A3574" t="s" s="0">
        <v>423</v>
      </c>
      <c r="B3574" s="3">
        <v>1310212</v>
      </c>
      <c r="C3574" s="3">
        <v>40031</v>
      </c>
      <c r="D3574" s="3">
        <v>39020</v>
      </c>
      <c r="E3574" s="3">
        <v>39610</v>
      </c>
      <c r="F3574" s="3">
        <v>33386</v>
      </c>
      <c r="G3574" s="3">
        <v>36046</v>
      </c>
    </row>
    <row r="3575" spans="1:7" x14ac:dyDescent="0.2">
      <c r="A3575" t="s" s="0">
        <v>422</v>
      </c>
      <c r="B3575" s="2">
        <v>1355005</v>
      </c>
      <c r="C3575" s="2">
        <v>24716</v>
      </c>
      <c r="D3575" s="2">
        <v>39939</v>
      </c>
      <c r="E3575" s="2">
        <v>39942</v>
      </c>
      <c r="F3575" s="2">
        <v>46027</v>
      </c>
      <c r="G3575" s="2">
        <v>34884</v>
      </c>
    </row>
    <row r="3576" spans="1:7" x14ac:dyDescent="0.2">
      <c r="A3576" t="s" s="0">
        <v>421</v>
      </c>
      <c r="B3576" s="2">
        <v>1370233</v>
      </c>
      <c r="C3576" s="2">
        <v>38487</v>
      </c>
      <c r="D3576" s="2">
        <v>43667</v>
      </c>
      <c r="E3576" s="2">
        <v>40893</v>
      </c>
      <c r="F3576" s="2">
        <v>44317</v>
      </c>
      <c r="G3576" s="2">
        <v>37850</v>
      </c>
    </row>
    <row r="3577" spans="1:7" x14ac:dyDescent="0.2">
      <c r="A3577" t="s" s="0">
        <v>420</v>
      </c>
      <c r="B3577" s="2">
        <v>1325765</v>
      </c>
      <c r="C3577" s="2">
        <v>44512</v>
      </c>
      <c r="D3577" s="2">
        <v>43509</v>
      </c>
      <c r="E3577" s="2">
        <v>39968</v>
      </c>
      <c r="F3577" s="2">
        <v>36287</v>
      </c>
      <c r="G3577" s="2">
        <v>36957</v>
      </c>
    </row>
    <row r="3578" spans="1:7" x14ac:dyDescent="0.2">
      <c r="A3578" t="s" s="0">
        <v>419</v>
      </c>
      <c r="B3578" s="2">
        <v>1317608</v>
      </c>
      <c r="C3578" s="2">
        <v>36248</v>
      </c>
      <c r="D3578" s="2">
        <v>40998</v>
      </c>
      <c r="E3578" s="2">
        <v>40304</v>
      </c>
      <c r="F3578" s="2">
        <v>41706</v>
      </c>
      <c r="G3578" s="2">
        <v>35515</v>
      </c>
    </row>
    <row r="3579" spans="1:7" x14ac:dyDescent="0.2">
      <c r="A3579" t="s" s="0">
        <v>418</v>
      </c>
      <c r="B3579" s="2">
        <v>1294053</v>
      </c>
      <c r="C3579" s="2">
        <v>40136</v>
      </c>
      <c r="D3579" s="2">
        <v>44564</v>
      </c>
      <c r="E3579" s="2">
        <v>40660</v>
      </c>
      <c r="F3579" s="2">
        <v>41252</v>
      </c>
      <c r="G3579" s="2">
        <v>36918</v>
      </c>
    </row>
    <row r="3580" spans="1:7" x14ac:dyDescent="0.2">
      <c r="A3580" t="s" s="0">
        <v>417</v>
      </c>
      <c r="B3580" s="3">
        <v>1294053</v>
      </c>
      <c r="C3580" s="3">
        <v>40136</v>
      </c>
      <c r="D3580" s="3">
        <v>44564</v>
      </c>
      <c r="E3580" s="3">
        <v>40660</v>
      </c>
      <c r="F3580" s="3">
        <v>41252</v>
      </c>
      <c r="G3580" s="3">
        <v>36918</v>
      </c>
    </row>
    <row r="3581" spans="1:7" x14ac:dyDescent="0.2">
      <c r="A3581" t="s" s="0">
        <v>416</v>
      </c>
      <c r="B3581" s="3">
        <v>1294053</v>
      </c>
      <c r="C3581" s="3">
        <v>40136</v>
      </c>
      <c r="D3581" s="3">
        <v>44564</v>
      </c>
      <c r="E3581" s="3">
        <v>40660</v>
      </c>
      <c r="F3581" s="3">
        <v>41252</v>
      </c>
      <c r="G3581" s="3">
        <v>36918</v>
      </c>
    </row>
    <row r="3582" spans="1:7" x14ac:dyDescent="0.2">
      <c r="A3582" t="s" s="0">
        <v>415</v>
      </c>
      <c r="B3582" s="2">
        <v>1347493</v>
      </c>
      <c r="C3582" s="2">
        <v>28976</v>
      </c>
      <c r="D3582" s="2">
        <v>47055</v>
      </c>
      <c r="E3582" s="2">
        <v>40969</v>
      </c>
      <c r="F3582" s="2">
        <v>44978</v>
      </c>
      <c r="G3582" s="2">
        <v>37361</v>
      </c>
    </row>
    <row r="3583" spans="1:7" x14ac:dyDescent="0.2">
      <c r="A3583" t="s" s="0">
        <v>414</v>
      </c>
      <c r="B3583" s="2">
        <v>1302885</v>
      </c>
      <c r="C3583" s="2">
        <v>35496</v>
      </c>
      <c r="D3583" s="2">
        <v>44338</v>
      </c>
      <c r="E3583" s="2">
        <v>40435</v>
      </c>
      <c r="F3583" s="2">
        <v>34373</v>
      </c>
      <c r="G3583" s="2">
        <v>37318</v>
      </c>
    </row>
    <row r="3584" spans="1:7" x14ac:dyDescent="0.2">
      <c r="A3584" t="s" s="0">
        <v>413</v>
      </c>
      <c r="B3584" s="2">
        <v>1340327</v>
      </c>
      <c r="C3584" s="2">
        <v>44295</v>
      </c>
      <c r="D3584" s="2">
        <v>44736</v>
      </c>
      <c r="E3584" s="2">
        <v>40960</v>
      </c>
      <c r="F3584" s="2">
        <v>45799</v>
      </c>
      <c r="G3584" s="2">
        <v>40175</v>
      </c>
    </row>
    <row r="3585" spans="1:7" x14ac:dyDescent="0.2">
      <c r="A3585" t="s" s="0">
        <v>412</v>
      </c>
      <c r="B3585" s="2">
        <v>1300259</v>
      </c>
      <c r="C3585" s="2">
        <v>38265</v>
      </c>
      <c r="D3585" s="2">
        <v>48150</v>
      </c>
      <c r="E3585" s="2">
        <v>41804</v>
      </c>
      <c r="F3585" s="2">
        <v>44654</v>
      </c>
      <c r="G3585" s="2">
        <v>38567</v>
      </c>
    </row>
    <row r="3586" spans="1:7" x14ac:dyDescent="0.2">
      <c r="A3586" t="s" s="0">
        <v>411</v>
      </c>
      <c r="B3586" s="2">
        <v>1308705</v>
      </c>
      <c r="C3586" s="2">
        <v>40560</v>
      </c>
      <c r="D3586" s="2">
        <v>44660</v>
      </c>
      <c r="E3586" s="2">
        <v>41491</v>
      </c>
      <c r="F3586" s="2">
        <v>45875</v>
      </c>
      <c r="G3586" s="2">
        <v>35812</v>
      </c>
    </row>
    <row r="3587" spans="1:7" x14ac:dyDescent="0.2">
      <c r="A3587" t="s" s="0">
        <v>410</v>
      </c>
      <c r="B3587" s="3">
        <v>1308705</v>
      </c>
      <c r="C3587" s="3">
        <v>40560</v>
      </c>
      <c r="D3587" s="3">
        <v>44660</v>
      </c>
      <c r="E3587" s="3">
        <v>41491</v>
      </c>
      <c r="F3587" s="3">
        <v>45875</v>
      </c>
      <c r="G3587" s="3">
        <v>35812</v>
      </c>
    </row>
    <row r="3588" spans="1:7" x14ac:dyDescent="0.2">
      <c r="A3588" t="s" s="0">
        <v>409</v>
      </c>
      <c r="B3588" s="3">
        <v>1308705</v>
      </c>
      <c r="C3588" s="3">
        <v>40560</v>
      </c>
      <c r="D3588" s="3">
        <v>44660</v>
      </c>
      <c r="E3588" s="3">
        <v>41491</v>
      </c>
      <c r="F3588" s="3">
        <v>45875</v>
      </c>
      <c r="G3588" s="3">
        <v>35812</v>
      </c>
    </row>
    <row r="3589" spans="1:7" x14ac:dyDescent="0.2">
      <c r="A3589" t="s" s="0">
        <v>408</v>
      </c>
      <c r="B3589" s="2">
        <v>1332586</v>
      </c>
      <c r="C3589" s="2">
        <v>25562</v>
      </c>
      <c r="D3589" s="2">
        <v>43485</v>
      </c>
      <c r="E3589" s="2">
        <v>41319</v>
      </c>
      <c r="F3589" s="2">
        <v>40477</v>
      </c>
      <c r="G3589" s="2">
        <v>39683</v>
      </c>
    </row>
    <row r="3590" spans="1:7" x14ac:dyDescent="0.2">
      <c r="A3590" t="s" s="0">
        <v>407</v>
      </c>
      <c r="B3590" s="2">
        <v>1347119</v>
      </c>
      <c r="C3590" s="2">
        <v>38381</v>
      </c>
      <c r="D3590" s="2">
        <v>43465</v>
      </c>
      <c r="E3590" s="2">
        <v>41333</v>
      </c>
      <c r="F3590" s="2">
        <v>48906</v>
      </c>
      <c r="G3590" s="2">
        <v>41723</v>
      </c>
    </row>
    <row r="3591" spans="1:7" x14ac:dyDescent="0.2">
      <c r="A3591" t="s" s="0">
        <v>406</v>
      </c>
      <c r="B3591" s="2">
        <v>1356558</v>
      </c>
      <c r="C3591" s="2">
        <v>39627</v>
      </c>
      <c r="D3591" s="2">
        <v>42370</v>
      </c>
      <c r="E3591" s="2">
        <v>41314</v>
      </c>
      <c r="F3591" s="2">
        <v>44181</v>
      </c>
      <c r="G3591" s="2">
        <v>40898</v>
      </c>
    </row>
    <row r="3592" spans="1:7" x14ac:dyDescent="0.2">
      <c r="A3592" t="s" s="0">
        <v>405</v>
      </c>
      <c r="B3592" s="2">
        <v>1335040</v>
      </c>
      <c r="C3592" s="2">
        <v>42285</v>
      </c>
      <c r="D3592" s="2">
        <v>38399</v>
      </c>
      <c r="E3592" s="2">
        <v>41530</v>
      </c>
      <c r="F3592" s="2">
        <v>42860</v>
      </c>
      <c r="G3592" s="2">
        <v>40210</v>
      </c>
    </row>
    <row r="3593" spans="1:7" x14ac:dyDescent="0.2">
      <c r="A3593" t="s" s="0">
        <v>404</v>
      </c>
      <c r="B3593" s="2">
        <v>1357370</v>
      </c>
      <c r="C3593" s="2">
        <v>46662</v>
      </c>
      <c r="D3593" s="2">
        <v>39271</v>
      </c>
      <c r="E3593" s="2">
        <v>41879</v>
      </c>
      <c r="F3593" s="2">
        <v>45879</v>
      </c>
      <c r="G3593" s="2">
        <v>41598</v>
      </c>
    </row>
    <row r="3594" spans="1:7" x14ac:dyDescent="0.2">
      <c r="A3594" t="s" s="0">
        <v>403</v>
      </c>
      <c r="B3594" s="3">
        <v>1357370</v>
      </c>
      <c r="C3594" s="3">
        <v>46662</v>
      </c>
      <c r="D3594" s="3">
        <v>39271</v>
      </c>
      <c r="E3594" s="3">
        <v>41879</v>
      </c>
      <c r="F3594" s="3">
        <v>45879</v>
      </c>
      <c r="G3594" s="3">
        <v>41598</v>
      </c>
    </row>
    <row r="3595" spans="1:7" x14ac:dyDescent="0.2">
      <c r="A3595" t="s" s="0">
        <v>402</v>
      </c>
      <c r="B3595" s="3">
        <v>1357370</v>
      </c>
      <c r="C3595" s="3">
        <v>46662</v>
      </c>
      <c r="D3595" s="3">
        <v>39271</v>
      </c>
      <c r="E3595" s="3">
        <v>41879</v>
      </c>
      <c r="F3595" s="3">
        <v>45879</v>
      </c>
      <c r="G3595" s="3">
        <v>41598</v>
      </c>
    </row>
    <row r="3596" spans="1:7" x14ac:dyDescent="0.2">
      <c r="A3596" t="s" s="0">
        <v>401</v>
      </c>
      <c r="B3596" s="2">
        <v>1305124</v>
      </c>
      <c r="C3596" s="2">
        <v>28514</v>
      </c>
      <c r="D3596" s="2">
        <v>39320</v>
      </c>
      <c r="E3596" s="2">
        <v>42450</v>
      </c>
      <c r="F3596" s="2">
        <v>35053</v>
      </c>
      <c r="G3596" s="2">
        <v>41634</v>
      </c>
    </row>
    <row r="3597" spans="1:7" x14ac:dyDescent="0.2">
      <c r="A3597" t="s" s="0">
        <v>400</v>
      </c>
      <c r="B3597" s="2">
        <v>1264679</v>
      </c>
      <c r="C3597" s="2">
        <v>41597</v>
      </c>
      <c r="D3597" s="2">
        <v>41768</v>
      </c>
      <c r="E3597" s="2">
        <v>43309</v>
      </c>
      <c r="F3597" s="2">
        <v>29647</v>
      </c>
      <c r="G3597" s="2">
        <v>39311</v>
      </c>
    </row>
    <row r="3598" spans="1:7" x14ac:dyDescent="0.2">
      <c r="A3598" t="s" s="0">
        <v>399</v>
      </c>
      <c r="B3598" s="2">
        <v>1265218</v>
      </c>
      <c r="C3598" s="2">
        <v>43610</v>
      </c>
      <c r="D3598" s="2">
        <v>43908</v>
      </c>
      <c r="E3598" s="2">
        <v>43631</v>
      </c>
      <c r="F3598" s="2">
        <v>30709</v>
      </c>
      <c r="G3598" s="2">
        <v>39244</v>
      </c>
    </row>
    <row r="3599" spans="1:7" x14ac:dyDescent="0.2">
      <c r="A3599" t="s" s="0">
        <v>398</v>
      </c>
      <c r="B3599" s="2">
        <v>1282988</v>
      </c>
      <c r="C3599" s="2">
        <v>42296</v>
      </c>
      <c r="D3599" s="2">
        <v>45334</v>
      </c>
      <c r="E3599" s="2">
        <v>43220</v>
      </c>
      <c r="F3599" s="2">
        <v>37746</v>
      </c>
      <c r="G3599" s="2">
        <v>41742</v>
      </c>
    </row>
    <row r="3600" spans="1:7" x14ac:dyDescent="0.2">
      <c r="A3600" t="s" s="0">
        <v>397</v>
      </c>
      <c r="B3600" s="2">
        <v>1282919</v>
      </c>
      <c r="C3600" s="2">
        <v>49092</v>
      </c>
      <c r="D3600" s="2">
        <v>45681</v>
      </c>
      <c r="E3600" s="2">
        <v>43544</v>
      </c>
      <c r="F3600" s="2">
        <v>34887</v>
      </c>
      <c r="G3600" s="2">
        <v>41973</v>
      </c>
    </row>
    <row r="3601" spans="1:7" x14ac:dyDescent="0.2">
      <c r="A3601" t="s" s="0">
        <v>396</v>
      </c>
      <c r="B3601" s="3">
        <v>1282919</v>
      </c>
      <c r="C3601" s="3">
        <v>49092</v>
      </c>
      <c r="D3601" s="3">
        <v>45681</v>
      </c>
      <c r="E3601" s="3">
        <v>43544</v>
      </c>
      <c r="F3601" s="3">
        <v>34887</v>
      </c>
      <c r="G3601" s="3">
        <v>41973</v>
      </c>
    </row>
    <row r="3602" spans="1:7" x14ac:dyDescent="0.2">
      <c r="A3602" t="s" s="0">
        <v>395</v>
      </c>
      <c r="B3602" s="3">
        <v>1282919</v>
      </c>
      <c r="C3602" s="3">
        <v>49092</v>
      </c>
      <c r="D3602" s="3">
        <v>45681</v>
      </c>
      <c r="E3602" s="3">
        <v>43544</v>
      </c>
      <c r="F3602" s="3">
        <v>34887</v>
      </c>
      <c r="G3602" s="3">
        <v>41973</v>
      </c>
    </row>
    <row r="3603" spans="1:7" x14ac:dyDescent="0.2">
      <c r="A3603" t="s" s="0">
        <v>394</v>
      </c>
      <c r="B3603" s="2">
        <v>1190071</v>
      </c>
      <c r="C3603" s="2">
        <v>29671</v>
      </c>
      <c r="D3603" s="2">
        <v>49036</v>
      </c>
      <c r="E3603" s="2">
        <v>44724</v>
      </c>
      <c r="F3603" s="2">
        <v>32441</v>
      </c>
      <c r="G3603" s="2">
        <v>38237</v>
      </c>
    </row>
    <row r="3604" spans="1:7" x14ac:dyDescent="0.2">
      <c r="A3604" t="s" s="0">
        <v>393</v>
      </c>
      <c r="B3604" s="2">
        <v>1198037</v>
      </c>
      <c r="C3604" s="2">
        <v>47178</v>
      </c>
      <c r="D3604" s="2">
        <v>47131</v>
      </c>
      <c r="E3604" s="2">
        <v>44175</v>
      </c>
      <c r="F3604" s="2">
        <v>37450</v>
      </c>
      <c r="G3604" s="2">
        <v>37594</v>
      </c>
    </row>
    <row r="3605" spans="1:7" x14ac:dyDescent="0.2">
      <c r="A3605" t="s" s="0">
        <v>392</v>
      </c>
      <c r="B3605" s="2">
        <v>1189830</v>
      </c>
      <c r="C3605" s="2">
        <v>41514</v>
      </c>
      <c r="D3605" s="2">
        <v>48526</v>
      </c>
      <c r="E3605" s="2">
        <v>44885</v>
      </c>
      <c r="F3605" s="2">
        <v>37548</v>
      </c>
      <c r="G3605" s="2">
        <v>39559</v>
      </c>
    </row>
    <row r="3606" spans="1:7" x14ac:dyDescent="0.2">
      <c r="A3606" t="s" s="0">
        <v>391</v>
      </c>
      <c r="B3606" s="2">
        <v>1213193</v>
      </c>
      <c r="C3606" s="2">
        <v>46676</v>
      </c>
      <c r="D3606" s="2">
        <v>47728</v>
      </c>
      <c r="E3606" s="2">
        <v>44903</v>
      </c>
      <c r="F3606" s="2">
        <v>37550</v>
      </c>
      <c r="G3606" s="2">
        <v>40703</v>
      </c>
    </row>
    <row r="3607" spans="1:7" x14ac:dyDescent="0.2">
      <c r="A3607" t="s" s="0">
        <v>390</v>
      </c>
      <c r="B3607" s="2">
        <v>1192902</v>
      </c>
      <c r="C3607" s="2">
        <v>50238</v>
      </c>
      <c r="D3607" s="2">
        <v>47892</v>
      </c>
      <c r="E3607" s="2">
        <v>44376</v>
      </c>
      <c r="F3607" s="2">
        <v>34830</v>
      </c>
      <c r="G3607" s="2">
        <v>40368</v>
      </c>
    </row>
    <row r="3608" spans="1:7" x14ac:dyDescent="0.2">
      <c r="A3608" t="s" s="0">
        <v>389</v>
      </c>
      <c r="B3608" s="3">
        <v>1192902</v>
      </c>
      <c r="C3608" s="3">
        <v>50238</v>
      </c>
      <c r="D3608" s="3">
        <v>47892</v>
      </c>
      <c r="E3608" s="3">
        <v>44376</v>
      </c>
      <c r="F3608" s="3">
        <v>34830</v>
      </c>
      <c r="G3608" s="3">
        <v>40368</v>
      </c>
    </row>
    <row r="3609" spans="1:7" x14ac:dyDescent="0.2">
      <c r="A3609" t="s" s="0">
        <v>388</v>
      </c>
      <c r="B3609" s="3">
        <v>1192902</v>
      </c>
      <c r="C3609" s="3">
        <v>50238</v>
      </c>
      <c r="D3609" s="3">
        <v>47892</v>
      </c>
      <c r="E3609" s="3">
        <v>44376</v>
      </c>
      <c r="F3609" s="3">
        <v>34830</v>
      </c>
      <c r="G3609" s="3">
        <v>40368</v>
      </c>
    </row>
    <row r="3610" spans="1:7" x14ac:dyDescent="0.2">
      <c r="A3610" t="s" s="0">
        <v>387</v>
      </c>
      <c r="B3610" s="2">
        <v>1240696</v>
      </c>
      <c r="C3610" s="2">
        <v>30887</v>
      </c>
      <c r="D3610" s="2">
        <v>46944</v>
      </c>
      <c r="E3610" s="2">
        <v>44696</v>
      </c>
      <c r="F3610" s="2">
        <v>53974</v>
      </c>
      <c r="G3610" s="2">
        <v>40486</v>
      </c>
    </row>
    <row r="3611" spans="1:7" x14ac:dyDescent="0.2">
      <c r="A3611" t="s" s="0">
        <v>386</v>
      </c>
      <c r="B3611" s="2">
        <v>1214584</v>
      </c>
      <c r="C3611" s="2">
        <v>44348</v>
      </c>
      <c r="D3611" s="2">
        <v>47291</v>
      </c>
      <c r="E3611" s="2">
        <v>44914</v>
      </c>
      <c r="F3611" s="2">
        <v>49453</v>
      </c>
      <c r="G3611" s="2">
        <v>41364</v>
      </c>
    </row>
    <row r="3612" spans="1:7" x14ac:dyDescent="0.2">
      <c r="A3612" t="s" s="0">
        <v>385</v>
      </c>
      <c r="B3612" s="2">
        <v>1145042</v>
      </c>
      <c r="C3612" s="2">
        <v>51243</v>
      </c>
      <c r="D3612" s="2">
        <v>48148</v>
      </c>
      <c r="E3612" s="2">
        <v>45738</v>
      </c>
      <c r="F3612" s="2">
        <v>41592</v>
      </c>
      <c r="G3612" s="2">
        <v>38507</v>
      </c>
    </row>
    <row r="3613" spans="1:7" x14ac:dyDescent="0.2">
      <c r="A3613" t="s" s="0">
        <v>384</v>
      </c>
      <c r="B3613" s="2">
        <v>1163074</v>
      </c>
      <c r="C3613" s="2">
        <v>51549</v>
      </c>
      <c r="D3613" s="2">
        <v>49664</v>
      </c>
      <c r="E3613" s="2">
        <v>45281</v>
      </c>
      <c r="F3613" s="2">
        <v>42345</v>
      </c>
      <c r="G3613" s="2">
        <v>40125</v>
      </c>
    </row>
    <row r="3614" spans="1:7" x14ac:dyDescent="0.2">
      <c r="A3614" t="s" s="0">
        <v>383</v>
      </c>
      <c r="B3614" s="2">
        <v>1217975</v>
      </c>
      <c r="C3614" s="2">
        <v>57134</v>
      </c>
      <c r="D3614" s="2">
        <v>52500</v>
      </c>
      <c r="E3614" s="2">
        <v>46336</v>
      </c>
      <c r="F3614" s="2">
        <v>55923</v>
      </c>
      <c r="G3614" s="2">
        <v>42880</v>
      </c>
    </row>
    <row r="3615" spans="1:7" x14ac:dyDescent="0.2">
      <c r="A3615" t="s" s="0">
        <v>382</v>
      </c>
      <c r="B3615" s="3">
        <v>1217975</v>
      </c>
      <c r="C3615" s="3">
        <v>57134</v>
      </c>
      <c r="D3615" s="3">
        <v>52500</v>
      </c>
      <c r="E3615" s="3">
        <v>46336</v>
      </c>
      <c r="F3615" s="3">
        <v>55923</v>
      </c>
      <c r="G3615" s="3">
        <v>42880</v>
      </c>
    </row>
    <row r="3616" spans="1:7" x14ac:dyDescent="0.2">
      <c r="A3616" t="s" s="0">
        <v>381</v>
      </c>
      <c r="B3616" s="3">
        <v>1217975</v>
      </c>
      <c r="C3616" s="3">
        <v>57134</v>
      </c>
      <c r="D3616" s="3">
        <v>52500</v>
      </c>
      <c r="E3616" s="3">
        <v>46336</v>
      </c>
      <c r="F3616" s="3">
        <v>55923</v>
      </c>
      <c r="G3616" s="3">
        <v>42880</v>
      </c>
    </row>
    <row r="3617" spans="1:7" x14ac:dyDescent="0.2">
      <c r="A3617" t="s" s="0">
        <v>380</v>
      </c>
      <c r="B3617" s="2">
        <v>1221801</v>
      </c>
      <c r="C3617" s="2">
        <v>33239</v>
      </c>
      <c r="D3617" s="2">
        <v>54359</v>
      </c>
      <c r="E3617" s="2">
        <v>47415</v>
      </c>
      <c r="F3617" s="2">
        <v>51500</v>
      </c>
      <c r="G3617" s="2">
        <v>43242</v>
      </c>
    </row>
    <row r="3618" spans="1:7" x14ac:dyDescent="0.2">
      <c r="A3618" t="s" s="0">
        <v>379</v>
      </c>
      <c r="B3618" s="2">
        <v>1157146</v>
      </c>
      <c r="C3618" s="2">
        <v>40281</v>
      </c>
      <c r="D3618" s="2">
        <v>54453</v>
      </c>
      <c r="E3618" s="2">
        <v>47661</v>
      </c>
      <c r="F3618" s="2">
        <v>46107</v>
      </c>
      <c r="G3618" s="2">
        <v>40664</v>
      </c>
    </row>
    <row r="3619" spans="1:7" x14ac:dyDescent="0.2">
      <c r="A3619" t="s" s="0">
        <v>378</v>
      </c>
      <c r="B3619" s="2">
        <v>1166905</v>
      </c>
      <c r="C3619" s="2">
        <v>54128</v>
      </c>
      <c r="D3619" s="2">
        <v>52132</v>
      </c>
      <c r="E3619" s="2">
        <v>48178</v>
      </c>
      <c r="F3619" s="2">
        <v>55112</v>
      </c>
      <c r="G3619" s="2">
        <v>41240</v>
      </c>
    </row>
    <row r="3620" spans="1:7" x14ac:dyDescent="0.2">
      <c r="A3620" t="s" s="0">
        <v>377</v>
      </c>
      <c r="B3620" s="2">
        <v>1187049</v>
      </c>
      <c r="C3620" s="2">
        <v>44768</v>
      </c>
      <c r="D3620" s="2">
        <v>50343</v>
      </c>
      <c r="E3620" s="2">
        <v>48267</v>
      </c>
      <c r="F3620" s="2">
        <v>53625</v>
      </c>
      <c r="G3620" s="2">
        <v>42817</v>
      </c>
    </row>
    <row r="3621" spans="1:7" x14ac:dyDescent="0.2">
      <c r="A3621" t="s" s="0">
        <v>376</v>
      </c>
      <c r="B3621" s="2">
        <v>1125861</v>
      </c>
      <c r="C3621" s="2">
        <v>50262</v>
      </c>
      <c r="D3621" s="2">
        <v>47510</v>
      </c>
      <c r="E3621" s="2">
        <v>48396</v>
      </c>
      <c r="F3621" s="2">
        <v>34208</v>
      </c>
      <c r="G3621" s="2">
        <v>39962</v>
      </c>
    </row>
    <row r="3622" spans="1:7" x14ac:dyDescent="0.2">
      <c r="A3622" t="s" s="0">
        <v>375</v>
      </c>
      <c r="B3622" s="3">
        <v>1125861</v>
      </c>
      <c r="C3622" s="3">
        <v>50262</v>
      </c>
      <c r="D3622" s="3">
        <v>47510</v>
      </c>
      <c r="E3622" s="3">
        <v>48396</v>
      </c>
      <c r="F3622" s="3">
        <v>34208</v>
      </c>
      <c r="G3622" s="3">
        <v>39962</v>
      </c>
    </row>
    <row r="3623" spans="1:7" x14ac:dyDescent="0.2">
      <c r="A3623" t="s" s="0">
        <v>374</v>
      </c>
      <c r="B3623" s="3">
        <v>1125861</v>
      </c>
      <c r="C3623" s="3">
        <v>50262</v>
      </c>
      <c r="D3623" s="3">
        <v>47510</v>
      </c>
      <c r="E3623" s="3">
        <v>48396</v>
      </c>
      <c r="F3623" s="3">
        <v>34208</v>
      </c>
      <c r="G3623" s="3">
        <v>39962</v>
      </c>
    </row>
    <row r="3624" spans="1:7" x14ac:dyDescent="0.2">
      <c r="A3624" t="s" s="0">
        <v>373</v>
      </c>
      <c r="B3624" s="2">
        <v>1129107</v>
      </c>
      <c r="C3624" s="2">
        <v>29687</v>
      </c>
      <c r="D3624" s="2">
        <v>44027</v>
      </c>
      <c r="E3624" s="2">
        <v>48592</v>
      </c>
      <c r="F3624" s="2">
        <v>30374</v>
      </c>
      <c r="G3624" s="2">
        <v>42073</v>
      </c>
    </row>
    <row r="3625" spans="1:7" x14ac:dyDescent="0.2">
      <c r="A3625" t="s" s="0">
        <v>372</v>
      </c>
      <c r="B3625" s="2">
        <v>1142386</v>
      </c>
      <c r="C3625" s="2">
        <v>37970</v>
      </c>
      <c r="D3625" s="2">
        <v>43665</v>
      </c>
      <c r="E3625" s="2">
        <v>48135</v>
      </c>
      <c r="F3625" s="2">
        <v>41128</v>
      </c>
      <c r="G3625" s="2">
        <v>43534</v>
      </c>
    </row>
    <row r="3626" spans="1:7" x14ac:dyDescent="0.2">
      <c r="A3626" t="s" s="0">
        <v>371</v>
      </c>
      <c r="B3626" s="2">
        <v>1143791</v>
      </c>
      <c r="C3626" s="2">
        <v>48413</v>
      </c>
      <c r="D3626" s="2">
        <v>44315</v>
      </c>
      <c r="E3626" s="2">
        <v>48280</v>
      </c>
      <c r="F3626" s="2">
        <v>40263</v>
      </c>
      <c r="G3626" s="2">
        <v>43629</v>
      </c>
    </row>
    <row r="3627" spans="1:7" x14ac:dyDescent="0.2">
      <c r="A3627" t="s" s="0">
        <v>370</v>
      </c>
      <c r="B3627" s="2">
        <v>1079193</v>
      </c>
      <c r="C3627" s="2">
        <v>47997</v>
      </c>
      <c r="D3627" s="2">
        <v>47191</v>
      </c>
      <c r="E3627" s="2">
        <v>48731</v>
      </c>
      <c r="F3627" s="2">
        <v>31034</v>
      </c>
      <c r="G3627" s="2">
        <v>41139</v>
      </c>
    </row>
    <row r="3628" spans="1:7" x14ac:dyDescent="0.2">
      <c r="A3628" t="s" s="0">
        <v>369</v>
      </c>
      <c r="B3628" s="2">
        <v>1092668</v>
      </c>
      <c r="C3628" s="2">
        <v>47475</v>
      </c>
      <c r="D3628" s="2">
        <v>46816</v>
      </c>
      <c r="E3628" s="2">
        <v>48679</v>
      </c>
      <c r="F3628" s="2">
        <v>41326</v>
      </c>
      <c r="G3628" s="2">
        <v>41572</v>
      </c>
    </row>
    <row r="3629" spans="1:7" x14ac:dyDescent="0.2">
      <c r="A3629" t="s" s="0">
        <v>368</v>
      </c>
      <c r="B3629" s="3">
        <v>1092668</v>
      </c>
      <c r="C3629" s="3">
        <v>47475</v>
      </c>
      <c r="D3629" s="3">
        <v>46816</v>
      </c>
      <c r="E3629" s="3">
        <v>48679</v>
      </c>
      <c r="F3629" s="3">
        <v>41326</v>
      </c>
      <c r="G3629" s="3">
        <v>41572</v>
      </c>
    </row>
    <row r="3630" spans="1:7" x14ac:dyDescent="0.2">
      <c r="A3630" t="s" s="0">
        <v>367</v>
      </c>
      <c r="B3630" s="3">
        <v>1092668</v>
      </c>
      <c r="C3630" s="3">
        <v>47475</v>
      </c>
      <c r="D3630" s="3">
        <v>46816</v>
      </c>
      <c r="E3630" s="3">
        <v>48679</v>
      </c>
      <c r="F3630" s="3">
        <v>41326</v>
      </c>
      <c r="G3630" s="3">
        <v>41572</v>
      </c>
    </row>
    <row r="3631" spans="1:7" x14ac:dyDescent="0.2">
      <c r="A3631" t="s" s="0">
        <v>366</v>
      </c>
      <c r="B3631" s="2">
        <v>1134357</v>
      </c>
      <c r="C3631" s="2">
        <v>31010</v>
      </c>
      <c r="D3631" s="2">
        <v>49334</v>
      </c>
      <c r="E3631" s="2">
        <v>48666</v>
      </c>
      <c r="F3631" s="2">
        <v>49604</v>
      </c>
      <c r="G3631" s="2">
        <v>46363</v>
      </c>
    </row>
    <row r="3632" spans="1:7" x14ac:dyDescent="0.2">
      <c r="A3632" t="s" s="0">
        <v>365</v>
      </c>
      <c r="B3632" s="2">
        <v>1139375</v>
      </c>
      <c r="C3632" s="2">
        <v>46887</v>
      </c>
      <c r="D3632" s="2">
        <v>49923</v>
      </c>
      <c r="E3632" s="2">
        <v>48833</v>
      </c>
      <c r="F3632" s="2">
        <v>49013</v>
      </c>
      <c r="G3632" s="2">
        <v>46425</v>
      </c>
    </row>
    <row r="3633" spans="1:7" x14ac:dyDescent="0.2">
      <c r="A3633" t="s" s="0">
        <v>364</v>
      </c>
      <c r="B3633" s="2">
        <v>1145124</v>
      </c>
      <c r="C3633" s="2">
        <v>50231</v>
      </c>
      <c r="D3633" s="2">
        <v>50146</v>
      </c>
      <c r="E3633" s="2">
        <v>48685</v>
      </c>
      <c r="F3633" s="2">
        <v>50144</v>
      </c>
      <c r="G3633" s="2">
        <v>46778</v>
      </c>
    </row>
    <row r="3634" spans="1:7" x14ac:dyDescent="0.2">
      <c r="A3634" t="s" s="0">
        <v>363</v>
      </c>
      <c r="B3634" s="2">
        <v>1156542</v>
      </c>
      <c r="C3634" s="2">
        <v>49239</v>
      </c>
      <c r="D3634" s="2">
        <v>50099</v>
      </c>
      <c r="E3634" s="2">
        <v>49324</v>
      </c>
      <c r="F3634" s="2">
        <v>60955</v>
      </c>
      <c r="G3634" s="2">
        <v>46990</v>
      </c>
    </row>
    <row r="3635" spans="1:7" x14ac:dyDescent="0.2">
      <c r="A3635" t="s" s="0">
        <v>362</v>
      </c>
      <c r="B3635" s="2">
        <v>1118215</v>
      </c>
      <c r="C3635" s="2">
        <v>52500</v>
      </c>
      <c r="D3635" s="2">
        <v>51632</v>
      </c>
      <c r="E3635" s="2">
        <v>49615</v>
      </c>
      <c r="F3635" s="2">
        <v>55087</v>
      </c>
      <c r="G3635" s="2">
        <v>46636</v>
      </c>
    </row>
    <row r="3636" spans="1:7" x14ac:dyDescent="0.2">
      <c r="A3636" t="s" s="0">
        <v>361</v>
      </c>
      <c r="B3636" s="3">
        <v>1118215</v>
      </c>
      <c r="C3636" s="3">
        <v>52500</v>
      </c>
      <c r="D3636" s="3">
        <v>51632</v>
      </c>
      <c r="E3636" s="3">
        <v>49615</v>
      </c>
      <c r="F3636" s="3">
        <v>55087</v>
      </c>
      <c r="G3636" s="3">
        <v>46636</v>
      </c>
    </row>
    <row r="3637" spans="1:7" x14ac:dyDescent="0.2">
      <c r="A3637" t="s" s="0">
        <v>360</v>
      </c>
      <c r="B3637" s="3">
        <v>1118215</v>
      </c>
      <c r="C3637" s="3">
        <v>52500</v>
      </c>
      <c r="D3637" s="3">
        <v>51632</v>
      </c>
      <c r="E3637" s="3">
        <v>49615</v>
      </c>
      <c r="F3637" s="3">
        <v>55087</v>
      </c>
      <c r="G3637" s="3">
        <v>46636</v>
      </c>
    </row>
    <row r="3638" spans="1:7" x14ac:dyDescent="0.2">
      <c r="A3638" t="s" s="0">
        <v>359</v>
      </c>
      <c r="B3638" s="2">
        <v>1134892</v>
      </c>
      <c r="C3638" s="2">
        <v>30771</v>
      </c>
      <c r="D3638" s="2">
        <v>50319</v>
      </c>
      <c r="E3638" s="2">
        <v>49510</v>
      </c>
      <c r="F3638" s="2">
        <v>50200</v>
      </c>
      <c r="G3638" s="2">
        <v>45420</v>
      </c>
    </row>
    <row r="3639" spans="1:7" x14ac:dyDescent="0.2">
      <c r="A3639" t="s" s="0">
        <v>358</v>
      </c>
      <c r="B3639" s="2">
        <v>1141798</v>
      </c>
      <c r="C3639" s="2">
        <v>47548</v>
      </c>
      <c r="D3639" s="2">
        <v>49703</v>
      </c>
      <c r="E3639" s="2">
        <v>49436</v>
      </c>
      <c r="F3639" s="2">
        <v>49853</v>
      </c>
      <c r="G3639" s="2">
        <v>46525</v>
      </c>
    </row>
    <row r="3640" spans="1:7" x14ac:dyDescent="0.2">
      <c r="A3640" t="s" s="0">
        <v>357</v>
      </c>
      <c r="B3640" s="2">
        <v>1192959</v>
      </c>
      <c r="C3640" s="2">
        <v>49379</v>
      </c>
      <c r="D3640" s="2">
        <v>51545</v>
      </c>
      <c r="E3640" s="2">
        <v>49535</v>
      </c>
      <c r="F3640" s="2">
        <v>58244</v>
      </c>
      <c r="G3640" s="2">
        <v>50941</v>
      </c>
    </row>
    <row r="3641" spans="1:7" x14ac:dyDescent="0.2">
      <c r="A3641" t="s" s="0">
        <v>356</v>
      </c>
      <c r="B3641" s="2">
        <v>1232155</v>
      </c>
      <c r="C3641" s="2">
        <v>49130</v>
      </c>
      <c r="D3641" s="2">
        <v>49485</v>
      </c>
      <c r="E3641" s="2">
        <v>49280</v>
      </c>
      <c r="F3641" s="2">
        <v>60153</v>
      </c>
      <c r="G3641" s="2">
        <v>51442</v>
      </c>
    </row>
    <row r="3642" spans="1:7" x14ac:dyDescent="0.2">
      <c r="A3642" t="s" s="0">
        <v>355</v>
      </c>
      <c r="B3642" s="2">
        <v>1159083</v>
      </c>
      <c r="C3642" s="2">
        <v>52148</v>
      </c>
      <c r="D3642" s="2">
        <v>51587</v>
      </c>
      <c r="E3642" s="2">
        <v>49386</v>
      </c>
      <c r="F3642" s="2">
        <v>57292</v>
      </c>
      <c r="G3642" s="2">
        <v>46978</v>
      </c>
    </row>
    <row r="3643" spans="1:7" x14ac:dyDescent="0.2">
      <c r="A3643" t="s" s="0">
        <v>354</v>
      </c>
      <c r="B3643" s="3">
        <v>1159083</v>
      </c>
      <c r="C3643" s="3">
        <v>52148</v>
      </c>
      <c r="D3643" s="3">
        <v>51587</v>
      </c>
      <c r="E3643" s="3">
        <v>49386</v>
      </c>
      <c r="F3643" s="3">
        <v>57292</v>
      </c>
      <c r="G3643" s="3">
        <v>46978</v>
      </c>
    </row>
    <row r="3644" spans="1:7" x14ac:dyDescent="0.2">
      <c r="A3644" t="s" s="0">
        <v>353</v>
      </c>
      <c r="B3644" s="3">
        <v>1159083</v>
      </c>
      <c r="C3644" s="3">
        <v>52148</v>
      </c>
      <c r="D3644" s="3">
        <v>51587</v>
      </c>
      <c r="E3644" s="3">
        <v>49386</v>
      </c>
      <c r="F3644" s="3">
        <v>57292</v>
      </c>
      <c r="G3644" s="3">
        <v>46978</v>
      </c>
    </row>
    <row r="3645" spans="1:7" x14ac:dyDescent="0.2">
      <c r="A3645" t="s" s="0">
        <v>352</v>
      </c>
      <c r="B3645" s="2">
        <v>1122620</v>
      </c>
      <c r="C3645" s="2">
        <v>34189</v>
      </c>
      <c r="D3645" s="2">
        <v>55177</v>
      </c>
      <c r="E3645" s="2">
        <v>49714</v>
      </c>
      <c r="F3645" s="2">
        <v>53289</v>
      </c>
      <c r="G3645" s="2">
        <v>45867</v>
      </c>
    </row>
    <row r="3646" spans="1:7" x14ac:dyDescent="0.2">
      <c r="A3646" t="s" s="0">
        <v>351</v>
      </c>
      <c r="B3646" s="2">
        <v>1085129</v>
      </c>
      <c r="C3646" s="2">
        <v>47624</v>
      </c>
      <c r="D3646" s="2">
        <v>55902</v>
      </c>
      <c r="E3646" s="2">
        <v>49798</v>
      </c>
      <c r="F3646" s="2">
        <v>47671</v>
      </c>
      <c r="G3646" s="2">
        <v>46916</v>
      </c>
    </row>
    <row r="3647" spans="1:7" x14ac:dyDescent="0.2">
      <c r="A3647" t="s" s="0">
        <v>350</v>
      </c>
      <c r="B3647" s="2">
        <v>1140462</v>
      </c>
      <c r="C3647" s="2">
        <v>55009</v>
      </c>
      <c r="D3647" s="2">
        <v>54026</v>
      </c>
      <c r="E3647" s="2">
        <v>50008</v>
      </c>
      <c r="F3647" s="2">
        <v>46346</v>
      </c>
      <c r="G3647" s="2">
        <v>48749</v>
      </c>
    </row>
    <row r="3648" spans="1:7" x14ac:dyDescent="0.2">
      <c r="A3648" t="s" s="0">
        <v>349</v>
      </c>
      <c r="B3648" s="2">
        <v>1088258</v>
      </c>
      <c r="C3648" s="2">
        <v>52435</v>
      </c>
      <c r="D3648" s="2">
        <v>54352</v>
      </c>
      <c r="E3648" s="2">
        <v>50282</v>
      </c>
      <c r="F3648" s="2">
        <v>33615</v>
      </c>
      <c r="G3648" s="2">
        <v>46439</v>
      </c>
    </row>
    <row r="3649" spans="1:7" x14ac:dyDescent="0.2">
      <c r="A3649" t="s" s="0">
        <v>348</v>
      </c>
      <c r="B3649" s="2">
        <v>1183280</v>
      </c>
      <c r="C3649" s="2">
        <v>53915</v>
      </c>
      <c r="D3649" s="2">
        <v>51614</v>
      </c>
      <c r="E3649" s="2">
        <v>50412</v>
      </c>
      <c r="F3649" s="2">
        <v>54890</v>
      </c>
      <c r="G3649" s="2">
        <v>52149</v>
      </c>
    </row>
    <row r="3650" spans="1:7" x14ac:dyDescent="0.2">
      <c r="A3650" t="s" s="0">
        <v>347</v>
      </c>
      <c r="B3650" s="3">
        <v>1183280</v>
      </c>
      <c r="C3650" s="3">
        <v>53915</v>
      </c>
      <c r="D3650" s="3">
        <v>51614</v>
      </c>
      <c r="E3650" s="3">
        <v>50412</v>
      </c>
      <c r="F3650" s="3">
        <v>54890</v>
      </c>
      <c r="G3650" s="3">
        <v>52149</v>
      </c>
    </row>
    <row r="3651" spans="1:7" x14ac:dyDescent="0.2">
      <c r="A3651" t="s" s="0">
        <v>346</v>
      </c>
      <c r="B3651" s="3">
        <v>1183280</v>
      </c>
      <c r="C3651" s="3">
        <v>53915</v>
      </c>
      <c r="D3651" s="3">
        <v>51614</v>
      </c>
      <c r="E3651" s="3">
        <v>50412</v>
      </c>
      <c r="F3651" s="3">
        <v>54890</v>
      </c>
      <c r="G3651" s="3">
        <v>52149</v>
      </c>
    </row>
    <row r="3652" spans="1:7" x14ac:dyDescent="0.2">
      <c r="A3652" t="s" s="0">
        <v>345</v>
      </c>
      <c r="B3652" s="2">
        <v>1096731</v>
      </c>
      <c r="C3652" s="2">
        <v>33894</v>
      </c>
      <c r="D3652" s="2">
        <v>48666</v>
      </c>
      <c r="E3652" s="2">
        <v>50874</v>
      </c>
      <c r="F3652" s="2">
        <v>44676</v>
      </c>
      <c r="G3652" s="2">
        <v>49442</v>
      </c>
    </row>
    <row r="3653" spans="1:7" x14ac:dyDescent="0.2">
      <c r="A3653" t="s" s="0">
        <v>344</v>
      </c>
      <c r="B3653" s="2">
        <v>1143270</v>
      </c>
      <c r="C3653" s="2">
        <v>50995</v>
      </c>
      <c r="D3653" s="2">
        <v>48840</v>
      </c>
      <c r="E3653" s="2">
        <v>51092</v>
      </c>
      <c r="F3653" s="2">
        <v>56795</v>
      </c>
      <c r="G3653" s="2">
        <v>50833</v>
      </c>
    </row>
    <row r="3654" spans="1:7" x14ac:dyDescent="0.2">
      <c r="A3654" t="s" s="0">
        <v>343</v>
      </c>
      <c r="B3654" s="2">
        <v>1125231</v>
      </c>
      <c r="C3654" s="2">
        <v>57154</v>
      </c>
      <c r="D3654" s="2">
        <v>49187</v>
      </c>
      <c r="E3654" s="2">
        <v>51226</v>
      </c>
      <c r="F3654" s="2">
        <v>46793</v>
      </c>
      <c r="G3654" s="2">
        <v>50382</v>
      </c>
    </row>
    <row r="3655" spans="1:7" x14ac:dyDescent="0.2">
      <c r="A3655" t="s" s="0">
        <v>342</v>
      </c>
      <c r="B3655" s="2">
        <v>1059888</v>
      </c>
      <c r="C3655" s="2">
        <v>56614</v>
      </c>
      <c r="D3655" s="2">
        <v>52443</v>
      </c>
      <c r="E3655" s="2">
        <v>51595</v>
      </c>
      <c r="F3655" s="2">
        <v>48171</v>
      </c>
      <c r="G3655" s="2">
        <v>50723</v>
      </c>
    </row>
    <row r="3656" spans="1:7" x14ac:dyDescent="0.2">
      <c r="A3656" t="s" s="0">
        <v>341</v>
      </c>
      <c r="B3656" s="2">
        <v>1055749</v>
      </c>
      <c r="C3656" s="2">
        <v>43671</v>
      </c>
      <c r="D3656" s="2">
        <v>51759</v>
      </c>
      <c r="E3656" s="2">
        <v>51648</v>
      </c>
      <c r="F3656" s="2">
        <v>33329</v>
      </c>
      <c r="G3656" s="2">
        <v>50149</v>
      </c>
    </row>
    <row r="3657" spans="1:7" x14ac:dyDescent="0.2">
      <c r="A3657" t="s" s="0">
        <v>340</v>
      </c>
      <c r="B3657" s="3">
        <v>1055749</v>
      </c>
      <c r="C3657" s="3">
        <v>43671</v>
      </c>
      <c r="D3657" s="3">
        <v>51759</v>
      </c>
      <c r="E3657" s="3">
        <v>51648</v>
      </c>
      <c r="F3657" s="3">
        <v>33329</v>
      </c>
      <c r="G3657" s="3">
        <v>50149</v>
      </c>
    </row>
    <row r="3658" spans="1:7" x14ac:dyDescent="0.2">
      <c r="A3658" t="s" s="0">
        <v>339</v>
      </c>
      <c r="B3658" s="3">
        <v>1055749</v>
      </c>
      <c r="C3658" s="3">
        <v>43671</v>
      </c>
      <c r="D3658" s="3">
        <v>51759</v>
      </c>
      <c r="E3658" s="3">
        <v>51648</v>
      </c>
      <c r="F3658" s="3">
        <v>33329</v>
      </c>
      <c r="G3658" s="3">
        <v>50149</v>
      </c>
    </row>
    <row r="3659" spans="1:7" x14ac:dyDescent="0.2">
      <c r="A3659" t="s" s="0">
        <v>338</v>
      </c>
      <c r="B3659" s="2">
        <v>999721</v>
      </c>
      <c r="C3659" s="2">
        <v>34604</v>
      </c>
      <c r="D3659" s="2">
        <v>55240</v>
      </c>
      <c r="E3659" s="2">
        <v>52350</v>
      </c>
      <c r="F3659" s="2">
        <v>41272</v>
      </c>
      <c r="G3659" s="2">
        <v>47359</v>
      </c>
    </row>
    <row r="3660" spans="1:7" x14ac:dyDescent="0.2">
      <c r="A3660" t="s" s="0">
        <v>337</v>
      </c>
      <c r="B3660" s="2">
        <v>1034389</v>
      </c>
      <c r="C3660" s="2">
        <v>49968</v>
      </c>
      <c r="D3660" s="2">
        <v>56117</v>
      </c>
      <c r="E3660" s="2">
        <v>52640</v>
      </c>
      <c r="F3660" s="2">
        <v>40511</v>
      </c>
      <c r="G3660" s="2">
        <v>48708</v>
      </c>
    </row>
    <row r="3661" spans="1:7" x14ac:dyDescent="0.2">
      <c r="A3661" t="s" s="0">
        <v>336</v>
      </c>
      <c r="B3661" s="2">
        <v>1068000</v>
      </c>
      <c r="C3661" s="2">
        <v>57661</v>
      </c>
      <c r="D3661" s="2">
        <v>55435</v>
      </c>
      <c r="E3661" s="2">
        <v>52548</v>
      </c>
      <c r="F3661" s="2">
        <v>47074</v>
      </c>
      <c r="G3661" s="2">
        <v>49614</v>
      </c>
    </row>
    <row r="3662" spans="1:7" x14ac:dyDescent="0.2">
      <c r="A3662" t="s" s="0">
        <v>335</v>
      </c>
      <c r="B3662" s="2">
        <v>1012681</v>
      </c>
      <c r="C3662" s="2">
        <v>55324</v>
      </c>
      <c r="D3662" s="2">
        <v>52592</v>
      </c>
      <c r="E3662" s="2">
        <v>52218</v>
      </c>
      <c r="F3662" s="2">
        <v>45662</v>
      </c>
      <c r="G3662" s="2">
        <v>46900</v>
      </c>
    </row>
    <row r="3663" spans="1:7" x14ac:dyDescent="0.2">
      <c r="A3663" t="s" s="0">
        <v>334</v>
      </c>
      <c r="B3663" s="2">
        <v>1012597</v>
      </c>
      <c r="C3663" s="2">
        <v>49592</v>
      </c>
      <c r="D3663" s="2">
        <v>52657</v>
      </c>
      <c r="E3663" s="2">
        <v>51905</v>
      </c>
      <c r="F3663" s="2">
        <v>46299</v>
      </c>
      <c r="G3663" s="2">
        <v>47952</v>
      </c>
    </row>
    <row r="3664" spans="1:7" x14ac:dyDescent="0.2">
      <c r="A3664" t="s" s="0">
        <v>333</v>
      </c>
      <c r="B3664" s="3">
        <v>1012597</v>
      </c>
      <c r="C3664" s="3">
        <v>49592</v>
      </c>
      <c r="D3664" s="3">
        <v>52657</v>
      </c>
      <c r="E3664" s="3">
        <v>51905</v>
      </c>
      <c r="F3664" s="3">
        <v>46299</v>
      </c>
      <c r="G3664" s="3">
        <v>47952</v>
      </c>
    </row>
    <row r="3665" spans="1:7" x14ac:dyDescent="0.2">
      <c r="A3665" t="s" s="0">
        <v>332</v>
      </c>
      <c r="B3665" s="3">
        <v>1012597</v>
      </c>
      <c r="C3665" s="3">
        <v>49592</v>
      </c>
      <c r="D3665" s="3">
        <v>52657</v>
      </c>
      <c r="E3665" s="3">
        <v>51905</v>
      </c>
      <c r="F3665" s="3">
        <v>46299</v>
      </c>
      <c r="G3665" s="3">
        <v>47952</v>
      </c>
    </row>
    <row r="3666" spans="1:7" x14ac:dyDescent="0.2">
      <c r="A3666" t="s" s="0">
        <v>331</v>
      </c>
      <c r="B3666" s="2">
        <v>1254396</v>
      </c>
      <c r="C3666" s="2">
        <v>29653</v>
      </c>
      <c r="D3666" s="2">
        <v>48539</v>
      </c>
      <c r="E3666" s="2">
        <v>51906</v>
      </c>
      <c r="F3666" s="2">
        <v>84737</v>
      </c>
      <c r="G3666" s="2">
        <v>55994</v>
      </c>
    </row>
    <row r="3667" spans="1:7" x14ac:dyDescent="0.2">
      <c r="A3667" t="s" s="0">
        <v>330</v>
      </c>
      <c r="B3667" s="2">
        <v>1233962</v>
      </c>
      <c r="C3667" s="2">
        <v>46058</v>
      </c>
      <c r="D3667" s="2">
        <v>50049</v>
      </c>
      <c r="E3667" s="2">
        <v>52727</v>
      </c>
      <c r="F3667" s="2">
        <v>78377</v>
      </c>
      <c r="G3667" s="2">
        <v>55839</v>
      </c>
    </row>
    <row r="3668" spans="1:7" x14ac:dyDescent="0.2">
      <c r="A3668" t="s" s="0">
        <v>329</v>
      </c>
      <c r="B3668" s="2">
        <v>1201009</v>
      </c>
      <c r="C3668" s="2">
        <v>50365</v>
      </c>
      <c r="D3668" s="2">
        <v>51447</v>
      </c>
      <c r="E3668" s="2">
        <v>52524</v>
      </c>
      <c r="F3668" s="2">
        <v>70334</v>
      </c>
      <c r="G3668" s="2">
        <v>52637</v>
      </c>
    </row>
    <row r="3669" spans="1:7" x14ac:dyDescent="0.2">
      <c r="A3669" t="s" s="0">
        <v>328</v>
      </c>
      <c r="B3669" s="2">
        <v>1184629</v>
      </c>
      <c r="C3669" s="2">
        <v>51076</v>
      </c>
      <c r="D3669" s="2">
        <v>50840</v>
      </c>
      <c r="E3669" s="2">
        <v>52557</v>
      </c>
      <c r="F3669" s="2">
        <v>75291</v>
      </c>
      <c r="G3669" s="2">
        <v>50685</v>
      </c>
    </row>
    <row r="3670" spans="1:7" x14ac:dyDescent="0.2">
      <c r="A3670" t="s" s="0">
        <v>327</v>
      </c>
      <c r="B3670" s="2">
        <v>1211402</v>
      </c>
      <c r="C3670" s="2">
        <v>48668</v>
      </c>
      <c r="D3670" s="2">
        <v>52563</v>
      </c>
      <c r="E3670" s="2">
        <v>52149</v>
      </c>
      <c r="F3670" s="2">
        <v>80852</v>
      </c>
      <c r="G3670" s="2">
        <v>53843</v>
      </c>
    </row>
    <row r="3671" spans="1:7" x14ac:dyDescent="0.2">
      <c r="A3671" t="s" s="0">
        <v>326</v>
      </c>
      <c r="B3671" s="3">
        <v>1211402</v>
      </c>
      <c r="C3671" s="3">
        <v>48668</v>
      </c>
      <c r="D3671" s="3">
        <v>52563</v>
      </c>
      <c r="E3671" s="3">
        <v>52149</v>
      </c>
      <c r="F3671" s="3">
        <v>80852</v>
      </c>
      <c r="G3671" s="3">
        <v>53843</v>
      </c>
    </row>
    <row r="3672" spans="1:7" x14ac:dyDescent="0.2">
      <c r="A3672" t="s" s="0">
        <v>325</v>
      </c>
      <c r="B3672" s="3">
        <v>1211402</v>
      </c>
      <c r="C3672" s="3">
        <v>48668</v>
      </c>
      <c r="D3672" s="3">
        <v>52563</v>
      </c>
      <c r="E3672" s="3">
        <v>52149</v>
      </c>
      <c r="F3672" s="3">
        <v>80852</v>
      </c>
      <c r="G3672" s="3">
        <v>53843</v>
      </c>
    </row>
    <row r="3673" spans="1:7" x14ac:dyDescent="0.2">
      <c r="A3673" t="s" s="0">
        <v>324</v>
      </c>
      <c r="B3673" s="2">
        <v>1181557</v>
      </c>
      <c r="C3673" s="2">
        <v>31232</v>
      </c>
      <c r="D3673" s="2">
        <v>53649</v>
      </c>
      <c r="E3673" s="2">
        <v>51524</v>
      </c>
      <c r="F3673" s="2">
        <v>43130</v>
      </c>
      <c r="G3673" s="2">
        <v>53454</v>
      </c>
    </row>
    <row r="3674" spans="1:7" x14ac:dyDescent="0.2">
      <c r="A3674" t="s" s="0">
        <v>323</v>
      </c>
      <c r="B3674" s="2">
        <v>1130496</v>
      </c>
      <c r="C3674" s="2">
        <v>51515</v>
      </c>
      <c r="D3674" s="2">
        <v>50885</v>
      </c>
      <c r="E3674" s="2">
        <v>51472</v>
      </c>
      <c r="F3674" s="2">
        <v>35990</v>
      </c>
      <c r="G3674" s="2">
        <v>52918</v>
      </c>
    </row>
    <row r="3675" spans="1:7" x14ac:dyDescent="0.2">
      <c r="A3675" t="s" s="0">
        <v>322</v>
      </c>
      <c r="B3675" s="2">
        <v>1133512</v>
      </c>
      <c r="C3675" s="2">
        <v>52645</v>
      </c>
      <c r="D3675" s="2">
        <v>48770</v>
      </c>
      <c r="E3675" s="2">
        <v>51210</v>
      </c>
      <c r="F3675" s="2">
        <v>38992</v>
      </c>
      <c r="G3675" s="2">
        <v>50798</v>
      </c>
    </row>
    <row r="3676" spans="1:7" x14ac:dyDescent="0.2">
      <c r="A3676" t="s" s="0">
        <v>321</v>
      </c>
      <c r="B3676" s="2">
        <v>1222988</v>
      </c>
      <c r="C3676" s="2">
        <v>53930</v>
      </c>
      <c r="D3676" s="2">
        <v>51046</v>
      </c>
      <c r="E3676" s="2">
        <v>51730</v>
      </c>
      <c r="F3676" s="2">
        <v>56390</v>
      </c>
      <c r="G3676" s="2">
        <v>56379</v>
      </c>
    </row>
    <row r="3677" spans="1:7" x14ac:dyDescent="0.2">
      <c r="A3677" t="s" s="0">
        <v>320</v>
      </c>
      <c r="B3677" s="2">
        <v>1241145</v>
      </c>
      <c r="C3677" s="2">
        <v>50789</v>
      </c>
      <c r="D3677" s="2">
        <v>51045</v>
      </c>
      <c r="E3677" s="2">
        <v>52006</v>
      </c>
      <c r="F3677" s="2">
        <v>55158</v>
      </c>
      <c r="G3677" s="2">
        <v>53910</v>
      </c>
    </row>
    <row r="3678" spans="1:7" x14ac:dyDescent="0.2">
      <c r="A3678" t="s" s="0">
        <v>319</v>
      </c>
      <c r="B3678" s="3">
        <v>1241145</v>
      </c>
      <c r="C3678" s="3">
        <v>50789</v>
      </c>
      <c r="D3678" s="3">
        <v>51045</v>
      </c>
      <c r="E3678" s="3">
        <v>52006</v>
      </c>
      <c r="F3678" s="3">
        <v>55158</v>
      </c>
      <c r="G3678" s="3">
        <v>53910</v>
      </c>
    </row>
    <row r="3679" spans="1:7" x14ac:dyDescent="0.2">
      <c r="A3679" t="s" s="0">
        <v>318</v>
      </c>
      <c r="B3679" s="3">
        <v>1241145</v>
      </c>
      <c r="C3679" s="3">
        <v>50789</v>
      </c>
      <c r="D3679" s="3">
        <v>51045</v>
      </c>
      <c r="E3679" s="3">
        <v>52006</v>
      </c>
      <c r="F3679" s="3">
        <v>55158</v>
      </c>
      <c r="G3679" s="3">
        <v>53910</v>
      </c>
    </row>
    <row r="3680" spans="1:7" x14ac:dyDescent="0.2">
      <c r="A3680" t="s" s="0">
        <v>317</v>
      </c>
      <c r="B3680" s="2">
        <v>1210399</v>
      </c>
      <c r="C3680" s="2">
        <v>31997</v>
      </c>
      <c r="D3680" s="2">
        <v>51738</v>
      </c>
      <c r="E3680" s="2">
        <v>52291</v>
      </c>
      <c r="F3680" s="2">
        <v>55723</v>
      </c>
      <c r="G3680" s="2">
        <v>56215</v>
      </c>
    </row>
    <row r="3681" spans="1:7" x14ac:dyDescent="0.2">
      <c r="A3681" t="s" s="0">
        <v>316</v>
      </c>
      <c r="B3681" s="2">
        <v>1157395</v>
      </c>
      <c r="C3681" s="2">
        <v>48241</v>
      </c>
      <c r="D3681" s="2">
        <v>52030</v>
      </c>
      <c r="E3681" s="2">
        <v>52270</v>
      </c>
      <c r="F3681" s="2">
        <v>55737</v>
      </c>
      <c r="G3681" s="2">
        <v>52654</v>
      </c>
    </row>
    <row r="3682" spans="1:7" x14ac:dyDescent="0.2">
      <c r="A3682" t="s" s="0">
        <v>315</v>
      </c>
      <c r="B3682" s="2">
        <v>1106301</v>
      </c>
      <c r="C3682" s="2">
        <v>51193</v>
      </c>
      <c r="D3682" s="2">
        <v>52539</v>
      </c>
      <c r="E3682" s="2">
        <v>52048</v>
      </c>
      <c r="F3682" s="2">
        <v>48488</v>
      </c>
      <c r="G3682" s="2">
        <v>51222</v>
      </c>
    </row>
    <row r="3683" spans="1:7" x14ac:dyDescent="0.2">
      <c r="A3683" t="s" s="0">
        <v>314</v>
      </c>
      <c r="B3683" s="2">
        <v>1124527</v>
      </c>
      <c r="C3683" s="2">
        <v>51924</v>
      </c>
      <c r="D3683" s="2">
        <v>51384</v>
      </c>
      <c r="E3683" s="2">
        <v>51465</v>
      </c>
      <c r="F3683" s="2">
        <v>37081</v>
      </c>
      <c r="G3683" s="2">
        <v>53606</v>
      </c>
    </row>
    <row r="3684" spans="1:7" x14ac:dyDescent="0.2">
      <c r="A3684" t="s" s="0">
        <v>313</v>
      </c>
      <c r="B3684" s="2">
        <v>1075633</v>
      </c>
      <c r="C3684" s="2">
        <v>49935</v>
      </c>
      <c r="D3684" s="2">
        <v>49710</v>
      </c>
      <c r="E3684" s="2">
        <v>51494</v>
      </c>
      <c r="F3684" s="2">
        <v>25829</v>
      </c>
      <c r="G3684" s="2">
        <v>52035</v>
      </c>
    </row>
    <row r="3685" spans="1:7" x14ac:dyDescent="0.2">
      <c r="A3685" t="s" s="0">
        <v>312</v>
      </c>
      <c r="B3685" s="3">
        <v>1075633</v>
      </c>
      <c r="C3685" s="3">
        <v>49935</v>
      </c>
      <c r="D3685" s="3">
        <v>49710</v>
      </c>
      <c r="E3685" s="3">
        <v>51494</v>
      </c>
      <c r="F3685" s="3">
        <v>25829</v>
      </c>
      <c r="G3685" s="3">
        <v>52035</v>
      </c>
    </row>
    <row r="3686" spans="1:7" x14ac:dyDescent="0.2">
      <c r="A3686" t="s" s="0">
        <v>311</v>
      </c>
      <c r="B3686" s="3">
        <v>1075633</v>
      </c>
      <c r="C3686" s="3">
        <v>49935</v>
      </c>
      <c r="D3686" s="3">
        <v>49710</v>
      </c>
      <c r="E3686" s="3">
        <v>51494</v>
      </c>
      <c r="F3686" s="3">
        <v>25829</v>
      </c>
      <c r="G3686" s="3">
        <v>52035</v>
      </c>
    </row>
    <row r="3687" spans="1:7" x14ac:dyDescent="0.2">
      <c r="A3687" t="s" s="0">
        <v>310</v>
      </c>
      <c r="B3687" s="2">
        <v>1063648</v>
      </c>
      <c r="C3687" s="2">
        <v>32069</v>
      </c>
      <c r="D3687" s="2">
        <v>50018</v>
      </c>
      <c r="E3687" s="2">
        <v>50986</v>
      </c>
      <c r="F3687" s="2">
        <v>28817</v>
      </c>
      <c r="G3687" s="2">
        <v>53102</v>
      </c>
    </row>
    <row r="3688" spans="1:7" x14ac:dyDescent="0.2">
      <c r="A3688" t="s" s="0">
        <v>309</v>
      </c>
      <c r="B3688" s="2">
        <v>1011314</v>
      </c>
      <c r="C3688" s="2">
        <v>51150</v>
      </c>
      <c r="D3688" s="2">
        <v>49720</v>
      </c>
      <c r="E3688" s="2">
        <v>50671</v>
      </c>
      <c r="F3688" s="2">
        <v>28614</v>
      </c>
      <c r="G3688" s="2">
        <v>49680</v>
      </c>
    </row>
    <row r="3689" spans="1:7" x14ac:dyDescent="0.2">
      <c r="A3689" t="s" s="0">
        <v>308</v>
      </c>
      <c r="B3689" s="2">
        <v>1017871</v>
      </c>
      <c r="C3689" s="2">
        <v>53782</v>
      </c>
      <c r="D3689" s="2">
        <v>49374</v>
      </c>
      <c r="E3689" s="2">
        <v>50532</v>
      </c>
      <c r="F3689" s="2">
        <v>36577</v>
      </c>
      <c r="G3689" s="2">
        <v>48598</v>
      </c>
    </row>
    <row r="3690" spans="1:7" x14ac:dyDescent="0.2">
      <c r="A3690" t="s" s="0">
        <v>307</v>
      </c>
      <c r="B3690" s="2">
        <v>1013765</v>
      </c>
      <c r="C3690" s="2">
        <v>50295</v>
      </c>
      <c r="D3690" s="2">
        <v>51548</v>
      </c>
      <c r="E3690" s="2">
        <v>51204</v>
      </c>
      <c r="F3690" s="2">
        <v>35634</v>
      </c>
      <c r="G3690" s="2">
        <v>51099</v>
      </c>
    </row>
    <row r="3691" spans="1:7" x14ac:dyDescent="0.2">
      <c r="A3691" t="s" s="0">
        <v>306</v>
      </c>
      <c r="B3691" s="2">
        <v>1004733</v>
      </c>
      <c r="C3691" s="2">
        <v>46632</v>
      </c>
      <c r="D3691" s="2">
        <v>51076</v>
      </c>
      <c r="E3691" s="2">
        <v>51099</v>
      </c>
      <c r="F3691" s="2">
        <v>40857</v>
      </c>
      <c r="G3691" s="2">
        <v>50674</v>
      </c>
    </row>
    <row r="3692" spans="1:7" x14ac:dyDescent="0.2">
      <c r="A3692" t="s" s="0">
        <v>305</v>
      </c>
      <c r="B3692" s="3">
        <v>1004733</v>
      </c>
      <c r="C3692" s="3">
        <v>46632</v>
      </c>
      <c r="D3692" s="3">
        <v>51076</v>
      </c>
      <c r="E3692" s="3">
        <v>51099</v>
      </c>
      <c r="F3692" s="3">
        <v>40857</v>
      </c>
      <c r="G3692" s="3">
        <v>50674</v>
      </c>
    </row>
    <row r="3693" spans="1:7" x14ac:dyDescent="0.2">
      <c r="A3693" t="s" s="0">
        <v>304</v>
      </c>
      <c r="B3693" s="3">
        <v>1004733</v>
      </c>
      <c r="C3693" s="3">
        <v>46632</v>
      </c>
      <c r="D3693" s="3">
        <v>51076</v>
      </c>
      <c r="E3693" s="3">
        <v>51099</v>
      </c>
      <c r="F3693" s="3">
        <v>40857</v>
      </c>
      <c r="G3693" s="3">
        <v>50674</v>
      </c>
    </row>
    <row r="3694" spans="1:7" x14ac:dyDescent="0.2">
      <c r="A3694" t="s" s="0">
        <v>303</v>
      </c>
      <c r="B3694" s="2">
        <v>1036457</v>
      </c>
      <c r="C3694" s="2">
        <v>30291</v>
      </c>
      <c r="D3694" s="2">
        <v>48933</v>
      </c>
      <c r="E3694" s="2">
        <v>51085</v>
      </c>
      <c r="F3694" s="2">
        <v>44959</v>
      </c>
      <c r="G3694" s="2">
        <v>43157</v>
      </c>
    </row>
    <row r="3695" spans="1:7" x14ac:dyDescent="0.2">
      <c r="A3695" t="s" s="0">
        <v>302</v>
      </c>
      <c r="B3695" s="2">
        <v>1023010</v>
      </c>
      <c r="C3695" s="2">
        <v>48870</v>
      </c>
      <c r="D3695" s="2">
        <v>49322</v>
      </c>
      <c r="E3695" s="2">
        <v>50489</v>
      </c>
      <c r="F3695" s="2">
        <v>50875</v>
      </c>
      <c r="G3695" s="2">
        <v>42804</v>
      </c>
    </row>
    <row r="3696" spans="1:7" x14ac:dyDescent="0.2">
      <c r="A3696" t="s" s="0">
        <v>301</v>
      </c>
      <c r="B3696" s="2">
        <v>1067185</v>
      </c>
      <c r="C3696" s="2">
        <v>47116</v>
      </c>
      <c r="D3696" s="2">
        <v>49216</v>
      </c>
      <c r="E3696" s="2">
        <v>49975</v>
      </c>
      <c r="F3696" s="2">
        <v>56158</v>
      </c>
      <c r="G3696" s="2">
        <v>45054</v>
      </c>
    </row>
    <row r="3697" spans="1:7" x14ac:dyDescent="0.2">
      <c r="A3697" t="s" s="0">
        <v>300</v>
      </c>
      <c r="B3697" s="2">
        <v>1064124</v>
      </c>
      <c r="C3697" s="2">
        <v>51349</v>
      </c>
      <c r="D3697" s="2">
        <v>46209</v>
      </c>
      <c r="E3697" s="2">
        <v>50047</v>
      </c>
      <c r="F3697" s="2">
        <v>53301</v>
      </c>
      <c r="G3697" s="2">
        <v>45602</v>
      </c>
    </row>
    <row r="3698" spans="1:7" x14ac:dyDescent="0.2">
      <c r="A3698" t="s" s="0">
        <v>299</v>
      </c>
      <c r="B3698" s="2">
        <v>1053465</v>
      </c>
      <c r="C3698" s="2">
        <v>48720</v>
      </c>
      <c r="D3698" s="2">
        <v>46794</v>
      </c>
      <c r="E3698" s="2">
        <v>49656</v>
      </c>
      <c r="F3698" s="2">
        <v>53653</v>
      </c>
      <c r="G3698" s="2">
        <v>43874</v>
      </c>
    </row>
    <row r="3699" spans="1:7" x14ac:dyDescent="0.2">
      <c r="A3699" t="s" s="0">
        <v>298</v>
      </c>
      <c r="B3699" s="3">
        <v>1053465</v>
      </c>
      <c r="C3699" s="3">
        <v>48720</v>
      </c>
      <c r="D3699" s="3">
        <v>46794</v>
      </c>
      <c r="E3699" s="3">
        <v>49656</v>
      </c>
      <c r="F3699" s="3">
        <v>53653</v>
      </c>
      <c r="G3699" s="3">
        <v>43874</v>
      </c>
    </row>
    <row r="3700" spans="1:7" x14ac:dyDescent="0.2">
      <c r="A3700" t="s" s="0">
        <v>297</v>
      </c>
      <c r="B3700" s="3">
        <v>1053465</v>
      </c>
      <c r="C3700" s="3">
        <v>48720</v>
      </c>
      <c r="D3700" s="3">
        <v>46794</v>
      </c>
      <c r="E3700" s="3">
        <v>49656</v>
      </c>
      <c r="F3700" s="3">
        <v>53653</v>
      </c>
      <c r="G3700" s="3">
        <v>43874</v>
      </c>
    </row>
    <row r="3701" spans="1:7" x14ac:dyDescent="0.2">
      <c r="A3701" t="s" s="0">
        <v>296</v>
      </c>
      <c r="B3701" s="2">
        <v>1089108</v>
      </c>
      <c r="C3701" s="2">
        <v>32841</v>
      </c>
      <c r="D3701" s="2">
        <v>47186</v>
      </c>
      <c r="E3701" s="2">
        <v>49469</v>
      </c>
      <c r="F3701" s="2">
        <v>54606</v>
      </c>
      <c r="G3701" s="2">
        <v>46026</v>
      </c>
    </row>
    <row r="3702" spans="1:7" x14ac:dyDescent="0.2">
      <c r="A3702" t="s" s="0">
        <v>295</v>
      </c>
      <c r="B3702" s="2">
        <v>1051347</v>
      </c>
      <c r="C3702" s="2">
        <v>43732</v>
      </c>
      <c r="D3702" s="2">
        <v>47166</v>
      </c>
      <c r="E3702" s="2">
        <v>49560</v>
      </c>
      <c r="F3702" s="2">
        <v>51141</v>
      </c>
      <c r="G3702" s="2">
        <v>46592</v>
      </c>
    </row>
    <row r="3703" spans="1:7" x14ac:dyDescent="0.2">
      <c r="A3703" t="s" s="0">
        <v>294</v>
      </c>
      <c r="B3703" s="2">
        <v>1066583</v>
      </c>
      <c r="C3703" s="2">
        <v>50215</v>
      </c>
      <c r="D3703" s="2">
        <v>47476</v>
      </c>
      <c r="E3703" s="2">
        <v>49651</v>
      </c>
      <c r="F3703" s="2">
        <v>47272</v>
      </c>
      <c r="G3703" s="2">
        <v>47124</v>
      </c>
    </row>
    <row r="3704" spans="1:7" x14ac:dyDescent="0.2">
      <c r="A3704" t="s" s="0">
        <v>293</v>
      </c>
      <c r="B3704" s="2">
        <v>1083439</v>
      </c>
      <c r="C3704" s="2">
        <v>47675</v>
      </c>
      <c r="D3704" s="2">
        <v>46703</v>
      </c>
      <c r="E3704" s="2">
        <v>48961</v>
      </c>
      <c r="F3704" s="2">
        <v>49344</v>
      </c>
      <c r="G3704" s="2">
        <v>43840</v>
      </c>
    </row>
    <row r="3705" spans="1:7" x14ac:dyDescent="0.2">
      <c r="A3705" t="s" s="0">
        <v>292</v>
      </c>
      <c r="B3705" s="2">
        <v>1030927</v>
      </c>
      <c r="C3705" s="2">
        <v>52668</v>
      </c>
      <c r="D3705" s="2">
        <v>46980</v>
      </c>
      <c r="E3705" s="2">
        <v>48640</v>
      </c>
      <c r="F3705" s="2">
        <v>43643</v>
      </c>
      <c r="G3705" s="2">
        <v>40996</v>
      </c>
    </row>
    <row r="3706" spans="1:7" x14ac:dyDescent="0.2">
      <c r="A3706" t="s" s="0">
        <v>291</v>
      </c>
      <c r="B3706" s="3">
        <v>1030927</v>
      </c>
      <c r="C3706" s="3">
        <v>52668</v>
      </c>
      <c r="D3706" s="3">
        <v>46980</v>
      </c>
      <c r="E3706" s="3">
        <v>48640</v>
      </c>
      <c r="F3706" s="3">
        <v>43643</v>
      </c>
      <c r="G3706" s="3">
        <v>40996</v>
      </c>
    </row>
    <row r="3707" spans="1:7" x14ac:dyDescent="0.2">
      <c r="A3707" t="s" s="0">
        <v>290</v>
      </c>
      <c r="B3707" s="3">
        <v>1030927</v>
      </c>
      <c r="C3707" s="3">
        <v>52668</v>
      </c>
      <c r="D3707" s="3">
        <v>46980</v>
      </c>
      <c r="E3707" s="3">
        <v>48640</v>
      </c>
      <c r="F3707" s="3">
        <v>43643</v>
      </c>
      <c r="G3707" s="3">
        <v>40996</v>
      </c>
    </row>
    <row r="3708" spans="1:7" x14ac:dyDescent="0.2">
      <c r="A3708" t="s" s="0">
        <v>289</v>
      </c>
      <c r="B3708" s="2">
        <v>1067798</v>
      </c>
      <c r="C3708" s="2">
        <v>30986</v>
      </c>
      <c r="D3708" s="2">
        <v>47782</v>
      </c>
      <c r="E3708" s="2">
        <v>48480</v>
      </c>
      <c r="F3708" s="2">
        <v>44619</v>
      </c>
      <c r="G3708" s="2">
        <v>43250</v>
      </c>
    </row>
    <row r="3709" spans="1:7" x14ac:dyDescent="0.2">
      <c r="A3709" t="s" s="0">
        <v>288</v>
      </c>
      <c r="B3709" s="2">
        <v>1019764</v>
      </c>
      <c r="C3709" s="2">
        <v>47660</v>
      </c>
      <c r="D3709" s="2">
        <v>48388</v>
      </c>
      <c r="E3709" s="2">
        <v>48649</v>
      </c>
      <c r="F3709" s="2">
        <v>43759</v>
      </c>
      <c r="G3709" s="2">
        <v>43597</v>
      </c>
    </row>
    <row r="3710" spans="1:7" x14ac:dyDescent="0.2">
      <c r="A3710" t="s" s="0">
        <v>287</v>
      </c>
      <c r="B3710" s="2">
        <v>1046597</v>
      </c>
      <c r="C3710" s="2">
        <v>50427</v>
      </c>
      <c r="D3710" s="2">
        <v>48337</v>
      </c>
      <c r="E3710" s="2">
        <v>48601</v>
      </c>
      <c r="F3710" s="2">
        <v>45404</v>
      </c>
      <c r="G3710" s="2">
        <v>46353</v>
      </c>
    </row>
    <row r="3711" spans="1:7" x14ac:dyDescent="0.2">
      <c r="A3711" t="s" s="0">
        <v>286</v>
      </c>
      <c r="B3711" s="2">
        <v>1117234</v>
      </c>
      <c r="C3711" s="2">
        <v>43996</v>
      </c>
      <c r="D3711" s="2">
        <v>50673</v>
      </c>
      <c r="E3711" s="2">
        <v>48783</v>
      </c>
      <c r="F3711" s="2">
        <v>55423</v>
      </c>
      <c r="G3711" s="2">
        <v>48426</v>
      </c>
    </row>
    <row r="3712" spans="1:7" x14ac:dyDescent="0.2">
      <c r="A3712" t="s" s="0">
        <v>285</v>
      </c>
      <c r="B3712" s="2">
        <v>1105577</v>
      </c>
      <c r="C3712" s="2">
        <v>43818</v>
      </c>
      <c r="D3712" s="2">
        <v>50552</v>
      </c>
      <c r="E3712" s="2">
        <v>48851</v>
      </c>
      <c r="F3712" s="2">
        <v>61139</v>
      </c>
      <c r="G3712" s="2">
        <v>49823</v>
      </c>
    </row>
    <row r="3713" spans="1:7" x14ac:dyDescent="0.2">
      <c r="A3713" t="s" s="0">
        <v>284</v>
      </c>
      <c r="B3713" s="3">
        <v>1105577</v>
      </c>
      <c r="C3713" s="3">
        <v>43818</v>
      </c>
      <c r="D3713" s="3">
        <v>50552</v>
      </c>
      <c r="E3713" s="3">
        <v>48851</v>
      </c>
      <c r="F3713" s="3">
        <v>61139</v>
      </c>
      <c r="G3713" s="3">
        <v>49823</v>
      </c>
    </row>
    <row r="3714" spans="1:7" x14ac:dyDescent="0.2">
      <c r="A3714" t="s" s="0">
        <v>283</v>
      </c>
      <c r="B3714" s="3">
        <v>1105577</v>
      </c>
      <c r="C3714" s="3">
        <v>43818</v>
      </c>
      <c r="D3714" s="3">
        <v>50552</v>
      </c>
      <c r="E3714" s="3">
        <v>48851</v>
      </c>
      <c r="F3714" s="3">
        <v>61139</v>
      </c>
      <c r="G3714" s="3">
        <v>49823</v>
      </c>
    </row>
    <row r="3715" spans="1:7" x14ac:dyDescent="0.2">
      <c r="A3715" t="s" s="0">
        <v>282</v>
      </c>
      <c r="B3715" s="2">
        <v>1050164</v>
      </c>
      <c r="C3715" s="2">
        <v>29534</v>
      </c>
      <c r="D3715" s="2">
        <v>48395</v>
      </c>
      <c r="E3715" s="2">
        <v>48074</v>
      </c>
      <c r="F3715" s="2">
        <v>45773</v>
      </c>
      <c r="G3715" s="2">
        <v>47489</v>
      </c>
    </row>
    <row r="3716" spans="1:7" x14ac:dyDescent="0.2">
      <c r="A3716" t="s" s="0">
        <v>281</v>
      </c>
      <c r="B3716" s="2">
        <v>1060574</v>
      </c>
      <c r="C3716" s="2">
        <v>34585</v>
      </c>
      <c r="D3716" s="2">
        <v>45053</v>
      </c>
      <c r="E3716" s="2">
        <v>47482</v>
      </c>
      <c r="F3716" s="2">
        <v>50798</v>
      </c>
      <c r="G3716" s="2">
        <v>49143</v>
      </c>
    </row>
    <row r="3717" spans="1:7" x14ac:dyDescent="0.2">
      <c r="A3717" t="s" s="0">
        <v>280</v>
      </c>
      <c r="B3717" s="2">
        <v>1062706</v>
      </c>
      <c r="C3717" s="2">
        <v>44151</v>
      </c>
      <c r="D3717" s="2">
        <v>45025</v>
      </c>
      <c r="E3717" s="2">
        <v>47514</v>
      </c>
      <c r="F3717" s="2">
        <v>47147</v>
      </c>
      <c r="G3717" s="2">
        <v>48996</v>
      </c>
    </row>
    <row r="3718" spans="1:7" x14ac:dyDescent="0.2">
      <c r="A3718" t="s" s="0">
        <v>279</v>
      </c>
      <c r="B3718" s="2">
        <v>1081049</v>
      </c>
      <c r="C3718" s="2">
        <v>46714</v>
      </c>
      <c r="D3718" s="2">
        <v>43265</v>
      </c>
      <c r="E3718" s="2">
        <v>46713</v>
      </c>
      <c r="F3718" s="2">
        <v>37917</v>
      </c>
      <c r="G3718" s="2">
        <v>48996</v>
      </c>
    </row>
    <row r="3719" spans="1:7" x14ac:dyDescent="0.2">
      <c r="A3719" t="s" s="0">
        <v>278</v>
      </c>
      <c r="B3719" s="2">
        <v>1050093</v>
      </c>
      <c r="C3719" s="2">
        <v>45338</v>
      </c>
      <c r="D3719" s="2">
        <v>43741</v>
      </c>
      <c r="E3719" s="2">
        <v>47017</v>
      </c>
      <c r="F3719" s="2">
        <v>35635</v>
      </c>
      <c r="G3719" s="2">
        <v>48518</v>
      </c>
    </row>
    <row r="3720" spans="1:7" x14ac:dyDescent="0.2">
      <c r="A3720" t="s" s="0">
        <v>277</v>
      </c>
      <c r="B3720" s="3">
        <v>1050093</v>
      </c>
      <c r="C3720" s="3">
        <v>45338</v>
      </c>
      <c r="D3720" s="3">
        <v>43741</v>
      </c>
      <c r="E3720" s="3">
        <v>47017</v>
      </c>
      <c r="F3720" s="3">
        <v>35635</v>
      </c>
      <c r="G3720" s="3">
        <v>48518</v>
      </c>
    </row>
    <row r="3721" spans="1:7" x14ac:dyDescent="0.2">
      <c r="A3721" t="s" s="0">
        <v>276</v>
      </c>
      <c r="B3721" s="3">
        <v>1050093</v>
      </c>
      <c r="C3721" s="3">
        <v>45338</v>
      </c>
      <c r="D3721" s="3">
        <v>43741</v>
      </c>
      <c r="E3721" s="3">
        <v>47017</v>
      </c>
      <c r="F3721" s="3">
        <v>35635</v>
      </c>
      <c r="G3721" s="3">
        <v>48518</v>
      </c>
    </row>
    <row r="3722" spans="1:7" x14ac:dyDescent="0.2">
      <c r="A3722" t="s" s="0">
        <v>275</v>
      </c>
      <c r="B3722" s="2">
        <v>1184671</v>
      </c>
      <c r="C3722" s="2">
        <v>30427</v>
      </c>
      <c r="D3722" s="2">
        <v>42999</v>
      </c>
      <c r="E3722" s="2">
        <v>46591</v>
      </c>
      <c r="F3722" s="2">
        <v>62062</v>
      </c>
      <c r="G3722" s="2">
        <v>51765</v>
      </c>
    </row>
    <row r="3723" spans="1:7" x14ac:dyDescent="0.2">
      <c r="A3723" t="s" s="0">
        <v>274</v>
      </c>
      <c r="B3723" s="2">
        <v>1177422</v>
      </c>
      <c r="C3723" s="2">
        <v>44679</v>
      </c>
      <c r="D3723" s="2">
        <v>46052</v>
      </c>
      <c r="E3723" s="2">
        <v>46665</v>
      </c>
      <c r="F3723" s="2">
        <v>62573</v>
      </c>
      <c r="G3723" s="2">
        <v>52068</v>
      </c>
    </row>
    <row r="3724" spans="1:7" x14ac:dyDescent="0.2">
      <c r="A3724" t="s" s="0">
        <v>273</v>
      </c>
      <c r="B3724" s="2">
        <v>1132209</v>
      </c>
      <c r="C3724" s="2">
        <v>44711</v>
      </c>
      <c r="D3724" s="2">
        <v>44631</v>
      </c>
      <c r="E3724" s="2">
        <v>46367</v>
      </c>
      <c r="F3724" s="2">
        <v>54292</v>
      </c>
      <c r="G3724" s="2">
        <v>48529</v>
      </c>
    </row>
    <row r="3725" spans="1:7" x14ac:dyDescent="0.2">
      <c r="A3725" t="s" s="0">
        <v>272</v>
      </c>
      <c r="B3725" s="2">
        <v>1091847</v>
      </c>
      <c r="C3725" s="2">
        <v>40394</v>
      </c>
      <c r="D3725" s="2">
        <v>43015</v>
      </c>
      <c r="E3725" s="2">
        <v>45914</v>
      </c>
      <c r="F3725" s="2">
        <v>44289</v>
      </c>
      <c r="G3725" s="2">
        <v>46743</v>
      </c>
    </row>
    <row r="3726" spans="1:7" x14ac:dyDescent="0.2">
      <c r="A3726" t="s" s="0">
        <v>271</v>
      </c>
      <c r="B3726" s="2">
        <v>1053625</v>
      </c>
      <c r="C3726" s="2">
        <v>39840</v>
      </c>
      <c r="D3726" s="2">
        <v>43456</v>
      </c>
      <c r="E3726" s="2">
        <v>46182</v>
      </c>
      <c r="F3726" s="2">
        <v>43692</v>
      </c>
      <c r="G3726" s="2">
        <v>46027</v>
      </c>
    </row>
    <row r="3727" spans="1:7" x14ac:dyDescent="0.2">
      <c r="A3727" t="s" s="0">
        <v>270</v>
      </c>
      <c r="B3727" s="3">
        <v>1053625</v>
      </c>
      <c r="C3727" s="3">
        <v>39840</v>
      </c>
      <c r="D3727" s="3">
        <v>43456</v>
      </c>
      <c r="E3727" s="3">
        <v>46182</v>
      </c>
      <c r="F3727" s="3">
        <v>43692</v>
      </c>
      <c r="G3727" s="3">
        <v>46027</v>
      </c>
    </row>
    <row r="3728" spans="1:7" x14ac:dyDescent="0.2">
      <c r="A3728" t="s" s="0">
        <v>269</v>
      </c>
      <c r="B3728" s="3">
        <v>1053625</v>
      </c>
      <c r="C3728" s="3">
        <v>39840</v>
      </c>
      <c r="D3728" s="3">
        <v>43456</v>
      </c>
      <c r="E3728" s="3">
        <v>46182</v>
      </c>
      <c r="F3728" s="3">
        <v>43692</v>
      </c>
      <c r="G3728" s="3">
        <v>46027</v>
      </c>
    </row>
    <row r="3729" spans="1:7" x14ac:dyDescent="0.2">
      <c r="A3729" t="s" s="0">
        <v>268</v>
      </c>
      <c r="B3729" s="2">
        <v>1092442</v>
      </c>
      <c r="C3729" s="2">
        <v>29775</v>
      </c>
      <c r="D3729" s="2">
        <v>45664</v>
      </c>
      <c r="E3729" s="2">
        <v>46210</v>
      </c>
      <c r="F3729" s="2">
        <v>32220</v>
      </c>
      <c r="G3729" s="2">
        <v>46169</v>
      </c>
    </row>
    <row r="3730" spans="1:7" x14ac:dyDescent="0.2">
      <c r="A3730" t="s" s="0">
        <v>267</v>
      </c>
      <c r="B3730" s="2">
        <v>1107424</v>
      </c>
      <c r="C3730" s="2">
        <v>44958</v>
      </c>
      <c r="D3730" s="2">
        <v>45522</v>
      </c>
      <c r="E3730" s="2">
        <v>46254</v>
      </c>
      <c r="F3730" s="2">
        <v>33716</v>
      </c>
      <c r="G3730" s="2">
        <v>47712</v>
      </c>
    </row>
    <row r="3731" spans="1:7" x14ac:dyDescent="0.2">
      <c r="A3731" t="s" s="0">
        <v>266</v>
      </c>
      <c r="B3731" s="2">
        <v>1151084</v>
      </c>
      <c r="C3731" s="2">
        <v>46089</v>
      </c>
      <c r="D3731" s="2">
        <v>45719</v>
      </c>
      <c r="E3731" s="2">
        <v>45928</v>
      </c>
      <c r="F3731" s="2">
        <v>46832</v>
      </c>
      <c r="G3731" s="2">
        <v>48419</v>
      </c>
    </row>
    <row r="3732" spans="1:7" x14ac:dyDescent="0.2">
      <c r="A3732" t="s" s="0">
        <v>265</v>
      </c>
      <c r="B3732" s="2">
        <v>1142894</v>
      </c>
      <c r="C3732" s="2">
        <v>46433</v>
      </c>
      <c r="D3732" s="2">
        <v>46939</v>
      </c>
      <c r="E3732" s="2">
        <v>45973</v>
      </c>
      <c r="F3732" s="2">
        <v>52642</v>
      </c>
      <c r="G3732" s="2">
        <v>47568</v>
      </c>
    </row>
    <row r="3733" spans="1:7" x14ac:dyDescent="0.2">
      <c r="A3733" t="s" s="0">
        <v>264</v>
      </c>
      <c r="B3733" s="2">
        <v>1188412</v>
      </c>
      <c r="C3733" s="2">
        <v>45688</v>
      </c>
      <c r="D3733" s="2">
        <v>45147</v>
      </c>
      <c r="E3733" s="2">
        <v>45724</v>
      </c>
      <c r="F3733" s="2">
        <v>61910</v>
      </c>
      <c r="G3733" s="2">
        <v>50594</v>
      </c>
    </row>
    <row r="3734" spans="1:7" x14ac:dyDescent="0.2">
      <c r="A3734" t="s" s="0">
        <v>263</v>
      </c>
      <c r="B3734" s="3">
        <v>1188412</v>
      </c>
      <c r="C3734" s="3">
        <v>45688</v>
      </c>
      <c r="D3734" s="3">
        <v>45147</v>
      </c>
      <c r="E3734" s="3">
        <v>45724</v>
      </c>
      <c r="F3734" s="3">
        <v>61910</v>
      </c>
      <c r="G3734" s="3">
        <v>50594</v>
      </c>
    </row>
    <row r="3735" spans="1:7" x14ac:dyDescent="0.2">
      <c r="A3735" t="s" s="0">
        <v>262</v>
      </c>
      <c r="B3735" s="3">
        <v>1188412</v>
      </c>
      <c r="C3735" s="3">
        <v>45688</v>
      </c>
      <c r="D3735" s="3">
        <v>45147</v>
      </c>
      <c r="E3735" s="3">
        <v>45724</v>
      </c>
      <c r="F3735" s="3">
        <v>61910</v>
      </c>
      <c r="G3735" s="3">
        <v>50594</v>
      </c>
    </row>
    <row r="3736" spans="1:7" x14ac:dyDescent="0.2">
      <c r="A3736" t="s" s="0">
        <v>261</v>
      </c>
      <c r="B3736" s="2">
        <v>1132695</v>
      </c>
      <c r="C3736" s="2">
        <v>28995</v>
      </c>
      <c r="D3736" s="2">
        <v>45086</v>
      </c>
      <c r="E3736" s="2">
        <v>45536</v>
      </c>
      <c r="F3736" s="2">
        <v>48344</v>
      </c>
      <c r="G3736" s="2">
        <v>47100</v>
      </c>
    </row>
    <row r="3737" spans="1:7" x14ac:dyDescent="0.2">
      <c r="A3737" t="s" s="0">
        <v>260</v>
      </c>
      <c r="B3737" s="2">
        <v>1146234</v>
      </c>
      <c r="C3737" s="2">
        <v>42886</v>
      </c>
      <c r="D3737" s="2">
        <v>45447</v>
      </c>
      <c r="E3737" s="2">
        <v>45519</v>
      </c>
      <c r="F3737" s="2">
        <v>49130</v>
      </c>
      <c r="G3737" s="2">
        <v>49054</v>
      </c>
    </row>
    <row r="3738" spans="1:7" x14ac:dyDescent="0.2">
      <c r="A3738" t="s" s="0">
        <v>259</v>
      </c>
      <c r="B3738" s="2">
        <v>1129310</v>
      </c>
      <c r="C3738" s="2">
        <v>45503</v>
      </c>
      <c r="D3738" s="2">
        <v>46007</v>
      </c>
      <c r="E3738" s="2">
        <v>45346</v>
      </c>
      <c r="F3738" s="2">
        <v>41036</v>
      </c>
      <c r="G3738" s="2">
        <v>47327</v>
      </c>
    </row>
    <row r="3739" spans="1:7" x14ac:dyDescent="0.2">
      <c r="A3739" t="s" s="0">
        <v>258</v>
      </c>
      <c r="B3739" s="2">
        <v>1226706</v>
      </c>
      <c r="C3739" s="2">
        <v>44211</v>
      </c>
      <c r="D3739" s="2">
        <v>45689</v>
      </c>
      <c r="E3739" s="2">
        <v>44727</v>
      </c>
      <c r="F3739" s="2">
        <v>55808</v>
      </c>
      <c r="G3739" s="2">
        <v>47664</v>
      </c>
    </row>
    <row r="3740" spans="1:7" x14ac:dyDescent="0.2">
      <c r="A3740" t="s" s="0">
        <v>257</v>
      </c>
      <c r="B3740" s="2">
        <v>1255498</v>
      </c>
      <c r="C3740" s="2">
        <v>48020</v>
      </c>
      <c r="D3740" s="2">
        <v>46022</v>
      </c>
      <c r="E3740" s="2">
        <v>44591</v>
      </c>
      <c r="F3740" s="2">
        <v>54401</v>
      </c>
      <c r="G3740" s="2">
        <v>48910</v>
      </c>
    </row>
    <row r="3741" spans="1:7" x14ac:dyDescent="0.2">
      <c r="A3741" t="s" s="0">
        <v>256</v>
      </c>
      <c r="B3741" s="3">
        <v>1255498</v>
      </c>
      <c r="C3741" s="3">
        <v>48020</v>
      </c>
      <c r="D3741" s="3">
        <v>46022</v>
      </c>
      <c r="E3741" s="3">
        <v>44591</v>
      </c>
      <c r="F3741" s="3">
        <v>54401</v>
      </c>
      <c r="G3741" s="3">
        <v>48910</v>
      </c>
    </row>
    <row r="3742" spans="1:7" x14ac:dyDescent="0.2">
      <c r="A3742" t="s" s="0">
        <v>255</v>
      </c>
      <c r="B3742" s="3">
        <v>1255498</v>
      </c>
      <c r="C3742" s="3">
        <v>48020</v>
      </c>
      <c r="D3742" s="3">
        <v>46022</v>
      </c>
      <c r="E3742" s="3">
        <v>44591</v>
      </c>
      <c r="F3742" s="3">
        <v>54401</v>
      </c>
      <c r="G3742" s="3">
        <v>48910</v>
      </c>
    </row>
    <row r="3743" spans="1:7" x14ac:dyDescent="0.2">
      <c r="A3743" t="s" s="0">
        <v>254</v>
      </c>
      <c r="B3743" s="2">
        <v>1172073</v>
      </c>
      <c r="C3743" s="2">
        <v>31518</v>
      </c>
      <c r="D3743" s="2">
        <v>44192</v>
      </c>
      <c r="E3743" s="2">
        <v>44485</v>
      </c>
      <c r="F3743" s="2">
        <v>48611</v>
      </c>
      <c r="G3743" s="2">
        <v>47809</v>
      </c>
    </row>
    <row r="3744" spans="1:7" x14ac:dyDescent="0.2">
      <c r="A3744" t="s" s="0">
        <v>253</v>
      </c>
      <c r="B3744" s="2">
        <v>1126588</v>
      </c>
      <c r="C3744" s="2">
        <v>44822</v>
      </c>
      <c r="D3744" s="2">
        <v>43384</v>
      </c>
      <c r="E3744" s="2">
        <v>45101</v>
      </c>
      <c r="F3744" s="2">
        <v>39508</v>
      </c>
      <c r="G3744" s="2">
        <v>46232</v>
      </c>
    </row>
    <row r="3745" spans="1:7" x14ac:dyDescent="0.2">
      <c r="A3745" t="s" s="0">
        <v>252</v>
      </c>
      <c r="B3745" s="2">
        <v>1074883</v>
      </c>
      <c r="C3745" s="2">
        <v>48280</v>
      </c>
      <c r="D3745" s="2">
        <v>43852</v>
      </c>
      <c r="E3745" s="2">
        <v>45052</v>
      </c>
      <c r="F3745" s="2">
        <v>35007</v>
      </c>
      <c r="G3745" s="2">
        <v>44292</v>
      </c>
    </row>
    <row r="3746" spans="1:7" x14ac:dyDescent="0.2">
      <c r="A3746" t="s" s="0">
        <v>251</v>
      </c>
      <c r="B3746" s="2">
        <v>1052636</v>
      </c>
      <c r="C3746" s="2">
        <v>47297</v>
      </c>
      <c r="D3746" s="2">
        <v>46078</v>
      </c>
      <c r="E3746" s="2">
        <v>45430</v>
      </c>
      <c r="F3746" s="2">
        <v>20141</v>
      </c>
      <c r="G3746" s="2">
        <v>43220</v>
      </c>
    </row>
    <row r="3747" spans="1:7" x14ac:dyDescent="0.2">
      <c r="A3747" t="s" s="0">
        <v>250</v>
      </c>
      <c r="B3747" s="2">
        <v>1094781</v>
      </c>
      <c r="C3747" s="2">
        <v>48057</v>
      </c>
      <c r="D3747" s="2">
        <v>46798</v>
      </c>
      <c r="E3747" s="2">
        <v>45356</v>
      </c>
      <c r="F3747" s="2">
        <v>21998</v>
      </c>
      <c r="G3747" s="2">
        <v>45500</v>
      </c>
    </row>
    <row r="3748" spans="1:7" x14ac:dyDescent="0.2">
      <c r="A3748" t="s" s="0">
        <v>249</v>
      </c>
      <c r="B3748" s="3">
        <v>1094781</v>
      </c>
      <c r="C3748" s="3">
        <v>48057</v>
      </c>
      <c r="D3748" s="3">
        <v>46798</v>
      </c>
      <c r="E3748" s="3">
        <v>45356</v>
      </c>
      <c r="F3748" s="3">
        <v>21998</v>
      </c>
      <c r="G3748" s="3">
        <v>45500</v>
      </c>
    </row>
    <row r="3749" spans="1:7" x14ac:dyDescent="0.2">
      <c r="A3749" t="s" s="0">
        <v>248</v>
      </c>
      <c r="B3749" s="3">
        <v>1094781</v>
      </c>
      <c r="C3749" s="3">
        <v>48057</v>
      </c>
      <c r="D3749" s="3">
        <v>46798</v>
      </c>
      <c r="E3749" s="3">
        <v>45356</v>
      </c>
      <c r="F3749" s="3">
        <v>21998</v>
      </c>
      <c r="G3749" s="3">
        <v>45500</v>
      </c>
    </row>
    <row r="3750" spans="1:7" x14ac:dyDescent="0.2">
      <c r="A3750" t="s" s="0">
        <v>247</v>
      </c>
      <c r="B3750" s="2">
        <v>1005426</v>
      </c>
      <c r="C3750" s="2">
        <v>29960</v>
      </c>
      <c r="D3750" s="2">
        <v>51557</v>
      </c>
      <c r="E3750" s="2">
        <v>46625</v>
      </c>
      <c r="F3750" s="2">
        <v>25910</v>
      </c>
      <c r="G3750" s="2">
        <v>38771</v>
      </c>
    </row>
    <row r="3751" spans="1:7" x14ac:dyDescent="0.2">
      <c r="A3751" t="s" s="0">
        <v>246</v>
      </c>
      <c r="B3751" s="2">
        <v>1012866</v>
      </c>
      <c r="C3751" s="2">
        <v>43823</v>
      </c>
      <c r="D3751" s="2">
        <v>51841</v>
      </c>
      <c r="E3751" s="2">
        <v>46549</v>
      </c>
      <c r="F3751" s="2">
        <v>33570</v>
      </c>
      <c r="G3751" s="2">
        <v>38981</v>
      </c>
    </row>
    <row r="3752" spans="1:7" x14ac:dyDescent="0.2">
      <c r="A3752" t="s" s="0">
        <v>245</v>
      </c>
      <c r="B3752" s="2">
        <v>1026301</v>
      </c>
      <c r="C3752" s="2">
        <v>43658</v>
      </c>
      <c r="D3752" s="2">
        <v>51181</v>
      </c>
      <c r="E3752" s="2">
        <v>46689</v>
      </c>
      <c r="F3752" s="2">
        <v>41917</v>
      </c>
      <c r="G3752" s="2">
        <v>41198</v>
      </c>
    </row>
    <row r="3753" spans="1:7" x14ac:dyDescent="0.2">
      <c r="A3753" t="s" s="0">
        <v>244</v>
      </c>
      <c r="B3753" s="2">
        <v>1019132</v>
      </c>
      <c r="C3753" s="2">
        <v>43535</v>
      </c>
      <c r="D3753" s="2">
        <v>48786</v>
      </c>
      <c r="E3753" s="2">
        <v>46873</v>
      </c>
      <c r="F3753" s="2">
        <v>41676</v>
      </c>
      <c r="G3753" s="2">
        <v>42567</v>
      </c>
    </row>
    <row r="3754" spans="1:7" x14ac:dyDescent="0.2">
      <c r="A3754" t="s" s="0">
        <v>243</v>
      </c>
      <c r="B3754" s="2">
        <v>1029573</v>
      </c>
      <c r="C3754" s="2">
        <v>47048</v>
      </c>
      <c r="D3754" s="2">
        <v>47928</v>
      </c>
      <c r="E3754" s="2">
        <v>46474</v>
      </c>
      <c r="F3754" s="2">
        <v>36958</v>
      </c>
      <c r="G3754" s="2">
        <v>43817</v>
      </c>
    </row>
    <row r="3755" spans="1:7" x14ac:dyDescent="0.2">
      <c r="A3755" t="s" s="0">
        <v>242</v>
      </c>
      <c r="B3755" s="3">
        <v>1029573</v>
      </c>
      <c r="C3755" s="3">
        <v>47048</v>
      </c>
      <c r="D3755" s="3">
        <v>47928</v>
      </c>
      <c r="E3755" s="3">
        <v>46474</v>
      </c>
      <c r="F3755" s="3">
        <v>36958</v>
      </c>
      <c r="G3755" s="3">
        <v>43817</v>
      </c>
    </row>
    <row r="3756" spans="1:7" x14ac:dyDescent="0.2">
      <c r="A3756" t="s" s="0">
        <v>241</v>
      </c>
      <c r="B3756" s="3">
        <v>1029573</v>
      </c>
      <c r="C3756" s="3">
        <v>47048</v>
      </c>
      <c r="D3756" s="3">
        <v>47928</v>
      </c>
      <c r="E3756" s="3">
        <v>46474</v>
      </c>
      <c r="F3756" s="3">
        <v>36958</v>
      </c>
      <c r="G3756" s="3">
        <v>43817</v>
      </c>
    </row>
    <row r="3757" spans="1:7" x14ac:dyDescent="0.2">
      <c r="A3757" t="s" s="0">
        <v>240</v>
      </c>
      <c r="B3757" s="2">
        <v>1036143</v>
      </c>
      <c r="C3757" s="2">
        <v>32651</v>
      </c>
      <c r="D3757" s="2">
        <v>43965</v>
      </c>
      <c r="E3757" s="2">
        <v>46200</v>
      </c>
      <c r="F3757" s="2">
        <v>46698</v>
      </c>
      <c r="G3757" s="2">
        <v>42391</v>
      </c>
    </row>
    <row r="3758" spans="1:7" x14ac:dyDescent="0.2">
      <c r="A3758" t="s" s="0">
        <v>239</v>
      </c>
      <c r="B3758" s="2">
        <v>1068840</v>
      </c>
      <c r="C3758" s="2">
        <v>38171</v>
      </c>
      <c r="D3758" s="2">
        <v>42446</v>
      </c>
      <c r="E3758" s="2">
        <v>45779</v>
      </c>
      <c r="F3758" s="2">
        <v>49059</v>
      </c>
      <c r="G3758" s="2">
        <v>42817</v>
      </c>
    </row>
    <row r="3759" spans="1:7" x14ac:dyDescent="0.2">
      <c r="A3759" t="s" s="0">
        <v>238</v>
      </c>
      <c r="B3759" s="2">
        <v>1029058</v>
      </c>
      <c r="C3759" s="2">
        <v>42999</v>
      </c>
      <c r="D3759" s="2">
        <v>41637</v>
      </c>
      <c r="E3759" s="2">
        <v>45669</v>
      </c>
      <c r="F3759" s="2">
        <v>40460</v>
      </c>
      <c r="G3759" s="2">
        <v>39605</v>
      </c>
    </row>
    <row r="3760" spans="1:7" x14ac:dyDescent="0.2">
      <c r="A3760" t="s" s="0">
        <v>237</v>
      </c>
      <c r="B3760" s="2">
        <v>1044592</v>
      </c>
      <c r="C3760" s="2">
        <v>43528</v>
      </c>
      <c r="D3760" s="2">
        <v>41351</v>
      </c>
      <c r="E3760" s="2">
        <v>45476</v>
      </c>
      <c r="F3760" s="2">
        <v>43418</v>
      </c>
      <c r="G3760" s="2">
        <v>40261</v>
      </c>
    </row>
    <row r="3761" spans="1:7" x14ac:dyDescent="0.2">
      <c r="A3761" t="s" s="0">
        <v>236</v>
      </c>
      <c r="B3761" s="2">
        <v>1150326</v>
      </c>
      <c r="C3761" s="2">
        <v>41085</v>
      </c>
      <c r="D3761" s="2">
        <v>40499</v>
      </c>
      <c r="E3761" s="2">
        <v>45312</v>
      </c>
      <c r="F3761" s="2">
        <v>56176</v>
      </c>
      <c r="G3761" s="2">
        <v>42383</v>
      </c>
    </row>
    <row r="3762" spans="1:7" x14ac:dyDescent="0.2">
      <c r="A3762" t="s" s="0">
        <v>235</v>
      </c>
      <c r="B3762" s="3">
        <v>1150326</v>
      </c>
      <c r="C3762" s="3">
        <v>41085</v>
      </c>
      <c r="D3762" s="3">
        <v>40499</v>
      </c>
      <c r="E3762" s="3">
        <v>45312</v>
      </c>
      <c r="F3762" s="3">
        <v>56176</v>
      </c>
      <c r="G3762" s="3">
        <v>42383</v>
      </c>
    </row>
    <row r="3763" spans="1:7" x14ac:dyDescent="0.2">
      <c r="A3763" t="s" s="0">
        <v>234</v>
      </c>
      <c r="B3763" s="3">
        <v>1150326</v>
      </c>
      <c r="C3763" s="3">
        <v>41085</v>
      </c>
      <c r="D3763" s="3">
        <v>40499</v>
      </c>
      <c r="E3763" s="3">
        <v>45312</v>
      </c>
      <c r="F3763" s="3">
        <v>56176</v>
      </c>
      <c r="G3763" s="3">
        <v>42383</v>
      </c>
    </row>
    <row r="3764" spans="1:7" x14ac:dyDescent="0.2">
      <c r="A3764" t="s" s="0">
        <v>233</v>
      </c>
      <c r="B3764" s="2">
        <v>1130275</v>
      </c>
      <c r="C3764" s="2">
        <v>28175</v>
      </c>
      <c r="D3764" s="2">
        <v>46380</v>
      </c>
      <c r="E3764" s="2">
        <v>46524</v>
      </c>
      <c r="F3764" s="2">
        <v>58256</v>
      </c>
      <c r="G3764" s="2">
        <v>44869</v>
      </c>
    </row>
    <row r="3765" spans="1:7" x14ac:dyDescent="0.2">
      <c r="A3765" t="s" s="0">
        <v>232</v>
      </c>
      <c r="B3765" s="2">
        <v>1186904</v>
      </c>
      <c r="C3765" s="2">
        <v>41168</v>
      </c>
      <c r="D3765" s="2">
        <v>46950</v>
      </c>
      <c r="E3765" s="2">
        <v>46155</v>
      </c>
      <c r="F3765" s="2">
        <v>62666</v>
      </c>
      <c r="G3765" s="2">
        <v>46201</v>
      </c>
    </row>
    <row r="3766" spans="1:7" x14ac:dyDescent="0.2">
      <c r="A3766" t="s" s="0">
        <v>231</v>
      </c>
      <c r="B3766" s="2">
        <v>1142086</v>
      </c>
      <c r="C3766" s="2">
        <v>45502</v>
      </c>
      <c r="D3766" s="2">
        <v>47307</v>
      </c>
      <c r="E3766" s="2">
        <v>45994</v>
      </c>
      <c r="F3766" s="2">
        <v>62271</v>
      </c>
      <c r="G3766" s="2">
        <v>44914</v>
      </c>
    </row>
    <row r="3767" spans="1:7" x14ac:dyDescent="0.2">
      <c r="A3767" t="s" s="0">
        <v>230</v>
      </c>
      <c r="B3767" s="2">
        <v>1126352</v>
      </c>
      <c r="C3767" s="2">
        <v>39288</v>
      </c>
      <c r="D3767" s="2">
        <v>47416</v>
      </c>
      <c r="E3767" s="2">
        <v>45908</v>
      </c>
      <c r="F3767" s="2">
        <v>57911</v>
      </c>
      <c r="G3767" s="2">
        <v>40787</v>
      </c>
    </row>
    <row r="3768" spans="1:7" x14ac:dyDescent="0.2">
      <c r="A3768" t="s" s="0">
        <v>229</v>
      </c>
      <c r="B3768" s="2">
        <v>1229508</v>
      </c>
      <c r="C3768" s="2">
        <v>38231</v>
      </c>
      <c r="D3768" s="2">
        <v>47808</v>
      </c>
      <c r="E3768" s="2">
        <v>45758</v>
      </c>
      <c r="F3768" s="2">
        <v>57995</v>
      </c>
      <c r="G3768" s="2">
        <v>43282</v>
      </c>
    </row>
    <row r="3769" spans="1:7" x14ac:dyDescent="0.2">
      <c r="A3769" t="s" s="0">
        <v>228</v>
      </c>
      <c r="B3769" s="3">
        <v>1229508</v>
      </c>
      <c r="C3769" s="3">
        <v>38231</v>
      </c>
      <c r="D3769" s="3">
        <v>47808</v>
      </c>
      <c r="E3769" s="3">
        <v>45758</v>
      </c>
      <c r="F3769" s="3">
        <v>57995</v>
      </c>
      <c r="G3769" s="3">
        <v>43282</v>
      </c>
    </row>
    <row r="3770" spans="1:7" x14ac:dyDescent="0.2">
      <c r="A3770" t="s" s="0">
        <v>227</v>
      </c>
      <c r="B3770" s="3">
        <v>1229508</v>
      </c>
      <c r="C3770" s="3">
        <v>38231</v>
      </c>
      <c r="D3770" s="3">
        <v>47808</v>
      </c>
      <c r="E3770" s="3">
        <v>45758</v>
      </c>
      <c r="F3770" s="3">
        <v>57995</v>
      </c>
      <c r="G3770" s="3">
        <v>43282</v>
      </c>
    </row>
    <row r="3771" spans="1:7" x14ac:dyDescent="0.2">
      <c r="A3771" t="s" s="0">
        <v>226</v>
      </c>
      <c r="B3771" s="2">
        <v>1226908</v>
      </c>
      <c r="C3771" s="2">
        <v>29411</v>
      </c>
      <c r="D3771" s="2">
        <v>39531</v>
      </c>
      <c r="E3771" s="2">
        <v>45358</v>
      </c>
      <c r="F3771" s="2">
        <v>52211</v>
      </c>
      <c r="G3771" s="2">
        <v>45769</v>
      </c>
    </row>
    <row r="3772" spans="1:7" x14ac:dyDescent="0.2">
      <c r="A3772" t="s" s="0">
        <v>225</v>
      </c>
      <c r="B3772" s="2">
        <v>1192319</v>
      </c>
      <c r="C3772" s="2">
        <v>40208</v>
      </c>
      <c r="D3772" s="2">
        <v>39393</v>
      </c>
      <c r="E3772" s="2">
        <v>45157</v>
      </c>
      <c r="F3772" s="2">
        <v>37839</v>
      </c>
      <c r="G3772" s="2">
        <v>45784</v>
      </c>
    </row>
    <row r="3773" spans="1:7" x14ac:dyDescent="0.2">
      <c r="A3773" t="s" s="0">
        <v>224</v>
      </c>
      <c r="B3773" s="2">
        <v>1129841</v>
      </c>
      <c r="C3773" s="2">
        <v>48452</v>
      </c>
      <c r="D3773" s="2">
        <v>41929</v>
      </c>
      <c r="E3773" s="2">
        <v>45514</v>
      </c>
      <c r="F3773" s="2">
        <v>38269</v>
      </c>
      <c r="G3773" s="2">
        <v>45729</v>
      </c>
    </row>
    <row r="3774" spans="1:7" x14ac:dyDescent="0.2">
      <c r="A3774" t="s" s="0">
        <v>223</v>
      </c>
      <c r="B3774" s="2">
        <v>1096651</v>
      </c>
      <c r="C3774" s="2">
        <v>46417</v>
      </c>
      <c r="D3774" s="2">
        <v>43524</v>
      </c>
      <c r="E3774" s="2">
        <v>45269</v>
      </c>
      <c r="F3774" s="2">
        <v>37369</v>
      </c>
      <c r="G3774" s="2">
        <v>45094</v>
      </c>
    </row>
    <row r="3775" spans="1:7" x14ac:dyDescent="0.2">
      <c r="A3775" t="s" s="0">
        <v>222</v>
      </c>
      <c r="B3775" s="2">
        <v>1152811</v>
      </c>
      <c r="C3775" s="2">
        <v>42923</v>
      </c>
      <c r="D3775" s="2">
        <v>43395</v>
      </c>
      <c r="E3775" s="2">
        <v>44907</v>
      </c>
      <c r="F3775" s="2">
        <v>30263</v>
      </c>
      <c r="G3775" s="2">
        <v>45348</v>
      </c>
    </row>
    <row r="3776" spans="1:7" x14ac:dyDescent="0.2">
      <c r="A3776" t="s" s="0">
        <v>221</v>
      </c>
      <c r="B3776" s="3">
        <v>1152811</v>
      </c>
      <c r="C3776" s="3">
        <v>42923</v>
      </c>
      <c r="D3776" s="3">
        <v>43395</v>
      </c>
      <c r="E3776" s="3">
        <v>44907</v>
      </c>
      <c r="F3776" s="3">
        <v>30263</v>
      </c>
      <c r="G3776" s="3">
        <v>45348</v>
      </c>
    </row>
    <row r="3777" spans="1:7" x14ac:dyDescent="0.2">
      <c r="A3777" t="s" s="0">
        <v>220</v>
      </c>
      <c r="B3777" s="3">
        <v>1152811</v>
      </c>
      <c r="C3777" s="3">
        <v>42923</v>
      </c>
      <c r="D3777" s="3">
        <v>43395</v>
      </c>
      <c r="E3777" s="3">
        <v>44907</v>
      </c>
      <c r="F3777" s="3">
        <v>30263</v>
      </c>
      <c r="G3777" s="3">
        <v>45348</v>
      </c>
    </row>
    <row r="3778" spans="1:7" x14ac:dyDescent="0.2">
      <c r="A3778" t="s" s="0">
        <v>219</v>
      </c>
      <c r="B3778" s="2">
        <v>1134002</v>
      </c>
      <c r="C3778" s="2">
        <v>26764</v>
      </c>
      <c r="D3778" s="2">
        <v>43179</v>
      </c>
      <c r="E3778" s="2">
        <v>43264</v>
      </c>
      <c r="F3778" s="2">
        <v>27731</v>
      </c>
      <c r="G3778" s="2">
        <v>46224</v>
      </c>
    </row>
    <row r="3779" spans="1:7" x14ac:dyDescent="0.2">
      <c r="A3779" t="s" s="0">
        <v>218</v>
      </c>
      <c r="B3779" s="2">
        <v>1090964</v>
      </c>
      <c r="C3779" s="2">
        <v>42339</v>
      </c>
      <c r="D3779" s="2">
        <v>43343</v>
      </c>
      <c r="E3779" s="2">
        <v>43033</v>
      </c>
      <c r="F3779" s="2">
        <v>27136</v>
      </c>
      <c r="G3779" s="2">
        <v>44175</v>
      </c>
    </row>
    <row r="3780" spans="1:7" x14ac:dyDescent="0.2">
      <c r="A3780" t="s" s="0">
        <v>217</v>
      </c>
      <c r="B3780" s="2">
        <v>1095012</v>
      </c>
      <c r="C3780" s="2">
        <v>45999</v>
      </c>
      <c r="D3780" s="2">
        <v>40877</v>
      </c>
      <c r="E3780" s="2">
        <v>42938</v>
      </c>
      <c r="F3780" s="2">
        <v>34279</v>
      </c>
      <c r="G3780" s="2">
        <v>43820</v>
      </c>
    </row>
    <row r="3781" spans="1:7" x14ac:dyDescent="0.2">
      <c r="A3781" t="s" s="0">
        <v>216</v>
      </c>
      <c r="B3781" s="2">
        <v>1081232</v>
      </c>
      <c r="C3781" s="2">
        <v>45132</v>
      </c>
      <c r="D3781" s="2">
        <v>39403</v>
      </c>
      <c r="E3781" s="2">
        <v>42923</v>
      </c>
      <c r="F3781" s="2">
        <v>35402</v>
      </c>
      <c r="G3781" s="2">
        <v>43525</v>
      </c>
    </row>
    <row r="3782" spans="1:7" x14ac:dyDescent="0.2">
      <c r="A3782" t="s" s="0">
        <v>215</v>
      </c>
      <c r="B3782" s="2">
        <v>1121508</v>
      </c>
      <c r="C3782" s="2">
        <v>46312</v>
      </c>
      <c r="D3782" s="2">
        <v>39887</v>
      </c>
      <c r="E3782" s="2">
        <v>42897</v>
      </c>
      <c r="F3782" s="2">
        <v>33216</v>
      </c>
      <c r="G3782" s="2">
        <v>44413</v>
      </c>
    </row>
    <row r="3783" spans="1:7" x14ac:dyDescent="0.2">
      <c r="A3783" t="s" s="0">
        <v>214</v>
      </c>
      <c r="B3783" s="3">
        <v>1121508</v>
      </c>
      <c r="C3783" s="3">
        <v>46312</v>
      </c>
      <c r="D3783" s="3">
        <v>39887</v>
      </c>
      <c r="E3783" s="3">
        <v>42897</v>
      </c>
      <c r="F3783" s="3">
        <v>33216</v>
      </c>
      <c r="G3783" s="3">
        <v>44413</v>
      </c>
    </row>
    <row r="3784" spans="1:7" x14ac:dyDescent="0.2">
      <c r="A3784" t="s" s="0">
        <v>213</v>
      </c>
      <c r="B3784" s="3">
        <v>1121508</v>
      </c>
      <c r="C3784" s="3">
        <v>46312</v>
      </c>
      <c r="D3784" s="3">
        <v>39887</v>
      </c>
      <c r="E3784" s="3">
        <v>42897</v>
      </c>
      <c r="F3784" s="3">
        <v>33216</v>
      </c>
      <c r="G3784" s="3">
        <v>44413</v>
      </c>
    </row>
    <row r="3785" spans="1:7" x14ac:dyDescent="0.2">
      <c r="A3785" t="s" s="0">
        <v>212</v>
      </c>
      <c r="B3785" s="2">
        <v>1144657</v>
      </c>
      <c r="C3785" s="2">
        <v>27132</v>
      </c>
      <c r="D3785" s="2">
        <v>42838</v>
      </c>
      <c r="E3785" s="2">
        <v>42982</v>
      </c>
      <c r="F3785" s="2">
        <v>43304</v>
      </c>
      <c r="G3785" s="2">
        <v>45376</v>
      </c>
    </row>
    <row r="3786" spans="1:7" x14ac:dyDescent="0.2">
      <c r="A3786" t="s" s="0">
        <v>211</v>
      </c>
      <c r="B3786" s="2">
        <v>1107839</v>
      </c>
      <c r="C3786" s="2">
        <v>34565</v>
      </c>
      <c r="D3786" s="2">
        <v>41725</v>
      </c>
      <c r="E3786" s="2">
        <v>42853</v>
      </c>
      <c r="F3786" s="2">
        <v>43720</v>
      </c>
      <c r="G3786" s="2">
        <v>42841</v>
      </c>
    </row>
    <row r="3787" spans="1:7" x14ac:dyDescent="0.2">
      <c r="A3787" t="s" s="0">
        <v>210</v>
      </c>
      <c r="B3787" s="2">
        <v>1075863</v>
      </c>
      <c r="C3787" s="2">
        <v>43032</v>
      </c>
      <c r="D3787" s="2">
        <v>41302</v>
      </c>
      <c r="E3787" s="2">
        <v>42854</v>
      </c>
      <c r="F3787" s="2">
        <v>38003</v>
      </c>
      <c r="G3787" s="2">
        <v>43205</v>
      </c>
    </row>
    <row r="3788" spans="1:7" x14ac:dyDescent="0.2">
      <c r="A3788" t="s" s="0">
        <v>209</v>
      </c>
      <c r="B3788" s="2">
        <v>1088163</v>
      </c>
      <c r="C3788" s="2">
        <v>43023</v>
      </c>
      <c r="D3788" s="2">
        <v>42396</v>
      </c>
      <c r="E3788" s="2">
        <v>43185</v>
      </c>
      <c r="F3788" s="2">
        <v>42998</v>
      </c>
      <c r="G3788" s="2">
        <v>43420</v>
      </c>
    </row>
    <row r="3789" spans="1:7" x14ac:dyDescent="0.2">
      <c r="A3789" t="s" s="0">
        <v>208</v>
      </c>
      <c r="B3789" s="2">
        <v>1126408</v>
      </c>
      <c r="C3789" s="2">
        <v>44578</v>
      </c>
      <c r="D3789" s="2">
        <v>43288</v>
      </c>
      <c r="E3789" s="2">
        <v>43594</v>
      </c>
      <c r="F3789" s="2">
        <v>44446</v>
      </c>
      <c r="G3789" s="2">
        <v>41480</v>
      </c>
    </row>
    <row r="3790" spans="1:7" x14ac:dyDescent="0.2">
      <c r="A3790" t="s" s="0">
        <v>207</v>
      </c>
      <c r="B3790" s="3">
        <v>1126408</v>
      </c>
      <c r="C3790" s="3">
        <v>44578</v>
      </c>
      <c r="D3790" s="3">
        <v>43288</v>
      </c>
      <c r="E3790" s="3">
        <v>43594</v>
      </c>
      <c r="F3790" s="3">
        <v>44446</v>
      </c>
      <c r="G3790" s="3">
        <v>41480</v>
      </c>
    </row>
    <row r="3791" spans="1:7" x14ac:dyDescent="0.2">
      <c r="A3791" t="s" s="0">
        <v>206</v>
      </c>
      <c r="B3791" s="3">
        <v>1126408</v>
      </c>
      <c r="C3791" s="3">
        <v>44578</v>
      </c>
      <c r="D3791" s="3">
        <v>43288</v>
      </c>
      <c r="E3791" s="3">
        <v>43594</v>
      </c>
      <c r="F3791" s="3">
        <v>44446</v>
      </c>
      <c r="G3791" s="3">
        <v>41480</v>
      </c>
    </row>
    <row r="3792" spans="1:7" x14ac:dyDescent="0.2">
      <c r="A3792" t="s" s="0">
        <v>205</v>
      </c>
      <c r="B3792" s="2">
        <v>1067847</v>
      </c>
      <c r="C3792" s="2">
        <v>26104</v>
      </c>
      <c r="D3792" s="2">
        <v>40701</v>
      </c>
      <c r="E3792" s="2">
        <v>41562</v>
      </c>
      <c r="F3792" s="2">
        <v>29044</v>
      </c>
      <c r="G3792" s="2">
        <v>38072</v>
      </c>
    </row>
    <row r="3793" spans="1:7" x14ac:dyDescent="0.2">
      <c r="A3793" t="s" s="0">
        <v>204</v>
      </c>
      <c r="B3793" s="2">
        <v>1101524</v>
      </c>
      <c r="C3793" s="2">
        <v>38598</v>
      </c>
      <c r="D3793" s="2">
        <v>43770</v>
      </c>
      <c r="E3793" s="2">
        <v>42058</v>
      </c>
      <c r="F3793" s="2">
        <v>41720</v>
      </c>
      <c r="G3793" s="2">
        <v>37604</v>
      </c>
    </row>
    <row r="3794" spans="1:7" x14ac:dyDescent="0.2">
      <c r="A3794" t="s" s="0">
        <v>203</v>
      </c>
      <c r="B3794" s="2">
        <v>1128855</v>
      </c>
      <c r="C3794" s="2">
        <v>41702</v>
      </c>
      <c r="D3794" s="2">
        <v>45164</v>
      </c>
      <c r="E3794" s="2">
        <v>42318</v>
      </c>
      <c r="F3794" s="2">
        <v>51716</v>
      </c>
      <c r="G3794" s="2">
        <v>40567</v>
      </c>
    </row>
    <row r="3795" spans="1:7" x14ac:dyDescent="0.2">
      <c r="A3795" t="s" s="0">
        <v>202</v>
      </c>
      <c r="B3795" s="2">
        <v>1117220</v>
      </c>
      <c r="C3795" s="2">
        <v>42235</v>
      </c>
      <c r="D3795" s="2">
        <v>44013</v>
      </c>
      <c r="E3795" s="2">
        <v>42334</v>
      </c>
      <c r="F3795" s="2">
        <v>47146</v>
      </c>
      <c r="G3795" s="2">
        <v>40729</v>
      </c>
    </row>
    <row r="3796" spans="1:7" x14ac:dyDescent="0.2">
      <c r="A3796" t="s" s="0">
        <v>201</v>
      </c>
      <c r="B3796" s="2">
        <v>1107311</v>
      </c>
      <c r="C3796" s="2">
        <v>36371</v>
      </c>
      <c r="D3796" s="2">
        <v>41701</v>
      </c>
      <c r="E3796" s="2">
        <v>42068</v>
      </c>
      <c r="F3796" s="2">
        <v>37840</v>
      </c>
      <c r="G3796" s="2">
        <v>36441</v>
      </c>
    </row>
    <row r="3797" spans="1:7" x14ac:dyDescent="0.2">
      <c r="A3797" t="s" s="0">
        <v>200</v>
      </c>
      <c r="B3797" s="3">
        <v>1107311</v>
      </c>
      <c r="C3797" s="3">
        <v>36371</v>
      </c>
      <c r="D3797" s="3">
        <v>41701</v>
      </c>
      <c r="E3797" s="3">
        <v>42068</v>
      </c>
      <c r="F3797" s="3">
        <v>37840</v>
      </c>
      <c r="G3797" s="3">
        <v>36441</v>
      </c>
    </row>
    <row r="3798" spans="1:7" x14ac:dyDescent="0.2">
      <c r="A3798" t="s" s="0">
        <v>199</v>
      </c>
      <c r="B3798" s="3">
        <v>1107311</v>
      </c>
      <c r="C3798" s="3">
        <v>36371</v>
      </c>
      <c r="D3798" s="3">
        <v>41701</v>
      </c>
      <c r="E3798" s="3">
        <v>42068</v>
      </c>
      <c r="F3798" s="3">
        <v>37840</v>
      </c>
      <c r="G3798" s="3">
        <v>36441</v>
      </c>
    </row>
    <row r="3799" spans="1:7" x14ac:dyDescent="0.2">
      <c r="A3799" t="s" s="0">
        <v>198</v>
      </c>
      <c r="B3799" s="2">
        <v>1046971</v>
      </c>
      <c r="C3799" s="2">
        <v>27451</v>
      </c>
      <c r="D3799" s="2">
        <v>42023</v>
      </c>
      <c r="E3799" s="2">
        <v>42185</v>
      </c>
      <c r="F3799" s="2">
        <v>37909</v>
      </c>
      <c r="G3799" s="2">
        <v>34497</v>
      </c>
    </row>
    <row r="3800" spans="1:7" x14ac:dyDescent="0.2">
      <c r="A3800" t="s" s="0">
        <v>197</v>
      </c>
      <c r="B3800" s="2">
        <v>1071312</v>
      </c>
      <c r="C3800" s="2">
        <v>37643</v>
      </c>
      <c r="D3800" s="2">
        <v>43277</v>
      </c>
      <c r="E3800" s="2">
        <v>43029</v>
      </c>
      <c r="F3800" s="2">
        <v>38661</v>
      </c>
      <c r="G3800" s="2">
        <v>37809</v>
      </c>
    </row>
    <row r="3801" spans="1:7" x14ac:dyDescent="0.2">
      <c r="A3801" t="s" s="0">
        <v>196</v>
      </c>
      <c r="B3801" s="2">
        <v>1062384</v>
      </c>
      <c r="C3801" s="2">
        <v>48742</v>
      </c>
      <c r="D3801" s="2">
        <v>42699</v>
      </c>
      <c r="E3801" s="2">
        <v>42510</v>
      </c>
      <c r="F3801" s="2">
        <v>32657</v>
      </c>
      <c r="G3801" s="2">
        <v>39164</v>
      </c>
    </row>
    <row r="3802" spans="1:7" x14ac:dyDescent="0.2">
      <c r="A3802" t="s" s="0">
        <v>195</v>
      </c>
      <c r="B3802" s="2">
        <v>1036824</v>
      </c>
      <c r="C3802" s="2">
        <v>50586</v>
      </c>
      <c r="D3802" s="2">
        <v>43534</v>
      </c>
      <c r="E3802" s="2">
        <v>42337</v>
      </c>
      <c r="F3802" s="2">
        <v>31503</v>
      </c>
      <c r="G3802" s="2">
        <v>39263</v>
      </c>
    </row>
    <row r="3803" spans="1:7" x14ac:dyDescent="0.2">
      <c r="A3803" t="s" s="0">
        <v>194</v>
      </c>
      <c r="B3803" s="2">
        <v>1034904</v>
      </c>
      <c r="C3803" s="2">
        <v>36920</v>
      </c>
      <c r="D3803" s="2">
        <v>43613</v>
      </c>
      <c r="E3803" s="2">
        <v>42122</v>
      </c>
      <c r="F3803" s="2">
        <v>32961</v>
      </c>
      <c r="G3803" s="2">
        <v>37116</v>
      </c>
    </row>
    <row r="3804" spans="1:7" x14ac:dyDescent="0.2">
      <c r="A3804" t="s" s="0">
        <v>193</v>
      </c>
      <c r="B3804" s="3">
        <v>1034904</v>
      </c>
      <c r="C3804" s="3">
        <v>36920</v>
      </c>
      <c r="D3804" s="3">
        <v>43613</v>
      </c>
      <c r="E3804" s="3">
        <v>42122</v>
      </c>
      <c r="F3804" s="3">
        <v>32961</v>
      </c>
      <c r="G3804" s="3">
        <v>37116</v>
      </c>
    </row>
    <row r="3805" spans="1:7" x14ac:dyDescent="0.2">
      <c r="A3805" t="s" s="0">
        <v>192</v>
      </c>
      <c r="B3805" s="3">
        <v>1034904</v>
      </c>
      <c r="C3805" s="3">
        <v>36920</v>
      </c>
      <c r="D3805" s="3">
        <v>43613</v>
      </c>
      <c r="E3805" s="3">
        <v>42122</v>
      </c>
      <c r="F3805" s="3">
        <v>32961</v>
      </c>
      <c r="G3805" s="3">
        <v>37116</v>
      </c>
    </row>
    <row r="3806" spans="1:7" x14ac:dyDescent="0.2">
      <c r="A3806" t="s" s="0">
        <v>191</v>
      </c>
      <c r="B3806" s="2">
        <v>1076280</v>
      </c>
      <c r="C3806" s="2">
        <v>27893</v>
      </c>
      <c r="D3806" s="2">
        <v>44369</v>
      </c>
      <c r="E3806" s="2">
        <v>42483</v>
      </c>
      <c r="F3806" s="2">
        <v>48013</v>
      </c>
      <c r="G3806" s="2">
        <v>39567</v>
      </c>
    </row>
    <row r="3807" spans="1:7" x14ac:dyDescent="0.2">
      <c r="A3807" t="s" s="0">
        <v>190</v>
      </c>
      <c r="B3807" s="2">
        <v>1088606</v>
      </c>
      <c r="C3807" s="2">
        <v>43067</v>
      </c>
      <c r="D3807" s="2">
        <v>42034</v>
      </c>
      <c r="E3807" s="2">
        <v>42702</v>
      </c>
      <c r="F3807" s="2">
        <v>43147</v>
      </c>
      <c r="G3807" s="2">
        <v>41812</v>
      </c>
    </row>
    <row r="3808" spans="1:7" x14ac:dyDescent="0.2">
      <c r="A3808" t="s" s="0">
        <v>189</v>
      </c>
      <c r="B3808" s="2">
        <v>1084522</v>
      </c>
      <c r="C3808" s="2">
        <v>45715</v>
      </c>
      <c r="D3808" s="2">
        <v>41602</v>
      </c>
      <c r="E3808" s="2">
        <v>42692</v>
      </c>
      <c r="F3808" s="2">
        <v>43578</v>
      </c>
      <c r="G3808" s="2">
        <v>41488</v>
      </c>
    </row>
    <row r="3809" spans="1:7" x14ac:dyDescent="0.2">
      <c r="A3809" t="s" s="0">
        <v>188</v>
      </c>
      <c r="B3809" s="2">
        <v>1077167</v>
      </c>
      <c r="C3809" s="2">
        <v>37376</v>
      </c>
      <c r="D3809" s="2">
        <v>41150</v>
      </c>
      <c r="E3809" s="2">
        <v>42773</v>
      </c>
      <c r="F3809" s="2">
        <v>45726</v>
      </c>
      <c r="G3809" s="2">
        <v>41844</v>
      </c>
    </row>
    <row r="3810" spans="1:7" x14ac:dyDescent="0.2">
      <c r="A3810" t="s" s="0">
        <v>187</v>
      </c>
      <c r="B3810" s="2">
        <v>1152355</v>
      </c>
      <c r="C3810" s="2">
        <v>38441</v>
      </c>
      <c r="D3810" s="2">
        <v>41367</v>
      </c>
      <c r="E3810" s="2">
        <v>42492</v>
      </c>
      <c r="F3810" s="2">
        <v>56482</v>
      </c>
      <c r="G3810" s="2">
        <v>42932</v>
      </c>
    </row>
    <row r="3811" spans="1:7" x14ac:dyDescent="0.2">
      <c r="A3811" t="s" s="0">
        <v>186</v>
      </c>
      <c r="B3811" s="3">
        <v>1152355</v>
      </c>
      <c r="C3811" s="3">
        <v>38441</v>
      </c>
      <c r="D3811" s="3">
        <v>41367</v>
      </c>
      <c r="E3811" s="3">
        <v>42492</v>
      </c>
      <c r="F3811" s="3">
        <v>56482</v>
      </c>
      <c r="G3811" s="3">
        <v>42932</v>
      </c>
    </row>
    <row r="3812" spans="1:7" x14ac:dyDescent="0.2">
      <c r="A3812" t="s" s="0">
        <v>185</v>
      </c>
      <c r="B3812" s="3">
        <v>1152355</v>
      </c>
      <c r="C3812" s="3">
        <v>38441</v>
      </c>
      <c r="D3812" s="3">
        <v>41367</v>
      </c>
      <c r="E3812" s="3">
        <v>42492</v>
      </c>
      <c r="F3812" s="3">
        <v>56482</v>
      </c>
      <c r="G3812" s="3">
        <v>42932</v>
      </c>
    </row>
    <row r="3813" spans="1:7" x14ac:dyDescent="0.2">
      <c r="A3813" t="s" s="0">
        <v>184</v>
      </c>
      <c r="B3813" s="2">
        <v>1073028</v>
      </c>
      <c r="C3813" s="2">
        <v>27458</v>
      </c>
      <c r="D3813" s="2">
        <v>45086</v>
      </c>
      <c r="E3813" s="2">
        <v>43045</v>
      </c>
      <c r="F3813" s="2">
        <v>43192</v>
      </c>
      <c r="G3813" s="2">
        <v>39539</v>
      </c>
    </row>
    <row r="3814" spans="1:7" x14ac:dyDescent="0.2">
      <c r="A3814" t="s" s="0">
        <v>183</v>
      </c>
      <c r="B3814" s="2">
        <v>1087796</v>
      </c>
      <c r="C3814" s="2">
        <v>36051</v>
      </c>
      <c r="D3814" s="2">
        <v>42595</v>
      </c>
      <c r="E3814" s="2">
        <v>42919</v>
      </c>
      <c r="F3814" s="2">
        <v>41771</v>
      </c>
      <c r="G3814" s="2">
        <v>41325</v>
      </c>
    </row>
    <row r="3815" spans="1:7" x14ac:dyDescent="0.2">
      <c r="A3815" t="s" s="0">
        <v>182</v>
      </c>
      <c r="B3815" s="2">
        <v>1163488</v>
      </c>
      <c r="C3815" s="2">
        <v>39602</v>
      </c>
      <c r="D3815" s="2">
        <v>41722</v>
      </c>
      <c r="E3815" s="2">
        <v>42797</v>
      </c>
      <c r="F3815" s="2">
        <v>52061</v>
      </c>
      <c r="G3815" s="2">
        <v>45003</v>
      </c>
    </row>
    <row r="3816" spans="1:7" x14ac:dyDescent="0.2">
      <c r="A3816" t="s" s="0">
        <v>181</v>
      </c>
      <c r="B3816" s="2">
        <v>1263365</v>
      </c>
      <c r="C3816" s="2">
        <v>40427</v>
      </c>
      <c r="D3816" s="2">
        <v>41436</v>
      </c>
      <c r="E3816" s="2">
        <v>42533</v>
      </c>
      <c r="F3816" s="2">
        <v>67095</v>
      </c>
      <c r="G3816" s="2">
        <v>47868</v>
      </c>
    </row>
    <row r="3817" spans="1:7" x14ac:dyDescent="0.2">
      <c r="A3817" t="s" s="0">
        <v>180</v>
      </c>
      <c r="B3817" s="2">
        <v>1223891</v>
      </c>
      <c r="C3817" s="2">
        <v>40538</v>
      </c>
      <c r="D3817" s="2">
        <v>41736</v>
      </c>
      <c r="E3817" s="2">
        <v>42104</v>
      </c>
      <c r="F3817" s="2">
        <v>51340</v>
      </c>
      <c r="G3817" s="2">
        <v>44655</v>
      </c>
    </row>
    <row r="3818" spans="1:7" x14ac:dyDescent="0.2">
      <c r="A3818" t="s" s="0">
        <v>179</v>
      </c>
      <c r="B3818" s="3">
        <v>1223891</v>
      </c>
      <c r="C3818" s="3">
        <v>40538</v>
      </c>
      <c r="D3818" s="3">
        <v>41736</v>
      </c>
      <c r="E3818" s="3">
        <v>42104</v>
      </c>
      <c r="F3818" s="3">
        <v>51340</v>
      </c>
      <c r="G3818" s="3">
        <v>44655</v>
      </c>
    </row>
    <row r="3819" spans="1:7" x14ac:dyDescent="0.2">
      <c r="A3819" t="s" s="0">
        <v>178</v>
      </c>
      <c r="B3819" s="3">
        <v>1223891</v>
      </c>
      <c r="C3819" s="3">
        <v>40538</v>
      </c>
      <c r="D3819" s="3">
        <v>41736</v>
      </c>
      <c r="E3819" s="3">
        <v>42104</v>
      </c>
      <c r="F3819" s="3">
        <v>51340</v>
      </c>
      <c r="G3819" s="3">
        <v>44655</v>
      </c>
    </row>
    <row r="3820" spans="1:7" x14ac:dyDescent="0.2">
      <c r="A3820" t="s" s="0">
        <v>177</v>
      </c>
      <c r="B3820" s="2">
        <v>1319471</v>
      </c>
      <c r="C3820" s="2">
        <v>27485</v>
      </c>
      <c r="D3820" s="2">
        <v>35835</v>
      </c>
      <c r="E3820" s="2">
        <v>41828</v>
      </c>
      <c r="F3820" s="2">
        <v>70425</v>
      </c>
      <c r="G3820" s="2">
        <v>49885</v>
      </c>
    </row>
    <row r="3821" spans="1:7" x14ac:dyDescent="0.2">
      <c r="A3821" t="s" s="0">
        <v>176</v>
      </c>
      <c r="B3821" s="2">
        <v>1268696</v>
      </c>
      <c r="C3821" s="2">
        <v>39009</v>
      </c>
      <c r="D3821" s="2">
        <v>38393</v>
      </c>
      <c r="E3821" s="2">
        <v>41575</v>
      </c>
      <c r="F3821" s="2">
        <v>63192</v>
      </c>
      <c r="G3821" s="2">
        <v>46693</v>
      </c>
    </row>
    <row r="3822" spans="1:7" x14ac:dyDescent="0.2">
      <c r="A3822" t="s" s="0">
        <v>175</v>
      </c>
      <c r="B3822" s="2">
        <v>1267903</v>
      </c>
      <c r="C3822" s="2">
        <v>46626</v>
      </c>
      <c r="D3822" s="2">
        <v>41073</v>
      </c>
      <c r="E3822" s="2">
        <v>41774</v>
      </c>
      <c r="F3822" s="2">
        <v>54984</v>
      </c>
      <c r="G3822" s="2">
        <v>45820</v>
      </c>
    </row>
    <row r="3823" spans="1:7" x14ac:dyDescent="0.2">
      <c r="A3823" t="s" s="0">
        <v>174</v>
      </c>
      <c r="B3823" s="2">
        <v>1256171</v>
      </c>
      <c r="C3823" s="2">
        <v>41760</v>
      </c>
      <c r="D3823" s="2">
        <v>40550</v>
      </c>
      <c r="E3823" s="2">
        <v>41668</v>
      </c>
      <c r="F3823" s="2">
        <v>38516</v>
      </c>
      <c r="G3823" s="2">
        <v>45710</v>
      </c>
    </row>
    <row r="3824" spans="1:7" x14ac:dyDescent="0.2">
      <c r="A3824" t="s" s="0">
        <v>173</v>
      </c>
      <c r="B3824" s="2">
        <v>1300886</v>
      </c>
      <c r="C3824" s="2">
        <v>41189</v>
      </c>
      <c r="D3824" s="2">
        <v>40643</v>
      </c>
      <c r="E3824" s="2">
        <v>41840</v>
      </c>
      <c r="F3824" s="2">
        <v>50483</v>
      </c>
      <c r="G3824" s="2">
        <v>47816</v>
      </c>
    </row>
    <row r="3825" spans="1:7" x14ac:dyDescent="0.2">
      <c r="A3825" t="s" s="0">
        <v>172</v>
      </c>
      <c r="B3825" s="3">
        <v>1300886</v>
      </c>
      <c r="C3825" s="3">
        <v>41189</v>
      </c>
      <c r="D3825" s="3">
        <v>40643</v>
      </c>
      <c r="E3825" s="3">
        <v>41840</v>
      </c>
      <c r="F3825" s="3">
        <v>50483</v>
      </c>
      <c r="G3825" s="3">
        <v>47816</v>
      </c>
    </row>
    <row r="3826" spans="1:7" x14ac:dyDescent="0.2">
      <c r="A3826" t="s" s="0">
        <v>171</v>
      </c>
      <c r="B3826" s="3">
        <v>1300886</v>
      </c>
      <c r="C3826" s="3">
        <v>41189</v>
      </c>
      <c r="D3826" s="3">
        <v>40643</v>
      </c>
      <c r="E3826" s="3">
        <v>41840</v>
      </c>
      <c r="F3826" s="3">
        <v>50483</v>
      </c>
      <c r="G3826" s="3">
        <v>47816</v>
      </c>
    </row>
    <row r="3827" spans="1:7" x14ac:dyDescent="0.2">
      <c r="A3827" t="s" s="0">
        <v>170</v>
      </c>
      <c r="B3827" s="2">
        <v>1457862</v>
      </c>
      <c r="C3827" s="2">
        <v>30868</v>
      </c>
      <c r="D3827" s="2">
        <v>44167</v>
      </c>
      <c r="E3827" s="2">
        <v>42364</v>
      </c>
      <c r="F3827" s="2">
        <v>62778</v>
      </c>
      <c r="G3827" s="2">
        <v>56102</v>
      </c>
    </row>
    <row r="3828" spans="1:7" x14ac:dyDescent="0.2">
      <c r="A3828" t="s" s="0">
        <v>169</v>
      </c>
      <c r="B3828" s="2">
        <v>1414240</v>
      </c>
      <c r="C3828" s="2">
        <v>43975</v>
      </c>
      <c r="D3828" s="2">
        <v>42741</v>
      </c>
      <c r="E3828" s="2">
        <v>41441</v>
      </c>
      <c r="F3828" s="2">
        <v>62722</v>
      </c>
      <c r="G3828" s="2">
        <v>52708</v>
      </c>
    </row>
    <row r="3829" spans="1:7" x14ac:dyDescent="0.2">
      <c r="A3829" t="s" s="0">
        <v>168</v>
      </c>
      <c r="B3829" s="2">
        <v>1402689</v>
      </c>
      <c r="C3829" s="2">
        <v>41551</v>
      </c>
      <c r="D3829" s="2">
        <v>40340</v>
      </c>
      <c r="E3829" s="2">
        <v>41184</v>
      </c>
      <c r="F3829" s="2">
        <v>59079</v>
      </c>
      <c r="G3829" s="2">
        <v>52426</v>
      </c>
    </row>
    <row r="3830" spans="1:7" x14ac:dyDescent="0.2">
      <c r="A3830" t="s" s="0">
        <v>167</v>
      </c>
      <c r="B3830" s="2">
        <v>1404832</v>
      </c>
      <c r="C3830" s="2">
        <v>17854</v>
      </c>
      <c r="D3830" s="2">
        <v>37639</v>
      </c>
      <c r="E3830" s="2">
        <v>40194</v>
      </c>
      <c r="F3830" s="2">
        <v>58369</v>
      </c>
      <c r="G3830" s="2">
        <v>52426</v>
      </c>
    </row>
    <row r="3831" spans="1:7" x14ac:dyDescent="0.2">
      <c r="A3831" t="s" s="0">
        <v>166</v>
      </c>
      <c r="B3831" s="2">
        <v>1392494</v>
      </c>
      <c r="C3831" s="2">
        <v>39800</v>
      </c>
      <c r="D3831" s="2">
        <v>37441</v>
      </c>
      <c r="E3831" s="2">
        <v>40297</v>
      </c>
      <c r="F3831" s="2">
        <v>49929</v>
      </c>
      <c r="G3831" s="2">
        <v>52058</v>
      </c>
    </row>
    <row r="3832" spans="1:7" x14ac:dyDescent="0.2">
      <c r="A3832" t="s" s="0">
        <v>165</v>
      </c>
      <c r="B3832" s="3">
        <v>1392494</v>
      </c>
      <c r="C3832" s="3">
        <v>39800</v>
      </c>
      <c r="D3832" s="3">
        <v>37441</v>
      </c>
      <c r="E3832" s="3">
        <v>40297</v>
      </c>
      <c r="F3832" s="3">
        <v>49929</v>
      </c>
      <c r="G3832" s="3">
        <v>52058</v>
      </c>
    </row>
    <row r="3833" spans="1:7" x14ac:dyDescent="0.2">
      <c r="A3833" t="s" s="0">
        <v>164</v>
      </c>
      <c r="B3833" s="3">
        <v>1392494</v>
      </c>
      <c r="C3833" s="3">
        <v>39800</v>
      </c>
      <c r="D3833" s="3">
        <v>37441</v>
      </c>
      <c r="E3833" s="3">
        <v>40297</v>
      </c>
      <c r="F3833" s="3">
        <v>49929</v>
      </c>
      <c r="G3833" s="3">
        <v>52058</v>
      </c>
    </row>
    <row r="3834" spans="1:7" x14ac:dyDescent="0.2">
      <c r="A3834" t="s" s="0">
        <v>163</v>
      </c>
      <c r="B3834" s="2">
        <v>1441558</v>
      </c>
      <c r="C3834" s="2">
        <v>29242</v>
      </c>
      <c r="D3834" s="2">
        <v>34620</v>
      </c>
      <c r="E3834" s="2">
        <v>39927</v>
      </c>
      <c r="F3834" s="2">
        <v>31691</v>
      </c>
      <c r="G3834" s="2">
        <v>52022</v>
      </c>
    </row>
    <row r="3835" spans="1:7" x14ac:dyDescent="0.2">
      <c r="A3835" t="s" s="0">
        <v>162</v>
      </c>
      <c r="B3835" s="2">
        <v>1398514</v>
      </c>
      <c r="C3835" s="2">
        <v>41010</v>
      </c>
      <c r="D3835" s="2">
        <v>34913</v>
      </c>
      <c r="E3835" s="2">
        <v>39661</v>
      </c>
      <c r="F3835" s="2">
        <v>31860</v>
      </c>
      <c r="G3835" s="2">
        <v>49886</v>
      </c>
    </row>
    <row r="3836" spans="1:7" x14ac:dyDescent="0.2">
      <c r="A3836" t="s" s="0">
        <v>161</v>
      </c>
      <c r="B3836" s="2">
        <v>1358822</v>
      </c>
      <c r="C3836" s="2">
        <v>35619</v>
      </c>
      <c r="D3836" s="2">
        <v>39181</v>
      </c>
      <c r="E3836" s="2">
        <v>40579</v>
      </c>
      <c r="F3836" s="2">
        <v>31873</v>
      </c>
      <c r="G3836" s="2">
        <v>49499</v>
      </c>
    </row>
    <row r="3837" spans="1:7" x14ac:dyDescent="0.2">
      <c r="A3837" t="s" s="0">
        <v>160</v>
      </c>
      <c r="B3837" s="2">
        <v>1404439</v>
      </c>
      <c r="C3837" s="2">
        <v>24337</v>
      </c>
      <c r="D3837" s="2">
        <v>39393</v>
      </c>
      <c r="E3837" s="2">
        <v>39755</v>
      </c>
      <c r="F3837" s="2">
        <v>38295</v>
      </c>
      <c r="G3837" s="2">
        <v>50569</v>
      </c>
    </row>
    <row r="3838" spans="1:7" x14ac:dyDescent="0.2">
      <c r="A3838" t="s" s="0">
        <v>159</v>
      </c>
      <c r="B3838" s="2">
        <v>1359416</v>
      </c>
      <c r="C3838" s="2">
        <v>37272</v>
      </c>
      <c r="D3838" s="2">
        <v>39032</v>
      </c>
      <c r="E3838" s="2">
        <v>39713</v>
      </c>
      <c r="F3838" s="2">
        <v>33514</v>
      </c>
      <c r="G3838" s="2">
        <v>46316</v>
      </c>
    </row>
    <row r="3839" spans="1:7" x14ac:dyDescent="0.2">
      <c r="A3839" t="s" s="0">
        <v>158</v>
      </c>
      <c r="B3839" s="3">
        <v>1359416</v>
      </c>
      <c r="C3839" s="3">
        <v>37272</v>
      </c>
      <c r="D3839" s="3">
        <v>39032</v>
      </c>
      <c r="E3839" s="3">
        <v>39713</v>
      </c>
      <c r="F3839" s="3">
        <v>33514</v>
      </c>
      <c r="G3839" s="3">
        <v>46316</v>
      </c>
    </row>
    <row r="3840" spans="1:7" x14ac:dyDescent="0.2">
      <c r="A3840" t="s" s="0">
        <v>157</v>
      </c>
      <c r="B3840" s="3">
        <v>1359416</v>
      </c>
      <c r="C3840" s="3">
        <v>37272</v>
      </c>
      <c r="D3840" s="3">
        <v>39032</v>
      </c>
      <c r="E3840" s="3">
        <v>39713</v>
      </c>
      <c r="F3840" s="3">
        <v>33514</v>
      </c>
      <c r="G3840" s="3">
        <v>46316</v>
      </c>
    </row>
    <row r="3841" spans="1:7" x14ac:dyDescent="0.2">
      <c r="A3841" t="s" s="0">
        <v>156</v>
      </c>
      <c r="B3841" s="2">
        <v>1321579</v>
      </c>
      <c r="C3841" s="2">
        <v>18765</v>
      </c>
      <c r="D3841" s="2">
        <v>40988</v>
      </c>
      <c r="E3841" s="2">
        <v>38903</v>
      </c>
      <c r="F3841" s="2">
        <v>23056</v>
      </c>
      <c r="G3841" s="2">
        <v>46988</v>
      </c>
    </row>
    <row r="3842" spans="1:7" x14ac:dyDescent="0.2">
      <c r="A3842" t="s" s="0">
        <v>155</v>
      </c>
      <c r="B3842" s="2">
        <v>1406444</v>
      </c>
      <c r="C3842" s="2">
        <v>32593</v>
      </c>
      <c r="D3842" s="2">
        <v>39070</v>
      </c>
      <c r="E3842" s="2">
        <v>38779</v>
      </c>
      <c r="F3842" s="2">
        <v>39595</v>
      </c>
      <c r="G3842" s="2">
        <v>49342</v>
      </c>
    </row>
    <row r="3843" spans="1:7" x14ac:dyDescent="0.2">
      <c r="A3843" t="s" s="0">
        <v>154</v>
      </c>
      <c r="B3843" s="2">
        <v>1403847</v>
      </c>
      <c r="C3843" s="2">
        <v>40279</v>
      </c>
      <c r="D3843" s="2">
        <v>36050</v>
      </c>
      <c r="E3843" s="2">
        <v>39161</v>
      </c>
      <c r="F3843" s="2">
        <v>41750</v>
      </c>
      <c r="G3843" s="2">
        <v>46921</v>
      </c>
    </row>
    <row r="3844" spans="1:7" x14ac:dyDescent="0.2">
      <c r="A3844" t="s" s="0">
        <v>153</v>
      </c>
      <c r="B3844" s="2">
        <v>1394931</v>
      </c>
      <c r="C3844" s="2">
        <v>37616</v>
      </c>
      <c r="D3844" s="2">
        <v>38161</v>
      </c>
      <c r="E3844" s="2">
        <v>38936</v>
      </c>
      <c r="F3844" s="2">
        <v>36027</v>
      </c>
      <c r="G3844" s="2">
        <v>42802</v>
      </c>
    </row>
    <row r="3845" spans="1:7" x14ac:dyDescent="0.2">
      <c r="A3845" t="s" s="0">
        <v>152</v>
      </c>
      <c r="B3845" s="2">
        <v>1359627</v>
      </c>
      <c r="C3845" s="2">
        <v>34796</v>
      </c>
      <c r="D3845" s="2">
        <v>37807</v>
      </c>
      <c r="E3845" s="2">
        <v>38731</v>
      </c>
      <c r="F3845" s="2">
        <v>37202</v>
      </c>
      <c r="G3845" s="2">
        <v>42782</v>
      </c>
    </row>
    <row r="3846" spans="1:7" x14ac:dyDescent="0.2">
      <c r="A3846" t="s" s="0">
        <v>151</v>
      </c>
      <c r="B3846" s="3">
        <v>1359627</v>
      </c>
      <c r="C3846" s="3">
        <v>34796</v>
      </c>
      <c r="D3846" s="3">
        <v>37807</v>
      </c>
      <c r="E3846" s="3">
        <v>38731</v>
      </c>
      <c r="F3846" s="3">
        <v>37202</v>
      </c>
      <c r="G3846" s="3">
        <v>42782</v>
      </c>
    </row>
    <row r="3847" spans="1:7" x14ac:dyDescent="0.2">
      <c r="A3847" t="s" s="0">
        <v>150</v>
      </c>
      <c r="B3847" s="3">
        <v>1359627</v>
      </c>
      <c r="C3847" s="3">
        <v>34796</v>
      </c>
      <c r="D3847" s="3">
        <v>37807</v>
      </c>
      <c r="E3847" s="3">
        <v>38731</v>
      </c>
      <c r="F3847" s="3">
        <v>37202</v>
      </c>
      <c r="G3847" s="3">
        <v>42782</v>
      </c>
    </row>
    <row r="3848" spans="1:7" x14ac:dyDescent="0.2">
      <c r="A3848" t="s" s="0">
        <v>149</v>
      </c>
      <c r="B3848" s="2">
        <v>1486551</v>
      </c>
      <c r="C3848" s="2">
        <v>24541</v>
      </c>
      <c r="D3848" s="2">
        <v>32856</v>
      </c>
      <c r="E3848" s="2">
        <v>38158</v>
      </c>
      <c r="F3848" s="2">
        <v>55756</v>
      </c>
      <c r="G3848" s="2">
        <v>43320</v>
      </c>
    </row>
    <row r="3849" spans="1:7" x14ac:dyDescent="0.2">
      <c r="A3849" t="s" s="0">
        <v>148</v>
      </c>
      <c r="B3849" s="2">
        <v>1544061</v>
      </c>
      <c r="C3849" s="2">
        <v>34816</v>
      </c>
      <c r="D3849" s="2">
        <v>33173</v>
      </c>
      <c r="E3849" s="2">
        <v>37474</v>
      </c>
      <c r="F3849" s="2">
        <v>52047</v>
      </c>
      <c r="G3849" s="2">
        <v>46556</v>
      </c>
    </row>
    <row r="3850" spans="1:7" x14ac:dyDescent="0.2">
      <c r="A3850" t="s" s="0">
        <v>147</v>
      </c>
      <c r="B3850" s="2">
        <v>1507135</v>
      </c>
      <c r="C3850" s="2">
        <v>34861</v>
      </c>
      <c r="D3850" s="2">
        <v>31641</v>
      </c>
      <c r="E3850" s="2">
        <v>36803</v>
      </c>
      <c r="F3850" s="2">
        <v>45615</v>
      </c>
      <c r="G3850" s="2">
        <v>44579</v>
      </c>
    </row>
    <row r="3851" spans="1:7" x14ac:dyDescent="0.2">
      <c r="A3851" t="s" s="0">
        <v>146</v>
      </c>
      <c r="B3851" s="2">
        <v>1514812</v>
      </c>
      <c r="C3851" s="2">
        <v>32336</v>
      </c>
      <c r="D3851" s="2">
        <v>30672</v>
      </c>
      <c r="E3851" s="2">
        <v>36466</v>
      </c>
      <c r="F3851" s="2">
        <v>47054</v>
      </c>
      <c r="G3851" s="2">
        <v>44936</v>
      </c>
    </row>
    <row r="3852" spans="1:7" x14ac:dyDescent="0.2">
      <c r="A3852" t="s" s="0">
        <v>145</v>
      </c>
      <c r="B3852" s="2">
        <v>1552666</v>
      </c>
      <c r="C3852" s="2">
        <v>33178</v>
      </c>
      <c r="D3852" s="2">
        <v>31155</v>
      </c>
      <c r="E3852" s="2">
        <v>36359</v>
      </c>
      <c r="F3852" s="2">
        <v>57745</v>
      </c>
      <c r="G3852" s="2">
        <v>44597</v>
      </c>
    </row>
    <row r="3853" spans="1:7" x14ac:dyDescent="0.2">
      <c r="A3853" t="s" s="0">
        <v>144</v>
      </c>
      <c r="B3853" s="3">
        <v>1552666</v>
      </c>
      <c r="C3853" s="3">
        <v>33178</v>
      </c>
      <c r="D3853" s="3">
        <v>31155</v>
      </c>
      <c r="E3853" s="3">
        <v>36359</v>
      </c>
      <c r="F3853" s="3">
        <v>57745</v>
      </c>
      <c r="G3853" s="3">
        <v>44597</v>
      </c>
    </row>
    <row r="3854" spans="1:7" x14ac:dyDescent="0.2">
      <c r="A3854" t="s" s="0">
        <v>143</v>
      </c>
      <c r="B3854" s="3">
        <v>1552666</v>
      </c>
      <c r="C3854" s="3">
        <v>33178</v>
      </c>
      <c r="D3854" s="3">
        <v>31155</v>
      </c>
      <c r="E3854" s="3">
        <v>36359</v>
      </c>
      <c r="F3854" s="3">
        <v>57745</v>
      </c>
      <c r="G3854" s="3">
        <v>44597</v>
      </c>
    </row>
    <row r="3855" spans="1:7" x14ac:dyDescent="0.2">
      <c r="A3855" t="s" s="0">
        <v>142</v>
      </c>
      <c r="B3855" s="2">
        <v>1530939</v>
      </c>
      <c r="C3855" s="2">
        <v>26677</v>
      </c>
      <c r="D3855" s="2">
        <v>37891</v>
      </c>
      <c r="E3855" s="2">
        <v>36589</v>
      </c>
      <c r="F3855" s="2">
        <v>43277</v>
      </c>
      <c r="G3855" s="2">
        <v>38445</v>
      </c>
    </row>
    <row r="3856" spans="1:7" x14ac:dyDescent="0.2">
      <c r="A3856" t="s" s="0">
        <v>141</v>
      </c>
      <c r="B3856" s="2">
        <v>1500840</v>
      </c>
      <c r="C3856" s="2">
        <v>32274</v>
      </c>
      <c r="D3856" s="2">
        <v>37528</v>
      </c>
      <c r="E3856" s="2">
        <v>36171</v>
      </c>
      <c r="F3856" s="2">
        <v>30408</v>
      </c>
      <c r="G3856" s="2">
        <v>38478</v>
      </c>
    </row>
    <row r="3857" spans="1:7" x14ac:dyDescent="0.2">
      <c r="A3857" t="s" s="0">
        <v>140</v>
      </c>
      <c r="B3857" s="2">
        <v>1537768</v>
      </c>
      <c r="C3857" s="2">
        <v>33114</v>
      </c>
      <c r="D3857" s="2">
        <v>36606</v>
      </c>
      <c r="E3857" s="2">
        <v>35870</v>
      </c>
      <c r="F3857" s="2">
        <v>40387</v>
      </c>
      <c r="G3857" s="2">
        <v>39906</v>
      </c>
    </row>
    <row r="3858" spans="1:7" x14ac:dyDescent="0.2">
      <c r="A3858" t="s" s="0">
        <v>139</v>
      </c>
      <c r="B3858" s="2">
        <v>1533914</v>
      </c>
      <c r="C3858" s="2">
        <v>36262</v>
      </c>
      <c r="D3858" s="2">
        <v>37167</v>
      </c>
      <c r="E3858" s="2">
        <v>36348</v>
      </c>
      <c r="F3858" s="2">
        <v>38933</v>
      </c>
      <c r="G3858" s="2">
        <v>40077</v>
      </c>
    </row>
    <row r="3859" spans="1:7" x14ac:dyDescent="0.2">
      <c r="A3859" t="s" s="0">
        <v>138</v>
      </c>
      <c r="B3859" s="2">
        <v>1466528</v>
      </c>
      <c r="C3859" s="2">
        <v>39107</v>
      </c>
      <c r="D3859" s="2">
        <v>47389</v>
      </c>
      <c r="E3859" s="2">
        <v>38846</v>
      </c>
      <c r="F3859" s="2">
        <v>34020</v>
      </c>
      <c r="G3859" s="2">
        <v>40620</v>
      </c>
    </row>
    <row r="3860" spans="1:7" x14ac:dyDescent="0.2">
      <c r="A3860" t="s" s="0">
        <v>137</v>
      </c>
      <c r="B3860" s="3">
        <v>1466528</v>
      </c>
      <c r="C3860" s="3">
        <v>39107</v>
      </c>
      <c r="D3860" s="3">
        <v>47389</v>
      </c>
      <c r="E3860" s="3">
        <v>38846</v>
      </c>
      <c r="F3860" s="3">
        <v>34020</v>
      </c>
      <c r="G3860" s="3">
        <v>40620</v>
      </c>
    </row>
    <row r="3861" spans="1:7" x14ac:dyDescent="0.2">
      <c r="A3861" t="s" s="0">
        <v>136</v>
      </c>
      <c r="B3861" s="3">
        <v>1466528</v>
      </c>
      <c r="C3861" s="3">
        <v>39107</v>
      </c>
      <c r="D3861" s="3">
        <v>47389</v>
      </c>
      <c r="E3861" s="3">
        <v>38846</v>
      </c>
      <c r="F3861" s="3">
        <v>34020</v>
      </c>
      <c r="G3861" s="3">
        <v>40620</v>
      </c>
    </row>
    <row r="3862" spans="1:7" x14ac:dyDescent="0.2">
      <c r="A3862" t="s" s="0">
        <v>135</v>
      </c>
      <c r="B3862" s="2">
        <v>1496503</v>
      </c>
      <c r="C3862" s="2">
        <v>24281</v>
      </c>
      <c r="D3862" s="2">
        <v>42240</v>
      </c>
      <c r="E3862" s="2">
        <v>38494</v>
      </c>
      <c r="F3862" s="2">
        <v>36256</v>
      </c>
      <c r="G3862" s="2">
        <v>39586</v>
      </c>
    </row>
    <row r="3863" spans="1:7" x14ac:dyDescent="0.2">
      <c r="A3863" t="s" s="0">
        <v>134</v>
      </c>
      <c r="B3863" s="2">
        <v>1502167</v>
      </c>
      <c r="C3863" s="2">
        <v>35833</v>
      </c>
      <c r="D3863" s="2">
        <v>42749</v>
      </c>
      <c r="E3863" s="2">
        <v>38130</v>
      </c>
      <c r="F3863" s="2">
        <v>41987</v>
      </c>
      <c r="G3863" s="2">
        <v>41009</v>
      </c>
    </row>
    <row r="3864" spans="1:7" x14ac:dyDescent="0.2">
      <c r="A3864" t="s" s="0">
        <v>133</v>
      </c>
      <c r="B3864" s="2">
        <v>1465080</v>
      </c>
      <c r="C3864" s="2">
        <v>38024</v>
      </c>
      <c r="D3864" s="2">
        <v>43450</v>
      </c>
      <c r="E3864" s="2">
        <v>36937</v>
      </c>
      <c r="F3864" s="2">
        <v>31964</v>
      </c>
      <c r="G3864" s="2">
        <v>39929</v>
      </c>
    </row>
    <row r="3865" spans="1:7" x14ac:dyDescent="0.2">
      <c r="A3865" t="s" s="0">
        <v>132</v>
      </c>
      <c r="B3865" s="2">
        <v>1486001</v>
      </c>
      <c r="C3865" s="2">
        <v>34064</v>
      </c>
      <c r="D3865" s="2">
        <v>43136</v>
      </c>
      <c r="E3865" s="2">
        <v>37284</v>
      </c>
      <c r="F3865" s="2">
        <v>35558</v>
      </c>
      <c r="G3865" s="2">
        <v>39393</v>
      </c>
    </row>
    <row r="3866" spans="1:7" x14ac:dyDescent="0.2">
      <c r="A3866" t="s" s="0">
        <v>131</v>
      </c>
      <c r="B3866" s="2">
        <v>1477732</v>
      </c>
      <c r="C3866" s="2">
        <v>35964</v>
      </c>
      <c r="D3866" s="2">
        <v>32874</v>
      </c>
      <c r="E3866" s="2">
        <v>37306</v>
      </c>
      <c r="F3866" s="2">
        <v>33875</v>
      </c>
      <c r="G3866" s="2">
        <v>40710</v>
      </c>
    </row>
    <row r="3867" spans="1:7" x14ac:dyDescent="0.2">
      <c r="A3867" t="s" s="0">
        <v>130</v>
      </c>
      <c r="B3867" s="3">
        <v>1477732</v>
      </c>
      <c r="C3867" s="3">
        <v>35964</v>
      </c>
      <c r="D3867" s="3">
        <v>32874</v>
      </c>
      <c r="E3867" s="3">
        <v>37306</v>
      </c>
      <c r="F3867" s="3">
        <v>33875</v>
      </c>
      <c r="G3867" s="3">
        <v>40710</v>
      </c>
    </row>
    <row r="3868" spans="1:7" x14ac:dyDescent="0.2">
      <c r="A3868" t="s" s="0">
        <v>129</v>
      </c>
      <c r="B3868" s="3">
        <v>1477732</v>
      </c>
      <c r="C3868" s="3">
        <v>35964</v>
      </c>
      <c r="D3868" s="3">
        <v>32874</v>
      </c>
      <c r="E3868" s="3">
        <v>37306</v>
      </c>
      <c r="F3868" s="3">
        <v>33875</v>
      </c>
      <c r="G3868" s="3">
        <v>40710</v>
      </c>
    </row>
    <row r="3869" spans="1:7" x14ac:dyDescent="0.2">
      <c r="A3869" t="s" s="0">
        <v>128</v>
      </c>
      <c r="B3869" s="2">
        <v>1472441</v>
      </c>
      <c r="C3869" s="2">
        <v>22732</v>
      </c>
      <c r="D3869" s="2">
        <v>34006</v>
      </c>
      <c r="E3869" s="2">
        <v>36748</v>
      </c>
      <c r="F3869" s="2">
        <v>30014</v>
      </c>
      <c r="G3869" s="2">
        <v>41326</v>
      </c>
    </row>
    <row r="3870" spans="1:7" x14ac:dyDescent="0.2">
      <c r="A3870" t="s" s="0">
        <v>127</v>
      </c>
      <c r="B3870" s="2">
        <v>1505702</v>
      </c>
      <c r="C3870" s="2">
        <v>42240</v>
      </c>
      <c r="D3870" s="2">
        <v>38469</v>
      </c>
      <c r="E3870" s="2">
        <v>37980</v>
      </c>
      <c r="F3870" s="2">
        <v>37963</v>
      </c>
      <c r="G3870" s="2">
        <v>40601</v>
      </c>
    </row>
    <row r="3871" spans="1:7" x14ac:dyDescent="0.2">
      <c r="A3871" t="s" s="0">
        <v>126</v>
      </c>
      <c r="B3871" s="2">
        <v>1523324</v>
      </c>
      <c r="C3871" s="2">
        <v>33114</v>
      </c>
      <c r="D3871" s="2">
        <v>37767</v>
      </c>
      <c r="E3871" s="2">
        <v>37366</v>
      </c>
      <c r="F3871" s="2">
        <v>45128</v>
      </c>
      <c r="G3871" s="2">
        <v>40774</v>
      </c>
    </row>
    <row r="3872" spans="1:7" x14ac:dyDescent="0.2">
      <c r="A3872" t="s" s="0">
        <v>125</v>
      </c>
      <c r="B3872" s="2">
        <v>1522412</v>
      </c>
      <c r="C3872" s="2">
        <v>30976</v>
      </c>
      <c r="D3872" s="2">
        <v>37326</v>
      </c>
      <c r="E3872" s="2">
        <v>37075</v>
      </c>
      <c r="F3872" s="2">
        <v>41569</v>
      </c>
      <c r="G3872" s="2">
        <v>40778</v>
      </c>
    </row>
    <row r="3873" spans="1:7" x14ac:dyDescent="0.2">
      <c r="A3873" t="s" s="0">
        <v>124</v>
      </c>
      <c r="B3873" s="2">
        <v>1501947</v>
      </c>
      <c r="C3873" s="2">
        <v>33948</v>
      </c>
      <c r="D3873" s="2">
        <v>38905</v>
      </c>
      <c r="E3873" s="2">
        <v>37581</v>
      </c>
      <c r="F3873" s="2">
        <v>41149</v>
      </c>
      <c r="G3873" s="2">
        <v>41697</v>
      </c>
    </row>
    <row r="3874" spans="1:7" x14ac:dyDescent="0.2">
      <c r="A3874" t="s" s="0">
        <v>123</v>
      </c>
      <c r="B3874" s="3">
        <v>1501947</v>
      </c>
      <c r="C3874" s="3">
        <v>33948</v>
      </c>
      <c r="D3874" s="3">
        <v>38905</v>
      </c>
      <c r="E3874" s="3">
        <v>37581</v>
      </c>
      <c r="F3874" s="3">
        <v>41149</v>
      </c>
      <c r="G3874" s="3">
        <v>41697</v>
      </c>
    </row>
    <row r="3875" spans="1:7" x14ac:dyDescent="0.2">
      <c r="A3875" t="s" s="0">
        <v>122</v>
      </c>
      <c r="B3875" s="3">
        <v>1501947</v>
      </c>
      <c r="C3875" s="3">
        <v>33948</v>
      </c>
      <c r="D3875" s="3">
        <v>38905</v>
      </c>
      <c r="E3875" s="3">
        <v>37581</v>
      </c>
      <c r="F3875" s="3">
        <v>41149</v>
      </c>
      <c r="G3875" s="3">
        <v>41697</v>
      </c>
    </row>
    <row r="3876" spans="1:7" x14ac:dyDescent="0.2">
      <c r="A3876" t="s" s="0">
        <v>121</v>
      </c>
      <c r="B3876" s="2">
        <v>1572454</v>
      </c>
      <c r="C3876" s="2">
        <v>22757</v>
      </c>
      <c r="D3876" s="2">
        <v>37962</v>
      </c>
      <c r="E3876" s="2">
        <v>38025</v>
      </c>
      <c r="F3876" s="2">
        <v>50992</v>
      </c>
      <c r="G3876" s="2">
        <v>40135</v>
      </c>
    </row>
    <row r="3877" spans="1:7" x14ac:dyDescent="0.2">
      <c r="A3877" t="s" s="0">
        <v>120</v>
      </c>
      <c r="B3877" s="2">
        <v>1563765</v>
      </c>
      <c r="C3877" s="2">
        <v>33679</v>
      </c>
      <c r="D3877" s="2">
        <v>35683</v>
      </c>
      <c r="E3877" s="2">
        <v>38607</v>
      </c>
      <c r="F3877" s="2">
        <v>43041</v>
      </c>
      <c r="G3877" s="2">
        <v>38350</v>
      </c>
    </row>
    <row r="3878" spans="1:7" x14ac:dyDescent="0.2">
      <c r="A3878" t="s" s="0">
        <v>119</v>
      </c>
      <c r="B3878" s="2">
        <v>1592665</v>
      </c>
      <c r="C3878" s="2">
        <v>37472</v>
      </c>
      <c r="D3878" s="2">
        <v>36305</v>
      </c>
      <c r="E3878" s="2">
        <v>38532</v>
      </c>
      <c r="F3878" s="2">
        <v>45184</v>
      </c>
      <c r="G3878" s="2">
        <v>40666</v>
      </c>
    </row>
    <row r="3879" spans="1:7" x14ac:dyDescent="0.2">
      <c r="A3879" t="s" s="0">
        <v>118</v>
      </c>
      <c r="B3879" s="2">
        <v>1569027</v>
      </c>
      <c r="C3879" s="2">
        <v>23679</v>
      </c>
      <c r="D3879" s="2">
        <v>35263</v>
      </c>
      <c r="E3879" s="2">
        <v>38223</v>
      </c>
      <c r="F3879" s="2">
        <v>40895</v>
      </c>
      <c r="G3879" s="2">
        <v>39239</v>
      </c>
    </row>
    <row r="3880" spans="1:7" x14ac:dyDescent="0.2">
      <c r="A3880" t="s" s="0">
        <v>117</v>
      </c>
      <c r="B3880" s="2">
        <v>1556346</v>
      </c>
      <c r="C3880" s="2">
        <v>35792</v>
      </c>
      <c r="D3880" s="2">
        <v>33385</v>
      </c>
      <c r="E3880" s="2">
        <v>38138</v>
      </c>
      <c r="F3880" s="2">
        <v>40150</v>
      </c>
      <c r="G3880" s="2">
        <v>37298</v>
      </c>
    </row>
    <row r="3881" spans="1:7" x14ac:dyDescent="0.2">
      <c r="A3881" t="s" s="0">
        <v>116</v>
      </c>
      <c r="B3881" s="3">
        <v>1556346</v>
      </c>
      <c r="C3881" s="3">
        <v>35792</v>
      </c>
      <c r="D3881" s="3">
        <v>33385</v>
      </c>
      <c r="E3881" s="3">
        <v>38138</v>
      </c>
      <c r="F3881" s="3">
        <v>40150</v>
      </c>
      <c r="G3881" s="3">
        <v>37298</v>
      </c>
    </row>
    <row r="3882" spans="1:7" x14ac:dyDescent="0.2">
      <c r="A3882" t="s" s="0">
        <v>115</v>
      </c>
      <c r="B3882" s="3">
        <v>1556346</v>
      </c>
      <c r="C3882" s="3">
        <v>35792</v>
      </c>
      <c r="D3882" s="3">
        <v>33385</v>
      </c>
      <c r="E3882" s="3">
        <v>38138</v>
      </c>
      <c r="F3882" s="3">
        <v>40150</v>
      </c>
      <c r="G3882" s="3">
        <v>37298</v>
      </c>
    </row>
    <row r="3883" spans="1:7" x14ac:dyDescent="0.2">
      <c r="A3883" t="s" s="0">
        <v>114</v>
      </c>
      <c r="B3883" s="2">
        <v>1561771</v>
      </c>
      <c r="C3883" s="2">
        <v>25320</v>
      </c>
      <c r="D3883" s="2">
        <v>34264</v>
      </c>
      <c r="E3883" s="2">
        <v>37118</v>
      </c>
      <c r="F3883" s="2">
        <v>31731</v>
      </c>
      <c r="G3883" s="2">
        <v>37248</v>
      </c>
    </row>
    <row r="3884" spans="1:7" x14ac:dyDescent="0.2">
      <c r="A3884" t="s" s="0">
        <v>113</v>
      </c>
      <c r="B3884" s="2">
        <v>1627571</v>
      </c>
      <c r="C3884" s="2">
        <v>37494</v>
      </c>
      <c r="D3884" s="2">
        <v>32318</v>
      </c>
      <c r="E3884" s="2">
        <v>37305</v>
      </c>
      <c r="F3884" s="2">
        <v>40303</v>
      </c>
      <c r="G3884" s="2">
        <v>40824</v>
      </c>
    </row>
    <row r="3885" spans="1:7" x14ac:dyDescent="0.2">
      <c r="A3885" t="s" s="0">
        <v>112</v>
      </c>
      <c r="B3885" s="2">
        <v>1590641</v>
      </c>
      <c r="C3885" s="2">
        <v>27315</v>
      </c>
      <c r="D3885" s="2">
        <v>32297</v>
      </c>
      <c r="E3885" s="2">
        <v>37455</v>
      </c>
      <c r="F3885" s="2">
        <v>30982</v>
      </c>
      <c r="G3885" s="2">
        <v>38315</v>
      </c>
    </row>
    <row r="3886" spans="1:7" x14ac:dyDescent="0.2">
      <c r="A3886" t="s" s="0">
        <v>111</v>
      </c>
      <c r="B3886" s="2">
        <v>1567252</v>
      </c>
      <c r="C3886" s="2">
        <v>23410</v>
      </c>
      <c r="D3886" s="2">
        <v>32259</v>
      </c>
      <c r="E3886" s="2">
        <v>36996</v>
      </c>
      <c r="F3886" s="2">
        <v>30981</v>
      </c>
      <c r="G3886" s="2">
        <v>37251</v>
      </c>
    </row>
    <row r="3887" spans="1:7" x14ac:dyDescent="0.2">
      <c r="A3887" t="s" s="0">
        <v>110</v>
      </c>
      <c r="B3887" s="2">
        <v>1632447</v>
      </c>
      <c r="C3887" s="2">
        <v>30111</v>
      </c>
      <c r="D3887" s="2">
        <v>31447</v>
      </c>
      <c r="E3887" s="2">
        <v>34153</v>
      </c>
      <c r="F3887" s="2">
        <v>40567</v>
      </c>
      <c r="G3887" s="2">
        <v>38935</v>
      </c>
    </row>
    <row r="3888" spans="1:7" x14ac:dyDescent="0.2">
      <c r="A3888" t="s" s="0">
        <v>109</v>
      </c>
      <c r="B3888" s="3">
        <v>1632447</v>
      </c>
      <c r="C3888" s="3">
        <v>30111</v>
      </c>
      <c r="D3888" s="3">
        <v>31447</v>
      </c>
      <c r="E3888" s="3">
        <v>34153</v>
      </c>
      <c r="F3888" s="3">
        <v>40567</v>
      </c>
      <c r="G3888" s="3">
        <v>38935</v>
      </c>
    </row>
    <row r="3889" spans="1:7" x14ac:dyDescent="0.2">
      <c r="A3889" t="s" s="0">
        <v>108</v>
      </c>
      <c r="B3889" s="3">
        <v>1632447</v>
      </c>
      <c r="C3889" s="3">
        <v>30111</v>
      </c>
      <c r="D3889" s="3">
        <v>31447</v>
      </c>
      <c r="E3889" s="3">
        <v>34153</v>
      </c>
      <c r="F3889" s="3">
        <v>40567</v>
      </c>
      <c r="G3889" s="3">
        <v>38935</v>
      </c>
    </row>
    <row r="3890" spans="1:7" x14ac:dyDescent="0.2">
      <c r="A3890" t="s" s="0">
        <v>107</v>
      </c>
      <c r="B3890" s="2">
        <v>1629661</v>
      </c>
      <c r="C3890" s="2">
        <v>27363</v>
      </c>
      <c r="D3890" s="2">
        <v>33729</v>
      </c>
      <c r="E3890" s="2">
        <v>34990</v>
      </c>
      <c r="F3890" s="2">
        <v>41678</v>
      </c>
      <c r="G3890" s="2">
        <v>38604</v>
      </c>
    </row>
    <row r="3891" spans="1:7" x14ac:dyDescent="0.2">
      <c r="A3891" t="s" s="0">
        <v>106</v>
      </c>
      <c r="B3891" s="2">
        <v>1639033</v>
      </c>
      <c r="C3891" s="2">
        <v>40091</v>
      </c>
      <c r="D3891" s="2">
        <v>34100</v>
      </c>
      <c r="E3891" s="2">
        <v>35143</v>
      </c>
      <c r="F3891" s="2">
        <v>34233</v>
      </c>
      <c r="G3891" s="2">
        <v>38885</v>
      </c>
    </row>
    <row r="3892" spans="1:7" x14ac:dyDescent="0.2">
      <c r="A3892" t="s" s="0">
        <v>105</v>
      </c>
      <c r="B3892" s="2">
        <v>1630984</v>
      </c>
      <c r="C3892" s="2">
        <v>38208</v>
      </c>
      <c r="D3892" s="2">
        <v>34226</v>
      </c>
      <c r="E3892" s="2">
        <v>35149</v>
      </c>
      <c r="F3892" s="2">
        <v>38554</v>
      </c>
      <c r="G3892" s="2">
        <v>39962</v>
      </c>
    </row>
    <row r="3893" spans="1:7" x14ac:dyDescent="0.2">
      <c r="A3893" t="s" s="0">
        <v>104</v>
      </c>
      <c r="B3893" s="2">
        <v>1645558</v>
      </c>
      <c r="C3893" s="2">
        <v>40637</v>
      </c>
      <c r="D3893" s="2">
        <v>36687</v>
      </c>
      <c r="E3893" s="2">
        <v>35384</v>
      </c>
      <c r="F3893" s="2">
        <v>46436</v>
      </c>
      <c r="G3893" s="2">
        <v>39970</v>
      </c>
    </row>
    <row r="3894" spans="1:7" x14ac:dyDescent="0.2">
      <c r="A3894" t="s" s="0">
        <v>103</v>
      </c>
      <c r="B3894" s="2">
        <v>1631924</v>
      </c>
      <c r="C3894" s="2">
        <v>37132</v>
      </c>
      <c r="D3894" s="2">
        <v>38261</v>
      </c>
      <c r="E3894" s="2">
        <v>35500</v>
      </c>
      <c r="F3894" s="2">
        <v>37614</v>
      </c>
      <c r="G3894" s="2">
        <v>39870</v>
      </c>
    </row>
    <row r="3895" spans="1:7" x14ac:dyDescent="0.2">
      <c r="A3895" t="s" s="0">
        <v>102</v>
      </c>
      <c r="B3895" s="3">
        <v>1631924</v>
      </c>
      <c r="C3895" s="3">
        <v>37132</v>
      </c>
      <c r="D3895" s="3">
        <v>38261</v>
      </c>
      <c r="E3895" s="3">
        <v>35500</v>
      </c>
      <c r="F3895" s="3">
        <v>37614</v>
      </c>
      <c r="G3895" s="3">
        <v>39870</v>
      </c>
    </row>
    <row r="3896" spans="1:7" x14ac:dyDescent="0.2">
      <c r="A3896" t="s" s="0">
        <v>101</v>
      </c>
      <c r="B3896" s="3">
        <v>1631924</v>
      </c>
      <c r="C3896" s="3">
        <v>37132</v>
      </c>
      <c r="D3896" s="3">
        <v>38261</v>
      </c>
      <c r="E3896" s="3">
        <v>35500</v>
      </c>
      <c r="F3896" s="3">
        <v>37614</v>
      </c>
      <c r="G3896" s="3">
        <v>39870</v>
      </c>
    </row>
    <row r="3897" spans="1:7" x14ac:dyDescent="0.2">
      <c r="A3897" t="s" s="0">
        <v>100</v>
      </c>
      <c r="B3897" s="2">
        <v>1591464</v>
      </c>
      <c r="C3897" s="2">
        <v>25088</v>
      </c>
      <c r="D3897" s="2">
        <v>35069</v>
      </c>
      <c r="E3897" s="2">
        <v>35256</v>
      </c>
      <c r="F3897" s="2">
        <v>29031</v>
      </c>
      <c r="G3897" s="2">
        <v>38358</v>
      </c>
    </row>
    <row r="3898" spans="1:7" x14ac:dyDescent="0.2">
      <c r="A3898" t="s" s="0">
        <v>99</v>
      </c>
      <c r="B3898" s="2">
        <v>1614556</v>
      </c>
      <c r="C3898" s="2">
        <v>38129</v>
      </c>
      <c r="D3898" s="2">
        <v>35502</v>
      </c>
      <c r="E3898" s="2">
        <v>34401</v>
      </c>
      <c r="F3898" s="2">
        <v>30849</v>
      </c>
      <c r="G3898" s="2">
        <v>37107</v>
      </c>
    </row>
    <row r="3899" spans="1:7" x14ac:dyDescent="0.2">
      <c r="A3899" t="s" s="0">
        <v>98</v>
      </c>
      <c r="B3899" s="2">
        <v>1584204</v>
      </c>
      <c r="C3899" s="2">
        <v>38119</v>
      </c>
      <c r="D3899" s="2">
        <v>38632</v>
      </c>
      <c r="E3899" s="2">
        <v>35365</v>
      </c>
      <c r="F3899" s="2">
        <v>30849</v>
      </c>
      <c r="G3899" s="2">
        <v>36392</v>
      </c>
    </row>
    <row r="3900" spans="1:7" x14ac:dyDescent="0.2">
      <c r="A3900" t="s" s="0">
        <v>97</v>
      </c>
      <c r="B3900" s="2">
        <v>1573624</v>
      </c>
      <c r="C3900" s="2">
        <v>30676</v>
      </c>
      <c r="D3900" s="2">
        <v>37209</v>
      </c>
      <c r="E3900" s="2">
        <v>35355</v>
      </c>
      <c r="F3900" s="2">
        <v>25832</v>
      </c>
      <c r="G3900" s="2">
        <v>36036</v>
      </c>
    </row>
    <row r="3901" spans="1:7" x14ac:dyDescent="0.2">
      <c r="A3901" t="s" s="0">
        <v>96</v>
      </c>
      <c r="B3901" s="2">
        <v>1540750</v>
      </c>
      <c r="C3901" s="2">
        <v>37852</v>
      </c>
      <c r="D3901" s="2">
        <v>36741</v>
      </c>
      <c r="E3901" s="2">
        <v>34959</v>
      </c>
      <c r="F3901" s="2">
        <v>22217</v>
      </c>
      <c r="G3901" s="2">
        <v>35137</v>
      </c>
    </row>
    <row r="3902" spans="1:7" x14ac:dyDescent="0.2">
      <c r="A3902" t="s" s="0">
        <v>95</v>
      </c>
      <c r="B3902" s="3">
        <v>1540750</v>
      </c>
      <c r="C3902" s="3">
        <v>37852</v>
      </c>
      <c r="D3902" s="3">
        <v>36741</v>
      </c>
      <c r="E3902" s="3">
        <v>34959</v>
      </c>
      <c r="F3902" s="3">
        <v>22217</v>
      </c>
      <c r="G3902" s="3">
        <v>35137</v>
      </c>
    </row>
    <row r="3903" spans="1:7" x14ac:dyDescent="0.2">
      <c r="A3903" t="s" s="0">
        <v>94</v>
      </c>
      <c r="B3903" s="3">
        <v>1540750</v>
      </c>
      <c r="C3903" s="3">
        <v>37852</v>
      </c>
      <c r="D3903" s="3">
        <v>36741</v>
      </c>
      <c r="E3903" s="3">
        <v>34959</v>
      </c>
      <c r="F3903" s="3">
        <v>22217</v>
      </c>
      <c r="G3903" s="3">
        <v>35137</v>
      </c>
    </row>
    <row r="3904" spans="1:7" x14ac:dyDescent="0.2">
      <c r="A3904" t="s" s="0">
        <v>93</v>
      </c>
      <c r="B3904" s="2">
        <v>1554872</v>
      </c>
      <c r="C3904" s="2">
        <v>28886</v>
      </c>
      <c r="D3904" s="2">
        <v>38983</v>
      </c>
      <c r="E3904" s="2">
        <v>35511</v>
      </c>
      <c r="F3904" s="2">
        <v>32262</v>
      </c>
      <c r="G3904" s="2">
        <v>33675</v>
      </c>
    </row>
    <row r="3905" spans="1:7" x14ac:dyDescent="0.2">
      <c r="A3905" t="s" s="0">
        <v>92</v>
      </c>
      <c r="B3905" s="2">
        <v>1506402</v>
      </c>
      <c r="C3905" s="2">
        <v>39110</v>
      </c>
      <c r="D3905" s="2">
        <v>39838</v>
      </c>
      <c r="E3905" s="2">
        <v>35440</v>
      </c>
      <c r="F3905" s="2">
        <v>23603</v>
      </c>
      <c r="G3905" s="2">
        <v>32247</v>
      </c>
    </row>
    <row r="3906" spans="1:7" x14ac:dyDescent="0.2">
      <c r="A3906" t="s" s="0">
        <v>91</v>
      </c>
      <c r="B3906" s="2">
        <v>1493247</v>
      </c>
      <c r="C3906" s="2">
        <v>43225</v>
      </c>
      <c r="D3906" s="2">
        <v>37424</v>
      </c>
      <c r="E3906" s="2">
        <v>35645</v>
      </c>
      <c r="F3906" s="2">
        <v>23606</v>
      </c>
      <c r="G3906" s="2">
        <v>30998</v>
      </c>
    </row>
    <row r="3907" spans="1:7" x14ac:dyDescent="0.2">
      <c r="A3907" t="s" s="0">
        <v>90</v>
      </c>
      <c r="B3907" s="2">
        <v>1579101</v>
      </c>
      <c r="C3907" s="2">
        <v>44074</v>
      </c>
      <c r="D3907" s="2">
        <v>39338</v>
      </c>
      <c r="E3907" s="2">
        <v>36374</v>
      </c>
      <c r="F3907" s="2">
        <v>39294</v>
      </c>
      <c r="G3907" s="2">
        <v>35636</v>
      </c>
    </row>
    <row r="3908" spans="1:7" x14ac:dyDescent="0.2">
      <c r="A3908" t="s" s="0">
        <v>89</v>
      </c>
      <c r="B3908" s="2">
        <v>1550155</v>
      </c>
      <c r="C3908" s="2">
        <v>39459</v>
      </c>
      <c r="D3908" s="2">
        <v>42142</v>
      </c>
      <c r="E3908" s="2">
        <v>37148</v>
      </c>
      <c r="F3908" s="2">
        <v>42841</v>
      </c>
      <c r="G3908" s="2">
        <v>35810</v>
      </c>
    </row>
    <row r="3909" spans="1:7" x14ac:dyDescent="0.2">
      <c r="A3909" t="s" s="0">
        <v>88</v>
      </c>
      <c r="B3909" s="3">
        <v>1550155</v>
      </c>
      <c r="C3909" s="3">
        <v>39459</v>
      </c>
      <c r="D3909" s="3">
        <v>42142</v>
      </c>
      <c r="E3909" s="3">
        <v>37148</v>
      </c>
      <c r="F3909" s="3">
        <v>42841</v>
      </c>
      <c r="G3909" s="3">
        <v>35810</v>
      </c>
    </row>
    <row r="3910" spans="1:7" x14ac:dyDescent="0.2">
      <c r="A3910" t="s" s="0">
        <v>87</v>
      </c>
      <c r="B3910" s="3">
        <v>1550155</v>
      </c>
      <c r="C3910" s="3">
        <v>39459</v>
      </c>
      <c r="D3910" s="3">
        <v>42142</v>
      </c>
      <c r="E3910" s="3">
        <v>37148</v>
      </c>
      <c r="F3910" s="3">
        <v>42841</v>
      </c>
      <c r="G3910" s="3">
        <v>35810</v>
      </c>
    </row>
    <row r="3911" spans="1:7" x14ac:dyDescent="0.2">
      <c r="A3911" t="s" s="0">
        <v>86</v>
      </c>
      <c r="B3911" s="2">
        <v>1423852</v>
      </c>
      <c r="C3911" s="2">
        <v>27012</v>
      </c>
      <c r="D3911" s="2">
        <v>45752</v>
      </c>
      <c r="E3911" s="2">
        <v>38383</v>
      </c>
      <c r="F3911" s="2">
        <v>26389</v>
      </c>
      <c r="G3911" s="2">
        <v>32340</v>
      </c>
    </row>
    <row r="3912" spans="1:7" x14ac:dyDescent="0.2">
      <c r="A3912" t="s" s="0">
        <v>85</v>
      </c>
      <c r="B3912" s="2">
        <v>1105534</v>
      </c>
      <c r="C3912" s="2">
        <v>28480</v>
      </c>
      <c r="D3912" s="2">
        <v>44092</v>
      </c>
      <c r="E3912" s="2">
        <v>38383</v>
      </c>
      <c r="F3912" s="2">
        <v>14285</v>
      </c>
      <c r="G3912" s="2">
        <v>18600</v>
      </c>
    </row>
    <row r="3913" spans="1:7" x14ac:dyDescent="0.2">
      <c r="A3913" t="s" s="0">
        <v>84</v>
      </c>
      <c r="B3913" s="2">
        <v>847823</v>
      </c>
      <c r="C3913" s="2">
        <v>20053</v>
      </c>
      <c r="D3913" s="2">
        <v>40782</v>
      </c>
      <c r="E3913" s="2">
        <v>37766</v>
      </c>
      <c r="F3913" s="2">
        <v>52530</v>
      </c>
      <c r="G3913" s="2">
        <v>10120</v>
      </c>
    </row>
    <row r="3914" spans="1:7" x14ac:dyDescent="0.2">
      <c r="A3914" t="s" s="0">
        <v>83</v>
      </c>
      <c r="B3914" s="2">
        <v>706530</v>
      </c>
      <c r="C3914" s="2">
        <v>17484</v>
      </c>
      <c r="D3914" s="2">
        <v>36983</v>
      </c>
      <c r="E3914" s="2">
        <v>37555</v>
      </c>
      <c r="F3914" s="2">
        <v>88775</v>
      </c>
      <c r="G3914" s="2">
        <v>5697</v>
      </c>
    </row>
    <row r="3915" spans="1:7" x14ac:dyDescent="0.2">
      <c r="A3915" t="s" s="0">
        <v>82</v>
      </c>
      <c r="B3915" s="2">
        <v>704076</v>
      </c>
      <c r="C3915" s="2">
        <v>17922</v>
      </c>
      <c r="D3915" s="2">
        <v>31332</v>
      </c>
      <c r="E3915" s="2">
        <v>37119</v>
      </c>
      <c r="F3915" s="2">
        <v>90847</v>
      </c>
      <c r="G3915" s="2">
        <v>2956</v>
      </c>
    </row>
    <row r="3916" spans="1:7" x14ac:dyDescent="0.2">
      <c r="A3916" t="s" s="0">
        <v>81</v>
      </c>
      <c r="B3916" s="3">
        <v>704076</v>
      </c>
      <c r="C3916" s="3">
        <v>17922</v>
      </c>
      <c r="D3916" s="3">
        <v>31332</v>
      </c>
      <c r="E3916" s="3">
        <v>37119</v>
      </c>
      <c r="F3916" s="3">
        <v>90847</v>
      </c>
      <c r="G3916" s="3">
        <v>2956</v>
      </c>
    </row>
    <row r="3917" spans="1:7" x14ac:dyDescent="0.2">
      <c r="A3917" t="s" s="0">
        <v>80</v>
      </c>
      <c r="B3917" s="3">
        <v>704076</v>
      </c>
      <c r="C3917" s="3">
        <v>17922</v>
      </c>
      <c r="D3917" s="3">
        <v>31332</v>
      </c>
      <c r="E3917" s="3">
        <v>37119</v>
      </c>
      <c r="F3917" s="3">
        <v>90847</v>
      </c>
      <c r="G3917" s="3">
        <v>2956</v>
      </c>
    </row>
    <row r="3918" spans="1:7" x14ac:dyDescent="0.2">
      <c r="A3918" t="s" s="0">
        <v>79</v>
      </c>
      <c r="B3918" s="2">
        <v>718834</v>
      </c>
      <c r="C3918" s="2">
        <v>13590</v>
      </c>
      <c r="D3918" s="2">
        <v>19734</v>
      </c>
      <c r="E3918" s="2">
        <v>34885</v>
      </c>
      <c r="F3918" s="2">
        <v>82289</v>
      </c>
      <c r="G3918" s="2">
        <v>1348</v>
      </c>
    </row>
    <row r="3919" spans="1:7" x14ac:dyDescent="0.2">
      <c r="A3919" t="s" s="0">
        <v>78</v>
      </c>
      <c r="B3919" s="2">
        <v>723906</v>
      </c>
      <c r="C3919" s="2">
        <v>17826</v>
      </c>
      <c r="D3919" s="2">
        <v>17642</v>
      </c>
      <c r="E3919" s="2">
        <v>34269</v>
      </c>
      <c r="F3919" s="2">
        <v>37614</v>
      </c>
      <c r="G3919" s="2">
        <v>638</v>
      </c>
    </row>
    <row r="3920" spans="1:7" x14ac:dyDescent="0.2">
      <c r="A3920" t="s" s="0">
        <v>77</v>
      </c>
      <c r="B3920" s="2">
        <v>702234</v>
      </c>
      <c r="C3920" s="2">
        <v>21631</v>
      </c>
      <c r="D3920" s="2">
        <v>17868</v>
      </c>
      <c r="E3920" s="2">
        <v>33677</v>
      </c>
      <c r="F3920" s="2">
        <v>3667</v>
      </c>
      <c r="G3920" s="2">
        <v>436</v>
      </c>
    </row>
    <row r="3921" spans="1:7" x14ac:dyDescent="0.2">
      <c r="A3921" t="s" s="0">
        <v>76</v>
      </c>
      <c r="B3921" s="2">
        <v>680279</v>
      </c>
      <c r="C3921" s="2">
        <v>21615</v>
      </c>
      <c r="D3921" s="2">
        <v>18458</v>
      </c>
      <c r="E3921" s="2">
        <v>32997</v>
      </c>
      <c r="F3921" s="2">
        <v>13970</v>
      </c>
      <c r="G3921" s="2">
        <v>2419</v>
      </c>
    </row>
    <row r="3922" spans="1:7" x14ac:dyDescent="0.2">
      <c r="A3922" t="s" s="0">
        <v>75</v>
      </c>
      <c r="B3922" s="2">
        <v>650294</v>
      </c>
      <c r="C3922" s="2">
        <v>22960</v>
      </c>
      <c r="D3922" s="2">
        <v>20748</v>
      </c>
      <c r="E3922" s="2">
        <v>32741</v>
      </c>
      <c r="F3922" s="2">
        <v>12481</v>
      </c>
      <c r="G3922" s="2">
        <v>3327</v>
      </c>
    </row>
    <row r="3923" spans="1:7" x14ac:dyDescent="0.2">
      <c r="A3923" t="s" s="0">
        <v>74</v>
      </c>
      <c r="B3923" s="3">
        <v>650294</v>
      </c>
      <c r="C3923" s="3">
        <v>22960</v>
      </c>
      <c r="D3923" s="3">
        <v>20748</v>
      </c>
      <c r="E3923" s="3">
        <v>32741</v>
      </c>
      <c r="F3923" s="3">
        <v>12481</v>
      </c>
      <c r="G3923" s="3">
        <v>3327</v>
      </c>
    </row>
    <row r="3924" spans="1:7" x14ac:dyDescent="0.2">
      <c r="A3924" t="s" s="0">
        <v>73</v>
      </c>
      <c r="B3924" s="3">
        <v>650294</v>
      </c>
      <c r="C3924" s="3">
        <v>22960</v>
      </c>
      <c r="D3924" s="3">
        <v>20748</v>
      </c>
      <c r="E3924" s="3">
        <v>32741</v>
      </c>
      <c r="F3924" s="3">
        <v>12481</v>
      </c>
      <c r="G3924" s="3">
        <v>3327</v>
      </c>
    </row>
    <row r="3925" spans="1:7" x14ac:dyDescent="0.2">
      <c r="A3925" t="s" s="0">
        <v>72</v>
      </c>
      <c r="B3925" s="2">
        <v>534244</v>
      </c>
      <c r="C3925" s="2">
        <v>18623</v>
      </c>
      <c r="D3925" s="2">
        <v>23010</v>
      </c>
      <c r="E3925" s="2">
        <v>31870</v>
      </c>
      <c r="F3925" s="2">
        <v>3944</v>
      </c>
      <c r="G3925" s="2">
        <v>6895</v>
      </c>
    </row>
    <row r="3926" spans="1:7" x14ac:dyDescent="0.2">
      <c r="A3926" t="s" s="0">
        <v>71</v>
      </c>
      <c r="B3926" s="2">
        <v>544202</v>
      </c>
      <c r="C3926" s="2">
        <v>22472</v>
      </c>
      <c r="D3926" s="2">
        <v>24387</v>
      </c>
      <c r="E3926" s="2">
        <v>31490</v>
      </c>
      <c r="F3926" s="2">
        <v>2286</v>
      </c>
      <c r="G3926" s="2">
        <v>7645</v>
      </c>
    </row>
    <row r="3927" spans="1:7" x14ac:dyDescent="0.2">
      <c r="A3927" t="s" s="0">
        <v>70</v>
      </c>
      <c r="B3927" s="2">
        <v>519595</v>
      </c>
      <c r="C3927" s="2">
        <v>21547</v>
      </c>
      <c r="D3927" s="2">
        <v>24375</v>
      </c>
      <c r="E3927" s="2">
        <v>30112</v>
      </c>
      <c r="F3927" s="2">
        <v>2717</v>
      </c>
      <c r="G3927" s="2">
        <v>8827</v>
      </c>
    </row>
    <row r="3928" spans="1:7" x14ac:dyDescent="0.2">
      <c r="A3928" t="s" s="0">
        <v>69</v>
      </c>
      <c r="B3928" s="2">
        <v>501158</v>
      </c>
      <c r="C3928" s="2">
        <v>18471</v>
      </c>
      <c r="D3928" s="2">
        <v>23926</v>
      </c>
      <c r="E3928" s="2">
        <v>29676</v>
      </c>
      <c r="F3928" s="2">
        <v>2663</v>
      </c>
      <c r="G3928" s="2">
        <v>9543</v>
      </c>
    </row>
    <row r="3929" spans="1:7" x14ac:dyDescent="0.2">
      <c r="A3929" t="s" s="0">
        <v>68</v>
      </c>
      <c r="B3929" s="2">
        <v>483482</v>
      </c>
      <c r="C3929" s="2">
        <v>18746</v>
      </c>
      <c r="D3929" s="2">
        <v>21753</v>
      </c>
      <c r="E3929" s="2">
        <v>28994</v>
      </c>
      <c r="F3929" s="2">
        <v>2670</v>
      </c>
      <c r="G3929" s="2">
        <v>9549</v>
      </c>
    </row>
    <row r="3930" spans="1:7" x14ac:dyDescent="0.2">
      <c r="A3930" t="s" s="0">
        <v>67</v>
      </c>
      <c r="B3930" s="3">
        <v>483482</v>
      </c>
      <c r="C3930" s="3">
        <v>18746</v>
      </c>
      <c r="D3930" s="3">
        <v>21753</v>
      </c>
      <c r="E3930" s="3">
        <v>28994</v>
      </c>
      <c r="F3930" s="3">
        <v>2670</v>
      </c>
      <c r="G3930" s="3">
        <v>9549</v>
      </c>
    </row>
    <row r="3931" spans="1:7" x14ac:dyDescent="0.2">
      <c r="A3931" t="s" s="0">
        <v>66</v>
      </c>
      <c r="B3931" s="3">
        <v>483482</v>
      </c>
      <c r="C3931" s="3">
        <v>18746</v>
      </c>
      <c r="D3931" s="3">
        <v>21753</v>
      </c>
      <c r="E3931" s="3">
        <v>28994</v>
      </c>
      <c r="F3931" s="3">
        <v>2670</v>
      </c>
      <c r="G3931" s="3">
        <v>9549</v>
      </c>
    </row>
    <row r="3932" spans="1:7" x14ac:dyDescent="0.2">
      <c r="A3932" t="s" s="0">
        <v>65</v>
      </c>
      <c r="B3932" s="2">
        <v>482551</v>
      </c>
      <c r="C3932" s="2">
        <v>13513</v>
      </c>
      <c r="D3932" s="2">
        <v>19837</v>
      </c>
      <c r="E3932" s="2">
        <v>27083</v>
      </c>
      <c r="F3932" s="2">
        <v>11858</v>
      </c>
      <c r="G3932" s="2">
        <v>11996</v>
      </c>
    </row>
    <row r="3933" spans="1:7" x14ac:dyDescent="0.2">
      <c r="A3933" t="s" s="0">
        <v>64</v>
      </c>
      <c r="B3933" s="2">
        <v>459839</v>
      </c>
      <c r="C3933" s="2">
        <v>18838</v>
      </c>
      <c r="D3933" s="2">
        <v>18602</v>
      </c>
      <c r="E3933" s="2">
        <v>26181</v>
      </c>
      <c r="F3933" s="2">
        <v>6200</v>
      </c>
      <c r="G3933" s="2">
        <v>11996</v>
      </c>
    </row>
    <row r="3934" spans="1:7" x14ac:dyDescent="0.2">
      <c r="A3934" t="s" s="0">
        <v>63</v>
      </c>
      <c r="B3934" s="2">
        <v>437619</v>
      </c>
      <c r="C3934" s="2">
        <v>20012</v>
      </c>
      <c r="D3934" s="2">
        <v>18740</v>
      </c>
      <c r="E3934" s="2">
        <v>25441</v>
      </c>
      <c r="F3934" s="2">
        <v>6637</v>
      </c>
      <c r="G3934" s="2">
        <v>13069</v>
      </c>
    </row>
    <row r="3935" spans="1:7" x14ac:dyDescent="0.2">
      <c r="A3935" t="s" s="0">
        <v>62</v>
      </c>
      <c r="B3935" s="2">
        <v>470475</v>
      </c>
      <c r="C3935" s="2">
        <v>15166</v>
      </c>
      <c r="D3935" s="2">
        <v>18554</v>
      </c>
      <c r="E3935" s="2">
        <v>24480</v>
      </c>
      <c r="F3935" s="2">
        <v>13779</v>
      </c>
      <c r="G3935" s="2">
        <v>15922</v>
      </c>
    </row>
    <row r="3936" spans="1:7" x14ac:dyDescent="0.2">
      <c r="A3936" t="s" s="0">
        <v>61</v>
      </c>
      <c r="B3936" s="2">
        <v>445067</v>
      </c>
      <c r="C3936" s="2">
        <v>17029</v>
      </c>
      <c r="D3936" s="2">
        <v>19876</v>
      </c>
      <c r="E3936" s="2">
        <v>23427</v>
      </c>
      <c r="F3936" s="2">
        <v>13859</v>
      </c>
      <c r="G3936" s="2">
        <v>16794</v>
      </c>
    </row>
    <row r="3937" spans="1:7" x14ac:dyDescent="0.2">
      <c r="A3937" t="s" s="0">
        <v>60</v>
      </c>
      <c r="B3937" s="3">
        <v>445067</v>
      </c>
      <c r="C3937" s="3">
        <v>17029</v>
      </c>
      <c r="D3937" s="3">
        <v>19876</v>
      </c>
      <c r="E3937" s="3">
        <v>23427</v>
      </c>
      <c r="F3937" s="3">
        <v>13859</v>
      </c>
      <c r="G3937" s="3">
        <v>16794</v>
      </c>
    </row>
    <row r="3938" spans="1:7" x14ac:dyDescent="0.2">
      <c r="A3938" t="s" s="0">
        <v>59</v>
      </c>
      <c r="B3938" s="3">
        <v>445067</v>
      </c>
      <c r="C3938" s="3">
        <v>17029</v>
      </c>
      <c r="D3938" s="3">
        <v>19876</v>
      </c>
      <c r="E3938" s="3">
        <v>23427</v>
      </c>
      <c r="F3938" s="3">
        <v>13859</v>
      </c>
      <c r="G3938" s="3">
        <v>16794</v>
      </c>
    </row>
    <row r="3939" spans="1:7" x14ac:dyDescent="0.2">
      <c r="A3939" t="s" s="0">
        <v>58</v>
      </c>
      <c r="B3939" s="2">
        <v>387299</v>
      </c>
      <c r="C3939" s="2">
        <v>14485</v>
      </c>
      <c r="D3939" s="2">
        <v>21331</v>
      </c>
      <c r="E3939" s="2">
        <v>20978</v>
      </c>
      <c r="F3939" s="2">
        <v>7196</v>
      </c>
      <c r="G3939" s="2">
        <v>16795</v>
      </c>
    </row>
    <row r="3940" spans="1:7" x14ac:dyDescent="0.2">
      <c r="A3940" t="s" s="0">
        <v>57</v>
      </c>
      <c r="B3940" s="2">
        <v>357649</v>
      </c>
      <c r="C3940" s="2">
        <v>22369</v>
      </c>
      <c r="D3940" s="2">
        <v>22552</v>
      </c>
      <c r="E3940" s="2">
        <v>20796</v>
      </c>
      <c r="F3940" s="2">
        <v>7196</v>
      </c>
      <c r="G3940" s="2">
        <v>6626</v>
      </c>
    </row>
    <row r="3941" spans="1:7" x14ac:dyDescent="0.2">
      <c r="A3941" t="s" s="0">
        <v>56</v>
      </c>
      <c r="B3941" s="2">
        <v>336748</v>
      </c>
      <c r="C3941" s="2">
        <v>20938</v>
      </c>
      <c r="D3941" s="2">
        <v>22327</v>
      </c>
      <c r="E3941" s="2">
        <v>20827</v>
      </c>
      <c r="F3941" s="2">
        <v>7201</v>
      </c>
      <c r="G3941" s="2">
        <v>1863</v>
      </c>
    </row>
    <row r="3942" spans="1:7" x14ac:dyDescent="0.2">
      <c r="A3942" t="s" s="0">
        <v>55</v>
      </c>
      <c r="B3942" s="2">
        <v>304374</v>
      </c>
      <c r="C3942" s="2">
        <v>22604</v>
      </c>
      <c r="D3942" s="2">
        <v>23103</v>
      </c>
      <c r="E3942" s="2">
        <v>21010</v>
      </c>
      <c r="F3942" s="2">
        <v>1342</v>
      </c>
      <c r="G3942" s="2">
        <v>5936</v>
      </c>
    </row>
    <row r="3943" spans="1:7" x14ac:dyDescent="0.2">
      <c r="A3943" t="s" s="0">
        <v>54</v>
      </c>
      <c r="B3943" s="2">
        <v>330407</v>
      </c>
      <c r="C3943" s="2">
        <v>19280</v>
      </c>
      <c r="D3943" s="2">
        <v>21857</v>
      </c>
      <c r="E3943" s="2">
        <v>21059</v>
      </c>
      <c r="F3943" s="2">
        <v>4950</v>
      </c>
      <c r="G3943" s="2">
        <v>7155</v>
      </c>
    </row>
    <row r="3944" spans="1:7" x14ac:dyDescent="0.2">
      <c r="A3944" t="s" s="0">
        <v>53</v>
      </c>
      <c r="B3944" s="3">
        <v>330407</v>
      </c>
      <c r="C3944" s="3">
        <v>19280</v>
      </c>
      <c r="D3944" s="3">
        <v>21857</v>
      </c>
      <c r="E3944" s="3">
        <v>21059</v>
      </c>
      <c r="F3944" s="3">
        <v>4950</v>
      </c>
      <c r="G3944" s="3">
        <v>7155</v>
      </c>
    </row>
    <row r="3945" spans="1:7" x14ac:dyDescent="0.2">
      <c r="A3945" t="s" s="0">
        <v>52</v>
      </c>
      <c r="B3945" s="3">
        <v>330407</v>
      </c>
      <c r="C3945" s="3">
        <v>19280</v>
      </c>
      <c r="D3945" s="3">
        <v>21857</v>
      </c>
      <c r="E3945" s="3">
        <v>21059</v>
      </c>
      <c r="F3945" s="3">
        <v>4950</v>
      </c>
      <c r="G3945" s="3">
        <v>7155</v>
      </c>
    </row>
    <row r="3946" spans="1:7" x14ac:dyDescent="0.2">
      <c r="A3946" t="s" s="0">
        <v>51</v>
      </c>
      <c r="B3946" s="2">
        <v>277408</v>
      </c>
      <c r="C3946" s="2">
        <v>17402</v>
      </c>
      <c r="D3946" s="2">
        <v>21176</v>
      </c>
      <c r="E3946" s="2">
        <v>21339</v>
      </c>
      <c r="F3946" s="2">
        <v>4950</v>
      </c>
      <c r="G3946" s="2">
        <v>5015</v>
      </c>
    </row>
    <row r="3947" spans="1:7" x14ac:dyDescent="0.2">
      <c r="A3947" t="s" s="0">
        <v>50</v>
      </c>
      <c r="B3947" s="2">
        <v>240431</v>
      </c>
      <c r="C3947" s="2">
        <v>22721</v>
      </c>
      <c r="D3947" s="2">
        <v>21940</v>
      </c>
      <c r="E3947" s="2">
        <v>21870</v>
      </c>
      <c r="F3947" s="2">
        <v>4949</v>
      </c>
      <c r="G3947" s="2">
        <v>4015</v>
      </c>
    </row>
    <row r="3948" spans="1:7" x14ac:dyDescent="0.2">
      <c r="A3948" t="s" s="0">
        <v>49</v>
      </c>
      <c r="B3948" s="2">
        <v>280767</v>
      </c>
      <c r="C3948" s="2">
        <v>22223</v>
      </c>
      <c r="D3948" s="2">
        <v>22123</v>
      </c>
      <c r="E3948" s="2">
        <v>21891</v>
      </c>
      <c r="F3948" s="2">
        <v>13880</v>
      </c>
      <c r="G3948" s="2">
        <v>6250</v>
      </c>
    </row>
    <row r="3949" spans="1:7" x14ac:dyDescent="0.2">
      <c r="A3949" t="s" s="0">
        <v>48</v>
      </c>
      <c r="B3949" s="2">
        <v>281559</v>
      </c>
      <c r="C3949" s="2">
        <v>19327</v>
      </c>
      <c r="D3949" s="2">
        <v>21655</v>
      </c>
      <c r="E3949" s="2">
        <v>21810</v>
      </c>
      <c r="F3949" s="2">
        <v>18151</v>
      </c>
      <c r="G3949" s="2">
        <v>6981</v>
      </c>
    </row>
    <row r="3950" spans="1:7" x14ac:dyDescent="0.2">
      <c r="A3950" t="s" s="0">
        <v>47</v>
      </c>
      <c r="B3950" s="2">
        <v>262233</v>
      </c>
      <c r="C3950" s="2">
        <v>19859</v>
      </c>
      <c r="D3950" s="2">
        <v>21738</v>
      </c>
      <c r="E3950" s="2">
        <v>21306</v>
      </c>
      <c r="F3950" s="2">
        <v>11801</v>
      </c>
      <c r="G3950" s="2">
        <v>6985</v>
      </c>
    </row>
    <row r="3951" spans="1:7" x14ac:dyDescent="0.2">
      <c r="A3951" t="s" s="0">
        <v>46</v>
      </c>
      <c r="B3951" s="3">
        <v>262233</v>
      </c>
      <c r="C3951" s="3">
        <v>19859</v>
      </c>
      <c r="D3951" s="3">
        <v>21738</v>
      </c>
      <c r="E3951" s="3">
        <v>21306</v>
      </c>
      <c r="F3951" s="3">
        <v>11801</v>
      </c>
      <c r="G3951" s="3">
        <v>6985</v>
      </c>
    </row>
    <row r="3952" spans="1:7" x14ac:dyDescent="0.2">
      <c r="A3952" t="s" s="0">
        <v>45</v>
      </c>
      <c r="B3952" s="3">
        <v>262233</v>
      </c>
      <c r="C3952" s="3">
        <v>19859</v>
      </c>
      <c r="D3952" s="3">
        <v>21738</v>
      </c>
      <c r="E3952" s="3">
        <v>21306</v>
      </c>
      <c r="F3952" s="3">
        <v>11801</v>
      </c>
      <c r="G3952" s="3">
        <v>6985</v>
      </c>
    </row>
    <row r="3953" spans="1:7" x14ac:dyDescent="0.2">
      <c r="A3953" t="s" s="0">
        <v>44</v>
      </c>
      <c r="B3953" s="2">
        <v>197800</v>
      </c>
      <c r="C3953" s="2">
        <v>21046</v>
      </c>
      <c r="D3953" s="2">
        <v>23372</v>
      </c>
      <c r="E3953" s="2">
        <v>21429</v>
      </c>
      <c r="F3953" s="2">
        <v>11801</v>
      </c>
      <c r="G3953" s="2">
        <v>8951</v>
      </c>
    </row>
    <row r="3954" spans="1:7" x14ac:dyDescent="0.2">
      <c r="A3954" t="s" s="0">
        <v>43</v>
      </c>
      <c r="B3954" s="2">
        <v>231765</v>
      </c>
      <c r="C3954" s="2">
        <v>16011</v>
      </c>
      <c r="D3954" s="2">
        <v>20269</v>
      </c>
      <c r="E3954" s="2">
        <v>20841</v>
      </c>
      <c r="F3954" s="2">
        <v>18936</v>
      </c>
      <c r="G3954" s="2">
        <v>9320</v>
      </c>
    </row>
    <row r="3955" spans="1:7" x14ac:dyDescent="0.2">
      <c r="A3955" t="s" s="0">
        <v>42</v>
      </c>
      <c r="B3955" s="2">
        <v>231630</v>
      </c>
      <c r="C3955" s="2">
        <v>20590</v>
      </c>
      <c r="D3955" s="2">
        <v>20036</v>
      </c>
      <c r="E3955" s="2">
        <v>20807</v>
      </c>
      <c r="F3955" s="2">
        <v>12923</v>
      </c>
      <c r="G3955" s="2">
        <v>10160</v>
      </c>
    </row>
    <row r="3956" spans="1:7" x14ac:dyDescent="0.2">
      <c r="A3956" t="s" s="0">
        <v>41</v>
      </c>
      <c r="B3956" s="2">
        <v>260173</v>
      </c>
      <c r="C3956" s="2">
        <v>11151</v>
      </c>
      <c r="D3956" s="2">
        <v>18868</v>
      </c>
      <c r="E3956" s="2">
        <v>20545</v>
      </c>
      <c r="F3956" s="2">
        <v>15551</v>
      </c>
      <c r="G3956" s="2">
        <v>11535</v>
      </c>
    </row>
    <row r="3957" spans="1:7" x14ac:dyDescent="0.2">
      <c r="A3957" t="s" s="0">
        <v>40</v>
      </c>
      <c r="B3957" s="2">
        <v>758031</v>
      </c>
      <c r="C3957" s="2">
        <v>19477</v>
      </c>
      <c r="D3957" s="2">
        <v>18814</v>
      </c>
      <c r="E3957" s="2">
        <v>20571</v>
      </c>
      <c r="F3957" s="2">
        <v>89453</v>
      </c>
      <c r="G3957" s="2">
        <v>30016</v>
      </c>
    </row>
    <row r="3958" spans="1:7" x14ac:dyDescent="0.2">
      <c r="A3958" t="s" s="0">
        <v>39</v>
      </c>
      <c r="B3958" s="3">
        <v>758031</v>
      </c>
      <c r="C3958" s="3">
        <v>19477</v>
      </c>
      <c r="D3958" s="3">
        <v>18814</v>
      </c>
      <c r="E3958" s="3">
        <v>20571</v>
      </c>
      <c r="F3958" s="3">
        <v>89453</v>
      </c>
      <c r="G3958" s="3">
        <v>30016</v>
      </c>
    </row>
    <row r="3959" spans="1:7" x14ac:dyDescent="0.2">
      <c r="A3959" t="s" s="0">
        <v>38</v>
      </c>
      <c r="B3959" s="3">
        <v>758031</v>
      </c>
      <c r="C3959" s="3">
        <v>19477</v>
      </c>
      <c r="D3959" s="3">
        <v>18814</v>
      </c>
      <c r="E3959" s="3">
        <v>20571</v>
      </c>
      <c r="F3959" s="3">
        <v>89453</v>
      </c>
      <c r="G3959" s="3">
        <v>30016</v>
      </c>
    </row>
    <row r="3960" spans="1:7" x14ac:dyDescent="0.2">
      <c r="A3960" t="s" s="0">
        <v>37</v>
      </c>
      <c r="B3960" s="2">
        <v>756618</v>
      </c>
      <c r="C3960" s="2">
        <v>26660</v>
      </c>
      <c r="D3960" s="2">
        <v>23665</v>
      </c>
      <c r="E3960" s="2">
        <v>22386</v>
      </c>
      <c r="F3960" s="2">
        <v>103312</v>
      </c>
      <c r="G3960" s="2">
        <v>31815</v>
      </c>
    </row>
    <row r="3961" spans="1:7" x14ac:dyDescent="0.2">
      <c r="A3961" t="s" s="0">
        <v>36</v>
      </c>
      <c r="B3961" s="2">
        <v>724490</v>
      </c>
      <c r="C3961" s="2">
        <v>31881</v>
      </c>
      <c r="D3961" s="2">
        <v>26577</v>
      </c>
      <c r="E3961" s="2">
        <v>22835</v>
      </c>
      <c r="F3961" s="2">
        <v>96707</v>
      </c>
      <c r="G3961" s="2">
        <v>31947</v>
      </c>
    </row>
    <row r="3962" spans="1:7" x14ac:dyDescent="0.2">
      <c r="A3962" t="s" s="0">
        <v>35</v>
      </c>
      <c r="B3962" s="2">
        <v>703958</v>
      </c>
      <c r="C3962" s="2">
        <v>46664</v>
      </c>
      <c r="D3962" s="2">
        <v>30302</v>
      </c>
      <c r="E3962" s="2">
        <v>23697</v>
      </c>
      <c r="F3962" s="2">
        <v>97517</v>
      </c>
      <c r="G3962" s="2">
        <v>32880</v>
      </c>
    </row>
    <row r="3963" spans="1:7" x14ac:dyDescent="0.2">
      <c r="A3963" t="s" s="0">
        <v>34</v>
      </c>
      <c r="B3963" s="2">
        <v>766179</v>
      </c>
      <c r="C3963" s="2">
        <v>41815</v>
      </c>
      <c r="D3963" s="2">
        <v>34683</v>
      </c>
      <c r="E3963" s="2">
        <v>24577</v>
      </c>
      <c r="F3963" s="2">
        <v>106768</v>
      </c>
      <c r="G3963" s="2">
        <v>34782</v>
      </c>
    </row>
    <row r="3964" spans="1:7" x14ac:dyDescent="0.2">
      <c r="A3964" t="s" s="0">
        <v>33</v>
      </c>
      <c r="B3964" s="2">
        <v>841399</v>
      </c>
      <c r="C3964" s="2">
        <v>39063</v>
      </c>
      <c r="D3964" s="2">
        <v>39482</v>
      </c>
      <c r="E3964" s="2">
        <v>25473</v>
      </c>
      <c r="F3964" s="2">
        <v>51026</v>
      </c>
      <c r="G3964" s="2">
        <v>39308</v>
      </c>
    </row>
    <row r="3965" spans="1:7" x14ac:dyDescent="0.2">
      <c r="A3965" t="s" s="0">
        <v>32</v>
      </c>
      <c r="B3965" s="3">
        <v>841399</v>
      </c>
      <c r="C3965" s="3">
        <v>39063</v>
      </c>
      <c r="D3965" s="3">
        <v>39482</v>
      </c>
      <c r="E3965" s="3">
        <v>25473</v>
      </c>
      <c r="F3965" s="3">
        <v>51026</v>
      </c>
      <c r="G3965" s="3">
        <v>39308</v>
      </c>
    </row>
    <row r="3966" spans="1:7" x14ac:dyDescent="0.2">
      <c r="A3966" t="s" s="0">
        <v>31</v>
      </c>
      <c r="B3966" s="3">
        <v>841399</v>
      </c>
      <c r="C3966" s="3">
        <v>39063</v>
      </c>
      <c r="D3966" s="3">
        <v>39482</v>
      </c>
      <c r="E3966" s="3">
        <v>25473</v>
      </c>
      <c r="F3966" s="3">
        <v>51026</v>
      </c>
      <c r="G3966" s="3">
        <v>39308</v>
      </c>
    </row>
    <row r="3967" spans="1:7" x14ac:dyDescent="0.2">
      <c r="A3967" t="s" s="0">
        <v>30</v>
      </c>
      <c r="B3967" s="2">
        <v>948238</v>
      </c>
      <c r="C3967" s="2">
        <v>23866</v>
      </c>
      <c r="D3967" s="2">
        <v>37822</v>
      </c>
      <c r="E3967" s="2">
        <v>26509</v>
      </c>
      <c r="F3967" s="2">
        <v>64825</v>
      </c>
      <c r="G3967" s="2">
        <v>46222</v>
      </c>
    </row>
    <row r="3968" spans="1:7" x14ac:dyDescent="0.2">
      <c r="A3968" t="s" s="0">
        <v>29</v>
      </c>
      <c r="B3968" s="2">
        <v>1091711</v>
      </c>
      <c r="C3968" s="2">
        <v>47292</v>
      </c>
      <c r="D3968" s="2">
        <v>40093</v>
      </c>
      <c r="E3968" s="2">
        <v>27220</v>
      </c>
      <c r="F3968" s="2">
        <v>92151</v>
      </c>
      <c r="G3968" s="2">
        <v>53186</v>
      </c>
    </row>
    <row r="3969" spans="1:7" x14ac:dyDescent="0.2">
      <c r="A3969" t="s" s="0">
        <v>28</v>
      </c>
      <c r="B3969" s="2">
        <v>1036551</v>
      </c>
      <c r="C3969" s="2">
        <v>51403</v>
      </c>
      <c r="D3969" s="2">
        <v>41484</v>
      </c>
      <c r="E3969" s="2">
        <v>28486</v>
      </c>
      <c r="F3969" s="2">
        <v>88171</v>
      </c>
      <c r="G3969" s="2">
        <v>53123</v>
      </c>
    </row>
    <row r="3970" spans="1:7" x14ac:dyDescent="0.2">
      <c r="A3970" t="s" s="0">
        <v>27</v>
      </c>
      <c r="B3970" s="2">
        <v>1032142</v>
      </c>
      <c r="C3970" s="2">
        <v>42872</v>
      </c>
      <c r="D3970" s="2">
        <v>41635</v>
      </c>
      <c r="E3970" s="2">
        <v>29210</v>
      </c>
      <c r="F3970" s="2">
        <v>78907</v>
      </c>
      <c r="G3970" s="2">
        <v>54844</v>
      </c>
    </row>
    <row r="3971" spans="1:7" x14ac:dyDescent="0.2">
      <c r="A3971" t="s" s="0">
        <v>26</v>
      </c>
      <c r="B3971" s="2">
        <v>990829</v>
      </c>
      <c r="C3971" s="2">
        <v>46430</v>
      </c>
      <c r="D3971" s="2">
        <v>40687</v>
      </c>
      <c r="E3971" s="2">
        <v>30180</v>
      </c>
      <c r="F3971" s="2">
        <v>61468</v>
      </c>
      <c r="G3971" s="2">
        <v>53437</v>
      </c>
    </row>
    <row r="3972" spans="1:7" x14ac:dyDescent="0.2">
      <c r="A3972" t="s" s="0">
        <v>25</v>
      </c>
      <c r="B3972" s="3">
        <v>990829</v>
      </c>
      <c r="C3972" s="3">
        <v>46430</v>
      </c>
      <c r="D3972" s="3">
        <v>40687</v>
      </c>
      <c r="E3972" s="3">
        <v>30180</v>
      </c>
      <c r="F3972" s="3">
        <v>61468</v>
      </c>
      <c r="G3972" s="3">
        <v>53437</v>
      </c>
    </row>
    <row r="3973" spans="1:7" x14ac:dyDescent="0.2">
      <c r="A3973" t="s" s="0">
        <v>24</v>
      </c>
      <c r="B3973" s="3">
        <v>990829</v>
      </c>
      <c r="C3973" s="3">
        <v>46430</v>
      </c>
      <c r="D3973" s="3">
        <v>40687</v>
      </c>
      <c r="E3973" s="3">
        <v>30180</v>
      </c>
      <c r="F3973" s="3">
        <v>61468</v>
      </c>
      <c r="G3973" s="3">
        <v>53437</v>
      </c>
    </row>
    <row r="3974" spans="1:7" x14ac:dyDescent="0.2">
      <c r="A3974" t="s" s="0">
        <v>23</v>
      </c>
      <c r="B3974" s="2">
        <v>997136</v>
      </c>
      <c r="C3974" s="2">
        <v>30246</v>
      </c>
      <c r="D3974" s="2">
        <v>44719</v>
      </c>
      <c r="E3974" s="2">
        <v>32395</v>
      </c>
      <c r="F3974" s="2">
        <v>51138</v>
      </c>
      <c r="G3974" s="2">
        <v>57769</v>
      </c>
    </row>
    <row r="3975" spans="1:7" x14ac:dyDescent="0.2">
      <c r="A3975" t="s" s="0">
        <v>22</v>
      </c>
      <c r="B3975" s="2">
        <v>1171313</v>
      </c>
      <c r="C3975" s="2">
        <v>38708</v>
      </c>
      <c r="D3975" s="2">
        <v>42778</v>
      </c>
      <c r="E3975" s="2">
        <v>32429</v>
      </c>
      <c r="F3975" s="2">
        <v>53675</v>
      </c>
      <c r="G3975" s="2">
        <v>65367</v>
      </c>
    </row>
    <row r="3976" spans="1:7" x14ac:dyDescent="0.2">
      <c r="A3976" t="s" s="0">
        <v>21</v>
      </c>
      <c r="B3976" s="2">
        <v>1320123</v>
      </c>
      <c r="C3976" s="2">
        <v>48938</v>
      </c>
      <c r="D3976" s="2">
        <v>42430</v>
      </c>
      <c r="E3976" s="2">
        <v>33563</v>
      </c>
      <c r="F3976" s="2">
        <v>81894</v>
      </c>
      <c r="G3976" s="2">
        <v>70126</v>
      </c>
    </row>
    <row r="3977" spans="1:7" x14ac:dyDescent="0.2">
      <c r="A3977" t="s" s="0">
        <v>20</v>
      </c>
      <c r="B3977" s="2">
        <v>1300456</v>
      </c>
      <c r="C3977" s="2">
        <v>51566</v>
      </c>
      <c r="D3977" s="2">
        <v>44101</v>
      </c>
      <c r="E3977" s="2">
        <v>34822</v>
      </c>
      <c r="F3977" s="2">
        <v>81385</v>
      </c>
      <c r="G3977" s="2">
        <v>70653</v>
      </c>
    </row>
    <row r="3978" spans="1:7" x14ac:dyDescent="0.2">
      <c r="A3978" t="s" s="0">
        <v>19</v>
      </c>
      <c r="B3978" s="2">
        <v>1232113</v>
      </c>
      <c r="C3978" s="2">
        <v>58352</v>
      </c>
      <c r="D3978" s="2">
        <v>47284</v>
      </c>
      <c r="E3978" s="2">
        <v>36567</v>
      </c>
      <c r="F3978" s="2">
        <v>80711</v>
      </c>
      <c r="G3978" s="2">
        <v>70665</v>
      </c>
    </row>
    <row r="3979" spans="1:7" x14ac:dyDescent="0.2">
      <c r="A3979" t="s" s="0">
        <v>18</v>
      </c>
      <c r="B3979" s="3">
        <v>1232113</v>
      </c>
      <c r="C3979" s="3">
        <v>58352</v>
      </c>
      <c r="D3979" s="3">
        <v>47284</v>
      </c>
      <c r="E3979" s="3">
        <v>36567</v>
      </c>
      <c r="F3979" s="3">
        <v>80711</v>
      </c>
      <c r="G3979" s="3">
        <v>70665</v>
      </c>
    </row>
    <row r="3980" spans="1:7" x14ac:dyDescent="0.2">
      <c r="A3980" t="s" s="0">
        <v>17</v>
      </c>
      <c r="B3980" s="3">
        <v>1232113</v>
      </c>
      <c r="C3980" s="3">
        <v>58352</v>
      </c>
      <c r="D3980" s="3">
        <v>47284</v>
      </c>
      <c r="E3980" s="3">
        <v>36567</v>
      </c>
      <c r="F3980" s="3">
        <v>80711</v>
      </c>
      <c r="G3980" s="3">
        <v>70665</v>
      </c>
    </row>
    <row r="3981" spans="1:7" x14ac:dyDescent="0.2">
      <c r="A3981" t="s" s="0">
        <v>16</v>
      </c>
      <c r="B3981" s="2">
        <v>1239883</v>
      </c>
      <c r="C3981" s="2">
        <v>32261</v>
      </c>
      <c r="D3981" s="2">
        <v>50417</v>
      </c>
      <c r="E3981" s="2">
        <v>39156</v>
      </c>
      <c r="F3981" s="2">
        <v>84050</v>
      </c>
      <c r="G3981" s="2">
        <v>75831</v>
      </c>
    </row>
    <row r="3982" spans="1:7" x14ac:dyDescent="0.2">
      <c r="A3982" t="s" s="0">
        <v>15</v>
      </c>
      <c r="B3982" s="2">
        <v>1201853</v>
      </c>
      <c r="C3982" s="2">
        <v>38027</v>
      </c>
      <c r="D3982" s="2">
        <v>50319</v>
      </c>
      <c r="E3982" s="2">
        <v>39942</v>
      </c>
      <c r="F3982" s="2">
        <v>53657</v>
      </c>
      <c r="G3982" s="2">
        <v>74047</v>
      </c>
    </row>
    <row r="3983" spans="1:7" x14ac:dyDescent="0.2">
      <c r="A3983" t="s" s="0">
        <v>14</v>
      </c>
      <c r="B3983" s="2">
        <v>1228390</v>
      </c>
      <c r="C3983" s="2">
        <v>48956</v>
      </c>
      <c r="D3983" s="2">
        <v>50318</v>
      </c>
      <c r="E3983" s="2">
        <v>41134</v>
      </c>
      <c r="F3983" s="2">
        <v>36326</v>
      </c>
      <c r="G3983" s="2">
        <v>75977</v>
      </c>
    </row>
    <row r="3984" spans="1:7" x14ac:dyDescent="0.2">
      <c r="A3984" t="s" s="0">
        <v>13</v>
      </c>
      <c r="B3984" s="2">
        <v>1171116</v>
      </c>
      <c r="C3984" s="2">
        <v>46270</v>
      </c>
      <c r="D3984" s="2">
        <v>50603</v>
      </c>
      <c r="E3984" s="2">
        <v>42755</v>
      </c>
      <c r="F3984" s="2">
        <v>31238</v>
      </c>
      <c r="G3984" s="2">
        <v>74575</v>
      </c>
    </row>
    <row r="3985" spans="1:7" x14ac:dyDescent="0.2">
      <c r="A3985" t="s" s="0">
        <v>12</v>
      </c>
      <c r="B3985" s="2">
        <v>1213556</v>
      </c>
      <c r="C3985" s="2">
        <v>42902</v>
      </c>
      <c r="D3985" s="2">
        <v>46915</v>
      </c>
      <c r="E3985" s="2">
        <v>43592</v>
      </c>
      <c r="F3985" s="2">
        <v>43376</v>
      </c>
      <c r="G3985" s="2">
        <v>59145</v>
      </c>
    </row>
    <row r="3986" spans="1:7" x14ac:dyDescent="0.2">
      <c r="A3986" t="s" s="0">
        <v>11</v>
      </c>
      <c r="B3986" s="3">
        <v>1213556</v>
      </c>
      <c r="C3986" s="3">
        <v>42902</v>
      </c>
      <c r="D3986" s="3">
        <v>46915</v>
      </c>
      <c r="E3986" s="3">
        <v>43592</v>
      </c>
      <c r="F3986" s="3">
        <v>43376</v>
      </c>
      <c r="G3986" s="3">
        <v>59145</v>
      </c>
    </row>
    <row r="3987" spans="1:7" x14ac:dyDescent="0.2">
      <c r="A3987" t="s" s="0">
        <v>10</v>
      </c>
      <c r="B3987" s="3">
        <v>1213556</v>
      </c>
      <c r="C3987" s="3">
        <v>42902</v>
      </c>
      <c r="D3987" s="3">
        <v>46915</v>
      </c>
      <c r="E3987" s="3">
        <v>43592</v>
      </c>
      <c r="F3987" s="3">
        <v>43376</v>
      </c>
      <c r="G3987" s="3">
        <v>59145</v>
      </c>
    </row>
    <row r="3988" spans="1:7" x14ac:dyDescent="0.2">
      <c r="A3988" t="s" s="0">
        <v>9</v>
      </c>
      <c r="B3988" s="2">
        <v>1207022</v>
      </c>
      <c r="C3988" s="2">
        <v>31395</v>
      </c>
      <c r="D3988" s="2">
        <v>47562</v>
      </c>
      <c r="E3988" s="2">
        <v>45130</v>
      </c>
      <c r="F3988" s="2">
        <v>41717</v>
      </c>
      <c r="G3988" s="2">
        <v>60432</v>
      </c>
    </row>
    <row r="3989" spans="1:7" x14ac:dyDescent="0.2">
      <c r="A3989" t="s" s="0">
        <v>8</v>
      </c>
      <c r="B3989" s="2">
        <v>1160281</v>
      </c>
      <c r="C3989" s="2">
        <v>43223</v>
      </c>
      <c r="D3989" s="2">
        <v>49019</v>
      </c>
      <c r="E3989" s="2">
        <v>45552</v>
      </c>
      <c r="F3989" s="2">
        <v>41908</v>
      </c>
      <c r="G3989" s="2">
        <v>60348</v>
      </c>
    </row>
    <row r="3990" spans="1:7" x14ac:dyDescent="0.2">
      <c r="A3990" t="s" s="0">
        <v>7</v>
      </c>
      <c r="B3990" s="0">
        <v>1153810</v>
      </c>
      <c r="C3990" s="0">
        <v>47280</v>
      </c>
      <c r="D3990" s="0">
        <v>50776</v>
      </c>
      <c r="E3990" s="0">
        <v>46252</v>
      </c>
      <c r="F3990" s="0">
        <v>39001</v>
      </c>
      <c r="G3990" s="0">
        <v>61348</v>
      </c>
    </row>
    <row r="3991" spans="1:7" x14ac:dyDescent="0.2">
      <c r="A3991" t="s" s="0">
        <v>6</v>
      </c>
      <c r="B3991" s="0">
        <v>1177674</v>
      </c>
      <c r="C3991" s="0">
        <v>53268</v>
      </c>
      <c r="D3991" s="0">
        <v>51150</v>
      </c>
      <c r="E3991" s="0">
        <v>46872</v>
      </c>
      <c r="F3991" s="0">
        <v>50968</v>
      </c>
      <c r="G3991" s="0">
        <v>60625</v>
      </c>
    </row>
    <row r="3992" spans="1:7" x14ac:dyDescent="0.2">
      <c r="A3992" t="s" s="0">
        <v>5</v>
      </c>
      <c r="B3992" s="0">
        <v>1154937</v>
      </c>
      <c r="C3992" s="0">
        <v>49139</v>
      </c>
      <c r="D3992" s="0">
        <v>52041</v>
      </c>
      <c r="E3992" s="0">
        <v>46732</v>
      </c>
      <c r="F3992" s="0">
        <v>42546</v>
      </c>
      <c r="G3992" s="0">
        <v>57025</v>
      </c>
    </row>
    <row r="3993" spans="1:7" x14ac:dyDescent="0.2">
      <c r="A3993" t="s" s="0">
        <v>4</v>
      </c>
      <c r="B3993" s="1">
        <v>1154937</v>
      </c>
      <c r="C3993" s="1">
        <v>49139</v>
      </c>
      <c r="D3993" s="1">
        <v>52041</v>
      </c>
      <c r="E3993" s="1">
        <v>46732</v>
      </c>
      <c r="F3993" s="1">
        <v>42546</v>
      </c>
      <c r="G3993" s="1">
        <v>57025</v>
      </c>
    </row>
    <row r="3994" spans="1:7" x14ac:dyDescent="0.2">
      <c r="A3994" t="s" s="0">
        <v>3</v>
      </c>
      <c r="B3994" s="1">
        <v>1154937</v>
      </c>
      <c r="C3994" s="1">
        <v>49139</v>
      </c>
      <c r="D3994" s="1">
        <v>52041</v>
      </c>
      <c r="E3994" s="1">
        <v>46732</v>
      </c>
      <c r="F3994" s="1">
        <v>42546</v>
      </c>
      <c r="G3994" s="1">
        <v>57025</v>
      </c>
    </row>
    <row r="3995" spans="1:7" x14ac:dyDescent="0.2">
      <c r="A3995" t="s" s="0">
        <v>2</v>
      </c>
      <c r="B3995" s="0">
        <v>1091444</v>
      </c>
      <c r="C3995" s="0">
        <v>31176</v>
      </c>
      <c r="D3995" s="0">
        <v>49904</v>
      </c>
      <c r="E3995" s="0">
        <v>48150</v>
      </c>
      <c r="F3995" s="0">
        <v>32536</v>
      </c>
      <c r="G3995" s="0">
        <v>52360</v>
      </c>
    </row>
    <row r="3996" spans="1:7" x14ac:dyDescent="0.2">
      <c r="A3996" t="s" s="0">
        <v>1</v>
      </c>
      <c r="B3996" s="0">
        <v>1099111</v>
      </c>
      <c r="C3996" s="0">
        <v>47433</v>
      </c>
      <c r="D3996" s="0">
        <v>50510</v>
      </c>
      <c r="E3996" s="0">
        <v>48157</v>
      </c>
      <c r="F3996" s="0">
        <v>40915</v>
      </c>
      <c r="G3996" s="0">
        <v>47539</v>
      </c>
    </row>
    <row r="3997" spans="1:7" x14ac:dyDescent="0.2">
      <c r="A3997" t="s" s="0">
        <v>0</v>
      </c>
      <c r="B3997" s="0">
        <v>1122385</v>
      </c>
      <c r="C3997" s="0">
        <v>45501</v>
      </c>
      <c r="D3997" s="0">
        <v>47545</v>
      </c>
      <c r="E3997" s="0">
        <v>47767</v>
      </c>
      <c r="F3997" s="0">
        <v>42642</v>
      </c>
      <c r="G3997" s="0">
        <v>49966</v>
      </c>
    </row>
    <row r="3998" spans="1:7" x14ac:dyDescent="0.2">
      <c r="A3998" t="s" s="0">
        <v>4008</v>
      </c>
      <c r="B3998" s="0">
        <v>1097524</v>
      </c>
      <c r="C3998" s="0">
        <v>44809</v>
      </c>
      <c r="D3998" s="0">
        <v>46212</v>
      </c>
      <c r="E3998" s="0">
        <v>48016</v>
      </c>
      <c r="F3998" s="0">
        <v>34347</v>
      </c>
      <c r="G3998" s="0">
        <v>49485</v>
      </c>
    </row>
    <row r="3999" spans="1:7" x14ac:dyDescent="0.2">
      <c r="A3999" t="s" s="0">
        <v>4009</v>
      </c>
      <c r="B3999" s="0">
        <v>1134829</v>
      </c>
      <c r="C3999" s="0">
        <v>43204</v>
      </c>
      <c r="D3999" s="0">
        <v>45364</v>
      </c>
      <c r="E3999" s="0">
        <v>47901</v>
      </c>
      <c r="F3999" s="0">
        <v>42079</v>
      </c>
      <c r="G3999" s="0">
        <v>52178</v>
      </c>
    </row>
    <row r="4000" spans="1:7" x14ac:dyDescent="0.2">
      <c r="A4000" t="s" s="0">
        <v>4010</v>
      </c>
      <c r="B4000" s="1">
        <v>1134829</v>
      </c>
      <c r="C4000" s="1">
        <v>43204</v>
      </c>
      <c r="D4000" s="1">
        <v>45364</v>
      </c>
      <c r="E4000" s="1">
        <v>47901</v>
      </c>
      <c r="F4000" s="1">
        <v>42079</v>
      </c>
      <c r="G4000" s="1">
        <v>52178</v>
      </c>
    </row>
    <row r="4001" spans="1:7" x14ac:dyDescent="0.2">
      <c r="A4001" t="s" s="0">
        <v>4011</v>
      </c>
      <c r="B4001" s="1">
        <v>1134829</v>
      </c>
      <c r="C4001" s="1">
        <v>43204</v>
      </c>
      <c r="D4001" s="1">
        <v>45364</v>
      </c>
      <c r="E4001" s="1">
        <v>47901</v>
      </c>
      <c r="F4001" s="1">
        <v>42079</v>
      </c>
      <c r="G4001" s="1">
        <v>52178</v>
      </c>
    </row>
    <row r="4002" spans="1:7" x14ac:dyDescent="0.2">
      <c r="A4002" t="s" s="0">
        <v>4014</v>
      </c>
      <c r="B4002" s="0">
        <v>1174498</v>
      </c>
      <c r="C4002" s="0">
        <v>30617</v>
      </c>
      <c r="D4002" s="0">
        <v>43163</v>
      </c>
      <c r="E4002" s="0">
        <v>47761</v>
      </c>
      <c r="F4002" s="0">
        <v>54616</v>
      </c>
      <c r="G4002" s="0">
        <v>53230</v>
      </c>
    </row>
    <row r="4003" spans="1:7" x14ac:dyDescent="0.2">
      <c r="A4003" t="s" s="0">
        <v>4013</v>
      </c>
      <c r="B4003" s="0">
        <v>1186868</v>
      </c>
      <c r="C4003" s="0">
        <v>43844</v>
      </c>
      <c r="D4003" s="0">
        <v>42640</v>
      </c>
      <c r="E4003" s="0">
        <v>48122</v>
      </c>
      <c r="F4003" s="0">
        <v>54767</v>
      </c>
      <c r="G4003" s="0">
        <v>47812</v>
      </c>
    </row>
    <row r="4004" spans="1:7" x14ac:dyDescent="0.2">
      <c r="A4004" t="s" s="0">
        <v>4012</v>
      </c>
      <c r="B4004" s="0">
        <v>1107890</v>
      </c>
      <c r="C4004" s="0">
        <v>52414</v>
      </c>
      <c r="D4004" s="0">
        <v>47610</v>
      </c>
      <c r="E4004" s="0">
        <v>49062</v>
      </c>
      <c r="F4004" s="0">
        <v>45191</v>
      </c>
      <c r="G4004" s="0">
        <v>40790</v>
      </c>
    </row>
    <row r="4005" spans="1:7" x14ac:dyDescent="0.2">
      <c r="A4005" t="s" s="0">
        <v>4016</v>
      </c>
      <c r="B4005" s="0">
        <v>1086758</v>
      </c>
      <c r="C4005" s="0">
        <v>46211</v>
      </c>
      <c r="D4005" s="0">
        <v>47091</v>
      </c>
      <c r="E4005" s="0">
        <v>48764</v>
      </c>
      <c r="F4005" s="0">
        <v>45202</v>
      </c>
      <c r="G4005" s="0">
        <v>40439</v>
      </c>
    </row>
    <row r="4006" spans="1:7" x14ac:dyDescent="0.2">
      <c r="A4006" t="s" s="0">
        <v>4015</v>
      </c>
      <c r="B4006" s="0">
        <v>1048189</v>
      </c>
      <c r="C4006" s="0">
        <v>48662</v>
      </c>
      <c r="D4006" s="0">
        <v>47870</v>
      </c>
      <c r="E4006" s="0">
        <v>48048</v>
      </c>
      <c r="F4006" s="0">
        <v>35142</v>
      </c>
      <c r="G4006" s="0">
        <v>40786</v>
      </c>
    </row>
    <row r="4007" spans="1:7" x14ac:dyDescent="0.2">
      <c r="A4007" t="s" s="0">
        <v>4017</v>
      </c>
      <c r="B4007" s="1">
        <v>1048189</v>
      </c>
      <c r="C4007" s="1">
        <v>48662</v>
      </c>
      <c r="D4007" s="1">
        <v>47870</v>
      </c>
      <c r="E4007" s="1">
        <v>48048</v>
      </c>
      <c r="F4007" s="1">
        <v>35142</v>
      </c>
      <c r="G4007" s="1">
        <v>40786</v>
      </c>
    </row>
    <row r="4008" spans="1:7" x14ac:dyDescent="0.2">
      <c r="A4008" t="s" s="0">
        <v>4018</v>
      </c>
      <c r="B4008" s="1">
        <v>1048189</v>
      </c>
      <c r="C4008" s="1">
        <v>48662</v>
      </c>
      <c r="D4008" s="1">
        <v>47870</v>
      </c>
      <c r="E4008" s="1">
        <v>48048</v>
      </c>
      <c r="F4008" s="1">
        <v>35142</v>
      </c>
      <c r="G4008" s="1">
        <v>40786</v>
      </c>
    </row>
    <row r="4009" spans="1:7" x14ac:dyDescent="0.2">
      <c r="A4009" t="s" s="0">
        <v>4019</v>
      </c>
      <c r="B4009" s="0">
        <v>1048097</v>
      </c>
      <c r="C4009" s="0">
        <v>32727</v>
      </c>
      <c r="D4009" s="0">
        <v>50478</v>
      </c>
      <c r="E4009" s="0">
        <v>47777</v>
      </c>
      <c r="F4009" s="0">
        <v>32068</v>
      </c>
      <c r="G4009" s="0">
        <v>40234</v>
      </c>
    </row>
    <row r="4010" spans="1:7" x14ac:dyDescent="0.2">
      <c r="A4010" t="s" s="0">
        <v>4020</v>
      </c>
      <c r="B4010" s="0">
        <v>1109867</v>
      </c>
      <c r="C4010" s="0">
        <v>47039</v>
      </c>
      <c r="D4010" s="0">
        <v>51662</v>
      </c>
      <c r="E4010" s="0">
        <v>48458</v>
      </c>
      <c r="F4010" s="0">
        <v>40308</v>
      </c>
      <c r="G4010" s="0">
        <v>44475</v>
      </c>
    </row>
    <row r="4011" spans="1:7" x14ac:dyDescent="0.2">
      <c r="A4011" t="s" s="0">
        <v>4021</v>
      </c>
      <c r="B4011" s="0">
        <v>1160635</v>
      </c>
      <c r="C4011" s="0">
        <v>48835</v>
      </c>
      <c r="D4011" s="0">
        <v>47169</v>
      </c>
      <c r="E4011" s="0">
        <v>48275</v>
      </c>
      <c r="F4011" s="0">
        <v>53973</v>
      </c>
      <c r="G4011" s="0">
        <v>45202</v>
      </c>
    </row>
    <row r="4012" spans="1:7" x14ac:dyDescent="0.2">
      <c r="A4012" t="s" s="0">
        <v>4022</v>
      </c>
      <c r="B4012" s="0">
        <v>1105978</v>
      </c>
      <c r="C4012" s="0">
        <v>54396</v>
      </c>
      <c r="D4012" s="0">
        <v>49053</v>
      </c>
      <c r="E4012" s="0">
        <v>48376</v>
      </c>
      <c r="F4012" s="0">
        <v>51071</v>
      </c>
      <c r="G4012" s="0">
        <v>45397</v>
      </c>
    </row>
    <row r="4013" spans="1:7" x14ac:dyDescent="0.2">
      <c r="A4013" t="s" s="0">
        <v>4023</v>
      </c>
      <c r="B4013" s="0">
        <v>1052186</v>
      </c>
      <c r="C4013" s="0">
        <v>52764</v>
      </c>
      <c r="D4013" s="0">
        <v>49639</v>
      </c>
      <c r="E4013" s="0">
        <v>48729</v>
      </c>
      <c r="F4013" s="0">
        <v>49481</v>
      </c>
      <c r="G4013" s="0">
        <v>42312</v>
      </c>
    </row>
    <row r="4014" spans="1:7" x14ac:dyDescent="0.2">
      <c r="A4014" t="s" s="0">
        <v>4024</v>
      </c>
      <c r="B4014" s="1">
        <v>1052186</v>
      </c>
      <c r="C4014" s="1">
        <v>52764</v>
      </c>
      <c r="D4014" s="1">
        <v>49639</v>
      </c>
      <c r="E4014" s="1">
        <v>48729</v>
      </c>
      <c r="F4014" s="1">
        <v>49481</v>
      </c>
      <c r="G4014" s="1">
        <v>42312</v>
      </c>
    </row>
    <row r="4015" spans="1:7" x14ac:dyDescent="0.2">
      <c r="A4015" t="s" s="0">
        <v>4025</v>
      </c>
      <c r="B4015" s="1">
        <v>1052186</v>
      </c>
      <c r="C4015" s="1">
        <v>52764</v>
      </c>
      <c r="D4015" s="1">
        <v>49639</v>
      </c>
      <c r="E4015" s="1">
        <v>48729</v>
      </c>
      <c r="F4015" s="1">
        <v>49481</v>
      </c>
      <c r="G4015" s="1">
        <v>42312</v>
      </c>
    </row>
    <row r="4016" spans="1:7" x14ac:dyDescent="0.2">
      <c r="A4016" t="s" s="0">
        <v>4026</v>
      </c>
      <c r="B4016" s="0">
        <v>1014412</v>
      </c>
      <c r="C4016" s="0">
        <v>39696</v>
      </c>
      <c r="D4016" s="0">
        <v>47971</v>
      </c>
      <c r="E4016" s="0">
        <v>47879</v>
      </c>
      <c r="F4016" s="0">
        <v>42376</v>
      </c>
      <c r="G4016" s="0">
        <v>40399</v>
      </c>
    </row>
    <row r="4017" spans="1:7" x14ac:dyDescent="0.2">
      <c r="A4017" t="s" s="0">
        <v>4027</v>
      </c>
      <c r="B4017" s="0">
        <v>1117844</v>
      </c>
      <c r="C4017" s="0">
        <v>53818</v>
      </c>
      <c r="D4017" s="0">
        <v>48499</v>
      </c>
      <c r="E4017" s="0">
        <v>48328</v>
      </c>
      <c r="F4017" s="0">
        <v>48724</v>
      </c>
      <c r="G4017" s="0">
        <v>46178</v>
      </c>
    </row>
    <row r="4018" spans="1:7" x14ac:dyDescent="0.2">
      <c r="A4018" t="s" s="0">
        <v>4028</v>
      </c>
      <c r="B4018" s="0">
        <v>1103955</v>
      </c>
      <c r="C4018" s="0">
        <v>55702</v>
      </c>
      <c r="D4018" s="0">
        <v>52058</v>
      </c>
      <c r="E4018" s="0">
        <v>48595</v>
      </c>
      <c r="F4018" s="0">
        <v>43107</v>
      </c>
      <c r="G4018" s="0">
        <v>46228</v>
      </c>
    </row>
    <row r="4019" spans="1:7" x14ac:dyDescent="0.2">
      <c r="A4019" t="s" s="0">
        <v>4029</v>
      </c>
      <c r="B4019" s="0">
        <v>1084799</v>
      </c>
      <c r="C4019" s="0">
        <v>59018</v>
      </c>
      <c r="D4019" s="0">
        <v>52003</v>
      </c>
      <c r="E4019" s="0">
        <v>48590</v>
      </c>
      <c r="F4019" s="0">
        <v>48124</v>
      </c>
      <c r="G4019" s="0">
        <v>44686</v>
      </c>
    </row>
    <row r="4020" spans="1:7" x14ac:dyDescent="0.2">
      <c r="A4020" t="s" s="0">
        <v>4030</v>
      </c>
      <c r="B4020" s="0">
        <v>1091671</v>
      </c>
      <c r="C4020" s="0">
        <v>55795</v>
      </c>
      <c r="D4020" s="0">
        <v>53194</v>
      </c>
      <c r="E4020" s="0">
        <v>49017</v>
      </c>
      <c r="F4020" s="0">
        <v>57979</v>
      </c>
      <c r="G4020" s="0">
        <v>46170</v>
      </c>
    </row>
    <row r="4021" spans="1:7" x14ac:dyDescent="0.2">
      <c r="A4021" t="s" s="0">
        <v>4031</v>
      </c>
      <c r="B4021" s="1">
        <v>1091671</v>
      </c>
      <c r="C4021" s="1">
        <v>55795</v>
      </c>
      <c r="D4021" s="1">
        <v>53194</v>
      </c>
      <c r="E4021" s="1">
        <v>49017</v>
      </c>
      <c r="F4021" s="1">
        <v>57979</v>
      </c>
      <c r="G4021" s="1">
        <v>46170</v>
      </c>
    </row>
    <row r="4022" spans="1:7" x14ac:dyDescent="0.2">
      <c r="A4022" t="s" s="0">
        <v>4032</v>
      </c>
      <c r="B4022" s="1">
        <v>1091671</v>
      </c>
      <c r="C4022" s="1">
        <v>55795</v>
      </c>
      <c r="D4022" s="1">
        <v>53194</v>
      </c>
      <c r="E4022" s="1">
        <v>49017</v>
      </c>
      <c r="F4022" s="1">
        <v>57979</v>
      </c>
      <c r="G4022" s="1">
        <v>46170</v>
      </c>
    </row>
    <row r="4023" spans="1:7" x14ac:dyDescent="0.2">
      <c r="A4023" t="s" s="0">
        <v>4033</v>
      </c>
      <c r="B4023" s="0">
        <v>1119676</v>
      </c>
      <c r="C4023" s="0">
        <v>30297</v>
      </c>
      <c r="D4023" s="0">
        <v>50961</v>
      </c>
      <c r="E4023" s="0">
        <v>48143</v>
      </c>
      <c r="F4023" s="0">
        <v>65205</v>
      </c>
      <c r="G4023" s="0">
        <v>48566</v>
      </c>
    </row>
    <row r="4024" spans="1:7" x14ac:dyDescent="0.2">
      <c r="A4024" t="s" s="0">
        <v>4040</v>
      </c>
      <c r="B4024" s="0">
        <v>1155047</v>
      </c>
      <c r="C4024" s="0">
        <v>44381</v>
      </c>
      <c r="D4024" s="0">
        <v>50053</v>
      </c>
      <c r="E4024" s="0">
        <v>48214</v>
      </c>
      <c r="F4024" s="0">
        <v>54697</v>
      </c>
      <c r="G4024" s="0">
        <v>49624</v>
      </c>
    </row>
    <row r="4025" spans="1:7" x14ac:dyDescent="0.2">
      <c r="A4025" t="s" s="0">
        <v>4039</v>
      </c>
      <c r="B4025" s="0">
        <v>1181341</v>
      </c>
      <c r="C4025" s="0">
        <v>53933</v>
      </c>
      <c r="D4025" s="0">
        <v>47222</v>
      </c>
      <c r="E4025" s="0">
        <v>48515</v>
      </c>
      <c r="F4025" s="0">
        <v>58130</v>
      </c>
      <c r="G4025" s="0">
        <v>50100</v>
      </c>
    </row>
    <row r="4026" spans="1:7" x14ac:dyDescent="0.2">
      <c r="A4026" t="s" s="0">
        <v>4035</v>
      </c>
      <c r="B4026" s="0">
        <v>1201779</v>
      </c>
      <c r="C4026" s="0">
        <v>52724</v>
      </c>
      <c r="D4026" s="0">
        <v>47314</v>
      </c>
      <c r="E4026" s="0">
        <v>48865</v>
      </c>
      <c r="F4026" s="0">
        <v>63879</v>
      </c>
      <c r="G4026" s="0">
        <v>52069</v>
      </c>
    </row>
    <row r="4027" spans="1:7" x14ac:dyDescent="0.2">
      <c r="A4027" t="s" s="0">
        <v>4034</v>
      </c>
      <c r="B4027" s="0">
        <v>1147032</v>
      </c>
      <c r="C4027" s="0">
        <v>49817</v>
      </c>
      <c r="D4027" s="0">
        <v>46423</v>
      </c>
      <c r="E4027" s="0">
        <v>49282</v>
      </c>
      <c r="F4027" s="0">
        <v>54157</v>
      </c>
      <c r="G4027" s="0">
        <v>49190</v>
      </c>
    </row>
    <row r="4028" spans="1:7" x14ac:dyDescent="0.2">
      <c r="A4028" t="s" s="0">
        <v>4036</v>
      </c>
      <c r="B4028" s="1">
        <v>1147032</v>
      </c>
      <c r="C4028" s="1">
        <v>49817</v>
      </c>
      <c r="D4028" s="1">
        <v>46423</v>
      </c>
      <c r="E4028" s="1">
        <v>49282</v>
      </c>
      <c r="F4028" s="1">
        <v>54157</v>
      </c>
      <c r="G4028" s="1">
        <v>49190</v>
      </c>
    </row>
    <row r="4029" spans="1:7" x14ac:dyDescent="0.2">
      <c r="A4029" t="s" s="0">
        <v>4037</v>
      </c>
      <c r="B4029" s="1">
        <v>1147032</v>
      </c>
      <c r="C4029" s="1">
        <v>49817</v>
      </c>
      <c r="D4029" s="1">
        <v>46423</v>
      </c>
      <c r="E4029" s="1">
        <v>49282</v>
      </c>
      <c r="F4029" s="1">
        <v>54157</v>
      </c>
      <c r="G4029" s="1">
        <v>49190</v>
      </c>
    </row>
    <row r="4030" spans="1:7" x14ac:dyDescent="0.2">
      <c r="A4030" t="s" s="0">
        <v>4038</v>
      </c>
      <c r="B4030" s="0">
        <v>1215624</v>
      </c>
      <c r="C4030" s="0">
        <v>31032</v>
      </c>
      <c r="D4030" s="0">
        <v>49616</v>
      </c>
      <c r="E4030" s="0">
        <v>49757</v>
      </c>
      <c r="F4030" s="0">
        <v>63140</v>
      </c>
      <c r="G4030" s="0">
        <v>50697</v>
      </c>
    </row>
    <row r="4031" spans="1:7" x14ac:dyDescent="0.2">
      <c r="A4031" t="s" s="0">
        <v>4041</v>
      </c>
      <c r="B4031" s="0">
        <v>1222675</v>
      </c>
      <c r="C4031" s="0">
        <v>45853</v>
      </c>
      <c r="D4031" s="0">
        <v>51225</v>
      </c>
      <c r="E4031" s="0">
        <v>50360</v>
      </c>
      <c r="F4031" s="0">
        <v>60714</v>
      </c>
      <c r="G4031" s="0">
        <v>51111</v>
      </c>
    </row>
    <row r="4032" spans="1:7" x14ac:dyDescent="0.2">
      <c r="A4032" t="s" s="0">
        <v>4042</v>
      </c>
      <c r="B4032" s="0">
        <v>1250416</v>
      </c>
      <c r="C4032" s="0">
        <v>50565</v>
      </c>
      <c r="D4032" s="0">
        <v>50744</v>
      </c>
      <c r="E4032" s="0">
        <v>49298</v>
      </c>
      <c r="F4032" s="0">
        <v>60505</v>
      </c>
      <c r="G4032" s="0">
        <v>53929</v>
      </c>
    </row>
    <row r="4033" spans="1:7" x14ac:dyDescent="0.2">
      <c r="A4033" t="s" s="0">
        <v>4043</v>
      </c>
      <c r="B4033" s="0">
        <v>1226334</v>
      </c>
      <c r="C4033" s="0">
        <v>48762</v>
      </c>
      <c r="D4033" s="0">
        <v>49188</v>
      </c>
      <c r="E4033" s="0">
        <v>49389</v>
      </c>
      <c r="F4033" s="0">
        <v>52587</v>
      </c>
      <c r="G4033" s="0">
        <v>53915</v>
      </c>
    </row>
    <row r="4034" spans="1:7" x14ac:dyDescent="0.2">
      <c r="A4034" t="s" s="0">
        <v>4044</v>
      </c>
      <c r="B4034" s="0">
        <v>1258265</v>
      </c>
      <c r="C4034" s="0">
        <v>45046</v>
      </c>
      <c r="D4034" s="0">
        <v>49210</v>
      </c>
      <c r="E4034" s="0">
        <v>49617</v>
      </c>
      <c r="F4034" s="0">
        <v>65021</v>
      </c>
      <c r="G4034" s="0">
        <v>56660</v>
      </c>
    </row>
    <row r="4035" spans="1:7" x14ac:dyDescent="0.2">
      <c r="A4035" t="s" s="0">
        <v>4045</v>
      </c>
      <c r="B4035" s="1">
        <v>1258265</v>
      </c>
      <c r="C4035" s="1">
        <v>45046</v>
      </c>
      <c r="D4035" s="1">
        <v>49210</v>
      </c>
      <c r="E4035" s="1">
        <v>49617</v>
      </c>
      <c r="F4035" s="1">
        <v>65021</v>
      </c>
      <c r="G4035" s="1">
        <v>56660</v>
      </c>
    </row>
    <row r="4036" spans="1:7" x14ac:dyDescent="0.2">
      <c r="A4036" t="s" s="0">
        <v>4046</v>
      </c>
      <c r="B4036" s="1">
        <v>1258265</v>
      </c>
      <c r="C4036" s="1">
        <v>45046</v>
      </c>
      <c r="D4036" s="1">
        <v>49210</v>
      </c>
      <c r="E4036" s="1">
        <v>49617</v>
      </c>
      <c r="F4036" s="1">
        <v>65021</v>
      </c>
      <c r="G4036" s="1">
        <v>56660</v>
      </c>
    </row>
    <row r="4037" spans="1:7" x14ac:dyDescent="0.2">
      <c r="A4037" t="s" s="0">
        <v>4047</v>
      </c>
      <c r="B4037" s="0">
        <v>1240318</v>
      </c>
      <c r="C4037" s="0">
        <v>34537</v>
      </c>
      <c r="D4037" s="0">
        <v>48044</v>
      </c>
      <c r="E4037" s="0">
        <v>49148</v>
      </c>
      <c r="F4037" s="0">
        <v>51493</v>
      </c>
      <c r="G4037" s="0">
        <v>55554</v>
      </c>
    </row>
    <row r="4038" spans="1:7" x14ac:dyDescent="0.2">
      <c r="A4038" t="s" s="0">
        <v>4048</v>
      </c>
      <c r="B4038" s="0">
        <v>1246427</v>
      </c>
      <c r="C4038" s="0">
        <v>48381</v>
      </c>
      <c r="D4038" s="0">
        <v>46283</v>
      </c>
      <c r="E4038" s="0">
        <v>49015</v>
      </c>
      <c r="F4038" s="0">
        <v>49402</v>
      </c>
      <c r="G4038" s="0">
        <v>53384</v>
      </c>
    </row>
    <row r="4039" spans="1:7" x14ac:dyDescent="0.2">
      <c r="A4039" t="s" s="0">
        <v>4049</v>
      </c>
      <c r="B4039" s="0">
        <v>1205643</v>
      </c>
      <c r="C4039" s="0">
        <v>50960</v>
      </c>
      <c r="D4039" s="0">
        <v>46340</v>
      </c>
      <c r="E4039" s="0">
        <v>49091</v>
      </c>
      <c r="F4039" s="0">
        <v>39677</v>
      </c>
      <c r="G4039" s="0">
        <v>50355</v>
      </c>
    </row>
    <row r="4040" spans="1:7" x14ac:dyDescent="0.2">
      <c r="A4040" t="s" s="0">
        <v>4050</v>
      </c>
      <c r="B4040" s="0">
        <v>1279833</v>
      </c>
      <c r="C4040" s="0">
        <v>50871</v>
      </c>
      <c r="D4040" s="0">
        <v>46641</v>
      </c>
      <c r="E4040" s="0">
        <v>48786</v>
      </c>
      <c r="F4040" s="0">
        <v>54017</v>
      </c>
      <c r="G4040" s="0">
        <v>54652</v>
      </c>
    </row>
    <row r="4041" spans="1:7" x14ac:dyDescent="0.2">
      <c r="A4041" t="s" s="0">
        <v>4051</v>
      </c>
      <c r="B4041" s="0">
        <v>1226354</v>
      </c>
      <c r="C4041" s="0">
        <v>53487</v>
      </c>
      <c r="D4041" s="0">
        <v>46422</v>
      </c>
      <c r="E4041" s="0">
        <v>48812</v>
      </c>
      <c r="F4041" s="0">
        <v>41597</v>
      </c>
      <c r="G4041" s="0">
        <v>54689</v>
      </c>
    </row>
    <row r="4042" spans="1:7" x14ac:dyDescent="0.2">
      <c r="A4042" t="s" s="0">
        <v>4052</v>
      </c>
      <c r="B4042" s="1">
        <v>1226354</v>
      </c>
      <c r="C4042" s="1">
        <v>53487</v>
      </c>
      <c r="D4042" s="1">
        <v>46422</v>
      </c>
      <c r="E4042" s="1">
        <v>48812</v>
      </c>
      <c r="F4042" s="1">
        <v>41597</v>
      </c>
      <c r="G4042" s="1">
        <v>54689</v>
      </c>
    </row>
    <row r="4043" spans="1:7" x14ac:dyDescent="0.2">
      <c r="A4043" t="s" s="0">
        <v>4053</v>
      </c>
      <c r="B4043" s="1">
        <v>1226354</v>
      </c>
      <c r="C4043" s="1">
        <v>53487</v>
      </c>
      <c r="D4043" s="1">
        <v>46422</v>
      </c>
      <c r="E4043" s="1">
        <v>48812</v>
      </c>
      <c r="F4043" s="1">
        <v>41597</v>
      </c>
      <c r="G4043" s="1">
        <v>54689</v>
      </c>
    </row>
    <row r="4044" spans="1:7" x14ac:dyDescent="0.2">
      <c r="A4044" t="s" s="0">
        <v>4054</v>
      </c>
      <c r="B4044" s="0">
        <v>1324602</v>
      </c>
      <c r="C4044" s="0">
        <v>34831</v>
      </c>
      <c r="D4044" s="0">
        <v>47001</v>
      </c>
      <c r="E4044" s="0">
        <v>48905</v>
      </c>
      <c r="F4044" s="0">
        <v>58773</v>
      </c>
      <c r="G4044" s="0">
        <v>59653</v>
      </c>
    </row>
    <row r="4045" spans="1:7" x14ac:dyDescent="0.2">
      <c r="A4045" t="s" s="0">
        <v>4055</v>
      </c>
      <c r="B4045" s="0">
        <v>1274981</v>
      </c>
      <c r="C4045" s="0">
        <v>49250</v>
      </c>
      <c r="D4045" s="0">
        <v>46411</v>
      </c>
      <c r="E4045" s="0">
        <v>48493</v>
      </c>
      <c r="F4045" s="0">
        <v>50417</v>
      </c>
      <c r="G4045" s="0">
        <v>53807</v>
      </c>
    </row>
    <row r="4046" spans="1:7" x14ac:dyDescent="0.2">
      <c r="A4046" t="s" s="0">
        <v>4056</v>
      </c>
      <c r="B4046" s="0">
        <v>1205652</v>
      </c>
      <c r="C4046" s="0">
        <v>54338</v>
      </c>
      <c r="D4046" s="0">
        <v>49526</v>
      </c>
      <c r="E4046" s="0">
        <v>48458</v>
      </c>
      <c r="F4046" s="0">
        <v>49341</v>
      </c>
      <c r="G4046" s="0">
        <v>51913</v>
      </c>
    </row>
    <row r="4047" spans="1:7" x14ac:dyDescent="0.2">
      <c r="A4047" t="s" s="0">
        <v>4057</v>
      </c>
      <c r="B4047" s="0">
        <v>1226237</v>
      </c>
      <c r="C4047" s="0">
        <v>52257</v>
      </c>
      <c r="D4047" s="0">
        <v>50339</v>
      </c>
      <c r="E4047" s="0">
        <v>48370</v>
      </c>
      <c r="F4047" s="0">
        <v>42497</v>
      </c>
      <c r="G4047" s="0">
        <v>53245</v>
      </c>
    </row>
    <row r="4048" spans="1:7" x14ac:dyDescent="0.2">
      <c r="A4048" t="s" s="0">
        <v>4058</v>
      </c>
      <c r="B4048" s="0">
        <v>1250517</v>
      </c>
      <c r="C4048" s="0">
        <v>48615</v>
      </c>
      <c r="D4048" s="0">
        <v>51353</v>
      </c>
      <c r="E4048" s="0">
        <v>48352</v>
      </c>
      <c r="F4048" s="0">
        <v>54591</v>
      </c>
      <c r="G4048" s="0">
        <v>53842</v>
      </c>
    </row>
    <row r="4049">
      <c r="A4049" t="s" s="0">
        <v>4059</v>
      </c>
      <c r="B4049" t="n" s="4">
        <v>1250517.0</v>
      </c>
      <c r="C4049" t="n" s="4">
        <v>48615.0</v>
      </c>
      <c r="D4049" t="n" s="4">
        <v>51353.0</v>
      </c>
      <c r="E4049" t="n" s="4">
        <v>48352.0</v>
      </c>
      <c r="F4049" t="n" s="4">
        <v>54591.0</v>
      </c>
      <c r="G4049" t="n" s="4">
        <v>53842.0</v>
      </c>
    </row>
    <row r="4050">
      <c r="A4050" t="s" s="0">
        <v>4060</v>
      </c>
      <c r="B4050" t="n" s="5">
        <v>1250517.0</v>
      </c>
      <c r="C4050" t="n" s="5">
        <v>48615.0</v>
      </c>
      <c r="D4050" t="n" s="5">
        <v>51353.0</v>
      </c>
      <c r="E4050" t="n" s="5">
        <v>48352.0</v>
      </c>
      <c r="F4050" t="n" s="5">
        <v>54591.0</v>
      </c>
      <c r="G4050" t="n" s="5">
        <v>53842.0</v>
      </c>
    </row>
    <row r="4051">
      <c r="A4051" t="s" s="0">
        <v>4061</v>
      </c>
      <c r="B4051" t="n" s="0">
        <v>1221631.0</v>
      </c>
      <c r="C4051" t="n" s="0">
        <v>40146.0</v>
      </c>
      <c r="D4051" t="n" s="0">
        <v>52176.0</v>
      </c>
      <c r="E4051" t="n" s="0">
        <v>49209.0</v>
      </c>
      <c r="F4051" t="n" s="0">
        <v>37252.0</v>
      </c>
      <c r="G4051" t="n" s="0">
        <v>52665.0</v>
      </c>
    </row>
    <row r="4052">
      <c r="A4052" t="s" s="0">
        <v>4062</v>
      </c>
      <c r="B4052" t="n" s="0">
        <v>1219367.0</v>
      </c>
      <c r="C4052" t="n" s="0">
        <v>51201.0</v>
      </c>
      <c r="D4052" t="n" s="0">
        <v>54035.0</v>
      </c>
      <c r="E4052" t="n" s="0">
        <v>49489.0</v>
      </c>
      <c r="F4052" t="n" s="0">
        <v>45876.0</v>
      </c>
      <c r="G4052" t="n" s="0">
        <v>51602.0</v>
      </c>
    </row>
    <row r="4053">
      <c r="A4053" t="s" s="0">
        <v>4064</v>
      </c>
      <c r="B4053" t="n" s="0">
        <v>1169567.0</v>
      </c>
      <c r="C4053" t="n" s="0">
        <v>56605.0</v>
      </c>
      <c r="D4053" t="n" s="0">
        <v>51727.0</v>
      </c>
      <c r="E4053" t="n" s="0">
        <v>49584.0</v>
      </c>
      <c r="F4053" t="n" s="0">
        <v>45523.0</v>
      </c>
      <c r="G4053" t="n" s="0">
        <v>48762.0</v>
      </c>
    </row>
    <row r="4054">
      <c r="A4054" t="s" s="0">
        <v>4063</v>
      </c>
      <c r="B4054" t="n" s="0">
        <v>1175295.0</v>
      </c>
      <c r="C4054" t="n" s="0">
        <v>54486.0</v>
      </c>
      <c r="D4054" t="n" s="0">
        <v>52854.0</v>
      </c>
      <c r="E4054" t="n" s="0">
        <v>49755.0</v>
      </c>
      <c r="F4054" t="n" s="0">
        <v>44524.0</v>
      </c>
      <c r="G4054" t="n" s="0">
        <v>48406.0</v>
      </c>
    </row>
    <row r="4055">
      <c r="A4055" t="s" s="0">
        <v>4065</v>
      </c>
      <c r="B4055" t="n" s="0">
        <v>1132917.0</v>
      </c>
      <c r="C4055" t="n" s="0">
        <v>50763.0</v>
      </c>
      <c r="D4055" t="n" s="0">
        <v>51594.0</v>
      </c>
      <c r="E4055" t="n" s="0">
        <v>49645.0</v>
      </c>
      <c r="F4055" t="n" s="0">
        <v>33756.0</v>
      </c>
      <c r="G4055" t="n" s="0">
        <v>48741.0</v>
      </c>
    </row>
    <row r="4056">
      <c r="A4056" t="s" s="0">
        <v>4066</v>
      </c>
      <c r="B4056" t="n" s="11">
        <v>1132917.0</v>
      </c>
      <c r="C4056" t="n" s="11">
        <v>50763.0</v>
      </c>
      <c r="D4056" t="n" s="11">
        <v>51594.0</v>
      </c>
      <c r="E4056" t="n" s="11">
        <v>49645.0</v>
      </c>
      <c r="F4056" t="n" s="11">
        <v>33756.0</v>
      </c>
      <c r="G4056" t="n" s="11">
        <v>48741.0</v>
      </c>
    </row>
    <row r="4057">
      <c r="A4057" t="s" s="0">
        <v>4067</v>
      </c>
      <c r="B4057" t="n" s="12">
        <v>1132917.0</v>
      </c>
      <c r="C4057" t="n" s="12">
        <v>50763.0</v>
      </c>
      <c r="D4057" t="n" s="12">
        <v>51594.0</v>
      </c>
      <c r="E4057" t="n" s="12">
        <v>49645.0</v>
      </c>
      <c r="F4057" t="n" s="12">
        <v>33756.0</v>
      </c>
      <c r="G4057" t="n" s="12">
        <v>48741.0</v>
      </c>
    </row>
    <row r="4058">
      <c r="A4058" t="s" s="0">
        <v>4068</v>
      </c>
      <c r="B4058" t="n" s="0">
        <v>1124290.0</v>
      </c>
      <c r="C4058" t="n" s="0">
        <v>33403.0</v>
      </c>
      <c r="D4058" t="n" s="0">
        <v>52554.0</v>
      </c>
      <c r="E4058" t="n" s="0">
        <v>49944.0</v>
      </c>
      <c r="F4058" t="n" s="0">
        <v>37598.0</v>
      </c>
      <c r="G4058" t="n" s="0">
        <v>46279.0</v>
      </c>
    </row>
    <row r="4059">
      <c r="A4059" t="s" s="0">
        <v>4071</v>
      </c>
      <c r="B4059" t="n" s="0">
        <v>1152060.0</v>
      </c>
      <c r="C4059" t="n" s="0">
        <v>46774.0</v>
      </c>
      <c r="D4059" t="n" s="0">
        <v>52495.0</v>
      </c>
      <c r="E4059" t="n" s="0">
        <v>49806.0</v>
      </c>
      <c r="F4059" t="n" s="0">
        <v>41798.0</v>
      </c>
      <c r="G4059" t="n" s="0">
        <v>46873.0</v>
      </c>
    </row>
    <row r="4060">
      <c r="A4060" t="s" s="0">
        <v>4072</v>
      </c>
      <c r="B4060" t="n" s="0">
        <v>1153867.0</v>
      </c>
      <c r="C4060" t="n" s="0">
        <v>52232.0</v>
      </c>
      <c r="D4060" t="n" s="0">
        <v>53761.0</v>
      </c>
      <c r="E4060" t="n" s="0">
        <v>50338.0</v>
      </c>
      <c r="F4060" t="n" s="0">
        <v>51045.0</v>
      </c>
      <c r="G4060" t="n" s="0">
        <v>46397.0</v>
      </c>
    </row>
    <row r="4061">
      <c r="A4061" t="s" s="0">
        <v>4069</v>
      </c>
      <c r="B4061" t="n" s="0">
        <v>1184367.0</v>
      </c>
      <c r="C4061" t="n" s="0">
        <v>36644.0</v>
      </c>
      <c r="D4061" t="n" s="0">
        <v>49788.0</v>
      </c>
      <c r="E4061" t="n" s="0">
        <v>49906.0</v>
      </c>
      <c r="F4061" t="n" s="0">
        <v>50605.0</v>
      </c>
      <c r="G4061" t="n" s="0">
        <v>47911.0</v>
      </c>
    </row>
    <row r="4062">
      <c r="A4062" t="s" s="0">
        <v>4070</v>
      </c>
      <c r="B4062" t="n" s="0">
        <v>1171229.0</v>
      </c>
      <c r="C4062" t="n" s="0">
        <v>60270.0</v>
      </c>
      <c r="D4062" t="n" s="0">
        <v>51004.0</v>
      </c>
      <c r="E4062" t="n" s="0">
        <v>50093.0</v>
      </c>
      <c r="F4062" t="n" s="0">
        <v>56007.0</v>
      </c>
      <c r="G4062" t="n" s="0">
        <v>46488.0</v>
      </c>
    </row>
    <row r="4063">
      <c r="A4063" t="s" s="0">
        <v>4073</v>
      </c>
      <c r="B4063" t="n" s="18">
        <v>1171229.0</v>
      </c>
      <c r="C4063" t="n" s="18">
        <v>60270.0</v>
      </c>
      <c r="D4063" t="n" s="18">
        <v>51004.0</v>
      </c>
      <c r="E4063" t="n" s="18">
        <v>50093.0</v>
      </c>
      <c r="F4063" t="n" s="18">
        <v>56007.0</v>
      </c>
      <c r="G4063" t="n" s="18">
        <v>46488.0</v>
      </c>
    </row>
    <row r="4064">
      <c r="A4064" t="s" s="0">
        <v>4074</v>
      </c>
      <c r="B4064" t="n" s="19">
        <v>1171229.0</v>
      </c>
      <c r="C4064" t="n" s="19">
        <v>60270.0</v>
      </c>
      <c r="D4064" t="n" s="19">
        <v>51004.0</v>
      </c>
      <c r="E4064" t="n" s="19">
        <v>50093.0</v>
      </c>
      <c r="F4064" t="n" s="19">
        <v>56007.0</v>
      </c>
      <c r="G4064" t="n" s="19">
        <v>46488.0</v>
      </c>
    </row>
    <row r="4065">
      <c r="A4065" t="s" s="0">
        <v>4075</v>
      </c>
      <c r="B4065" t="n" s="0">
        <v>1138500.0</v>
      </c>
      <c r="C4065" t="n" s="0">
        <v>31707.0</v>
      </c>
      <c r="D4065" t="n" s="0">
        <v>53065.0</v>
      </c>
      <c r="E4065" t="n" s="0">
        <v>51199.0</v>
      </c>
      <c r="F4065" t="n" s="0">
        <v>54623.0</v>
      </c>
      <c r="G4065" t="n" s="0">
        <v>47062.0</v>
      </c>
    </row>
    <row r="4066">
      <c r="A4066" t="s" s="0">
        <v>4078</v>
      </c>
      <c r="B4066" t="n" s="0">
        <v>1131237.0</v>
      </c>
      <c r="C4066" t="n" s="0">
        <v>52529.0</v>
      </c>
      <c r="D4066" t="n" s="0">
        <v>53026.0</v>
      </c>
      <c r="E4066" t="n" s="0">
        <v>51492.0</v>
      </c>
      <c r="F4066" t="n" s="0">
        <v>49573.0</v>
      </c>
      <c r="G4066" t="n" s="0">
        <v>46916.0</v>
      </c>
    </row>
    <row r="4067">
      <c r="A4067" t="s" s="0">
        <v>4077</v>
      </c>
      <c r="B4067" t="n" s="0">
        <v>1082475.0</v>
      </c>
      <c r="C4067" t="n" s="0">
        <v>49370.0</v>
      </c>
      <c r="D4067" t="n" s="0">
        <v>50726.0</v>
      </c>
      <c r="E4067" t="n" s="0">
        <v>51435.0</v>
      </c>
      <c r="F4067" t="n" s="0">
        <v>40326.0</v>
      </c>
      <c r="G4067" t="n" s="0">
        <v>46559.0</v>
      </c>
    </row>
    <row r="4068">
      <c r="A4068" t="s" s="0">
        <v>4076</v>
      </c>
      <c r="B4068" t="n" s="0">
        <v>1028968.0</v>
      </c>
      <c r="C4068" t="n" s="0">
        <v>53633.0</v>
      </c>
      <c r="D4068" t="n" s="0">
        <v>53153.0</v>
      </c>
      <c r="E4068" t="n" s="0">
        <v>51534.0</v>
      </c>
      <c r="F4068" t="n" s="0">
        <v>30752.0</v>
      </c>
      <c r="G4068" t="n" s="0">
        <v>42095.0</v>
      </c>
    </row>
    <row r="4069">
      <c r="A4069" t="s" s="0">
        <v>4079</v>
      </c>
      <c r="B4069" t="n" s="0">
        <v>1067661.0</v>
      </c>
      <c r="C4069" t="n" s="0">
        <v>57043.0</v>
      </c>
      <c r="D4069" t="n" s="0">
        <v>52692.0</v>
      </c>
      <c r="E4069" t="n" s="0">
        <v>51661.0</v>
      </c>
      <c r="F4069" t="n" s="0">
        <v>37687.0</v>
      </c>
      <c r="G4069" t="n" s="0">
        <v>45510.0</v>
      </c>
    </row>
    <row r="4070">
      <c r="A4070" t="s" s="0">
        <v>4080</v>
      </c>
      <c r="B4070" t="n" s="25">
        <v>1067661.0</v>
      </c>
      <c r="C4070" t="n" s="25">
        <v>57043.0</v>
      </c>
      <c r="D4070" t="n" s="25">
        <v>52692.0</v>
      </c>
      <c r="E4070" t="n" s="25">
        <v>51661.0</v>
      </c>
      <c r="F4070" t="n" s="25">
        <v>37687.0</v>
      </c>
      <c r="G4070" t="n" s="25">
        <v>45510.0</v>
      </c>
    </row>
    <row r="4071">
      <c r="A4071" t="s" s="0">
        <v>4081</v>
      </c>
      <c r="B4071" t="n" s="26">
        <v>1067661.0</v>
      </c>
      <c r="C4071" t="n" s="26">
        <v>57043.0</v>
      </c>
      <c r="D4071" t="n" s="26">
        <v>52692.0</v>
      </c>
      <c r="E4071" t="n" s="26">
        <v>51661.0</v>
      </c>
      <c r="F4071" t="n" s="26">
        <v>37687.0</v>
      </c>
      <c r="G4071" t="n" s="26">
        <v>45510.0</v>
      </c>
    </row>
    <row r="4072">
      <c r="A4072" t="s" s="0">
        <v>4082</v>
      </c>
      <c r="B4072" t="n" s="0">
        <v>1107994.0</v>
      </c>
      <c r="C4072" t="n" s="0">
        <v>35824.0</v>
      </c>
      <c r="D4072" t="n" s="0">
        <v>52101.0</v>
      </c>
      <c r="E4072" t="n" s="0">
        <v>52474.0</v>
      </c>
      <c r="F4072" t="n" s="0">
        <v>47531.0</v>
      </c>
      <c r="G4072" t="n" s="0">
        <v>44251.0</v>
      </c>
    </row>
    <row r="4073">
      <c r="A4073" t="s" s="0">
        <v>4084</v>
      </c>
      <c r="B4073" t="n" s="0">
        <v>1093948.0</v>
      </c>
      <c r="C4073" t="n" s="0">
        <v>49526.0</v>
      </c>
      <c r="D4073" t="n" s="0">
        <v>51094.0</v>
      </c>
      <c r="E4073" t="n" s="0">
        <v>52662.0</v>
      </c>
      <c r="F4073" t="n" s="0">
        <v>45546.0</v>
      </c>
      <c r="G4073" t="n" s="0">
        <v>45698.0</v>
      </c>
    </row>
    <row r="4074">
      <c r="A4074" t="s" s="0">
        <v>4083</v>
      </c>
      <c r="B4074" t="n" s="0">
        <v>1072979.0</v>
      </c>
      <c r="C4074" t="n" s="0">
        <v>55120.0</v>
      </c>
      <c r="D4074" t="n" s="0">
        <v>54637.0</v>
      </c>
      <c r="E4074" t="n" s="0">
        <v>52713.0</v>
      </c>
      <c r="F4074" t="n" s="0">
        <v>52955.0</v>
      </c>
      <c r="G4074" t="n" s="0">
        <v>47462.0</v>
      </c>
    </row>
    <row r="4075">
      <c r="A4075" t="s" s="0">
        <v>4085</v>
      </c>
      <c r="B4075" t="n" s="0">
        <v>1095951.0</v>
      </c>
      <c r="C4075" t="n" s="0">
        <v>57912.0</v>
      </c>
      <c r="D4075" t="n" s="0">
        <v>55254.0</v>
      </c>
      <c r="E4075" t="n" s="0">
        <v>52762.0</v>
      </c>
      <c r="F4075" t="n" s="0">
        <v>64492.0</v>
      </c>
      <c r="G4075" t="n" s="0">
        <v>47593.0</v>
      </c>
    </row>
    <row r="4076">
      <c r="A4076" t="s" s="0">
        <v>4086</v>
      </c>
      <c r="B4076" t="n" s="0">
        <v>1017415.0</v>
      </c>
      <c r="C4076" t="n" s="0">
        <v>56684.0</v>
      </c>
      <c r="D4076" t="n" s="0">
        <v>55203.0</v>
      </c>
      <c r="E4076" t="n" s="0">
        <v>52623.0</v>
      </c>
      <c r="F4076" t="n" s="0">
        <v>47694.0</v>
      </c>
      <c r="G4076" t="n" s="0">
        <v>43786.0</v>
      </c>
    </row>
    <row r="4077">
      <c r="A4077" t="s" s="0">
        <v>4087</v>
      </c>
      <c r="B4077" t="n" s="32">
        <v>1017415.0</v>
      </c>
      <c r="C4077" t="n" s="32">
        <v>56684.0</v>
      </c>
      <c r="D4077" t="n" s="32">
        <v>55203.0</v>
      </c>
      <c r="E4077" t="n" s="32">
        <v>52623.0</v>
      </c>
      <c r="F4077" t="n" s="32">
        <v>47694.0</v>
      </c>
      <c r="G4077" t="n" s="32">
        <v>43786.0</v>
      </c>
    </row>
    <row r="4078">
      <c r="A4078" t="s" s="0">
        <v>4088</v>
      </c>
      <c r="B4078" t="n" s="33">
        <v>1017415.0</v>
      </c>
      <c r="C4078" t="n" s="33">
        <v>56684.0</v>
      </c>
      <c r="D4078" t="n" s="33">
        <v>55203.0</v>
      </c>
      <c r="E4078" t="n" s="33">
        <v>52623.0</v>
      </c>
      <c r="F4078" t="n" s="33">
        <v>47694.0</v>
      </c>
      <c r="G4078" t="n" s="33">
        <v>43786.0</v>
      </c>
    </row>
    <row r="4079">
      <c r="A4079" t="s" s="0">
        <v>4089</v>
      </c>
      <c r="B4079" t="n" s="0">
        <v>944552.0</v>
      </c>
      <c r="C4079" t="n" s="0">
        <v>32589.0</v>
      </c>
      <c r="D4079" t="n" s="0">
        <v>53653.0</v>
      </c>
      <c r="E4079" t="n" s="0">
        <v>52843.0</v>
      </c>
      <c r="F4079" t="n" s="0">
        <v>29947.0</v>
      </c>
      <c r="G4079" t="n" s="0">
        <v>42425.0</v>
      </c>
    </row>
    <row r="4080">
      <c r="A4080" t="s" s="0">
        <v>4090</v>
      </c>
      <c r="B4080" t="n" s="0">
        <v>1058274.0</v>
      </c>
      <c r="C4080" t="n" s="0">
        <v>39721.0</v>
      </c>
      <c r="D4080" t="n" s="0">
        <v>51538.0</v>
      </c>
      <c r="E4080" t="n" s="0">
        <v>52038.0</v>
      </c>
      <c r="F4080" t="n" s="0">
        <v>46153.0</v>
      </c>
      <c r="G4080" t="n" s="0">
        <v>45768.0</v>
      </c>
    </row>
    <row r="4081">
      <c r="A4081" t="s" s="0">
        <v>4093</v>
      </c>
      <c r="B4081" t="n" s="0">
        <v>1068129.0</v>
      </c>
      <c r="C4081" t="n" s="0">
        <v>52789.0</v>
      </c>
      <c r="D4081" t="n" s="0">
        <v>49919.0</v>
      </c>
      <c r="E4081" t="n" s="0">
        <v>52261.0</v>
      </c>
      <c r="F4081" t="n" s="0">
        <v>47798.0</v>
      </c>
      <c r="G4081" t="n" s="0">
        <v>48031.0</v>
      </c>
    </row>
    <row r="4082">
      <c r="A4082" t="s" s="0">
        <v>4091</v>
      </c>
      <c r="B4082" t="n" s="0">
        <v>1079816.0</v>
      </c>
      <c r="C4082" t="n" s="0">
        <v>50542.0</v>
      </c>
      <c r="D4082" t="n" s="0">
        <v>49002.0</v>
      </c>
      <c r="E4082" t="n" s="0">
        <v>51799.0</v>
      </c>
      <c r="F4082" t="n" s="0">
        <v>45272.0</v>
      </c>
      <c r="G4082" t="n" s="0">
        <v>47780.0</v>
      </c>
    </row>
    <row r="4083">
      <c r="A4083" t="s" s="0">
        <v>4092</v>
      </c>
      <c r="B4083" t="n" s="0">
        <v>1063710.0</v>
      </c>
      <c r="C4083" t="n" s="0">
        <v>46200.0</v>
      </c>
      <c r="D4083" t="n" s="0">
        <v>47505.0</v>
      </c>
      <c r="E4083" t="n" s="0">
        <v>51601.0</v>
      </c>
      <c r="F4083" t="n" s="0">
        <v>52695.0</v>
      </c>
      <c r="G4083" t="n" s="0">
        <v>48520.0</v>
      </c>
    </row>
    <row r="4084">
      <c r="A4084" t="s" s="0">
        <v>4094</v>
      </c>
      <c r="B4084" t="n" s="39">
        <v>1063710.0</v>
      </c>
      <c r="C4084" t="n" s="39">
        <v>46200.0</v>
      </c>
      <c r="D4084" t="n" s="39">
        <v>47505.0</v>
      </c>
      <c r="E4084" t="n" s="39">
        <v>51601.0</v>
      </c>
      <c r="F4084" t="n" s="39">
        <v>52695.0</v>
      </c>
      <c r="G4084" t="n" s="39">
        <v>48520.0</v>
      </c>
    </row>
    <row r="4085">
      <c r="A4085" t="s" s="0">
        <v>4095</v>
      </c>
      <c r="B4085" t="n" s="40">
        <v>1063710.0</v>
      </c>
      <c r="C4085" t="n" s="40">
        <v>46200.0</v>
      </c>
      <c r="D4085" t="n" s="40">
        <v>47505.0</v>
      </c>
      <c r="E4085" t="n" s="40">
        <v>51601.0</v>
      </c>
      <c r="F4085" t="n" s="40">
        <v>52695.0</v>
      </c>
      <c r="G4085" t="n" s="40">
        <v>48520.0</v>
      </c>
    </row>
    <row r="4086">
      <c r="A4086" t="s" s="0">
        <v>4096</v>
      </c>
      <c r="B4086" t="n" s="0">
        <v>1081498.0</v>
      </c>
      <c r="C4086" t="n" s="0">
        <v>26876.0</v>
      </c>
      <c r="D4086" t="n" s="0">
        <v>42546.0</v>
      </c>
      <c r="E4086" t="n" s="0">
        <v>50341.0</v>
      </c>
      <c r="F4086" t="n" s="0">
        <v>60718.0</v>
      </c>
      <c r="G4086" t="n" s="0">
        <v>48205.0</v>
      </c>
    </row>
    <row r="4087">
      <c r="A4087" t="s" s="0">
        <v>4097</v>
      </c>
      <c r="B4087" t="n" s="0">
        <v>1083266.0</v>
      </c>
      <c r="C4087" t="n" s="0">
        <v>39836.0</v>
      </c>
      <c r="D4087" t="n" s="0">
        <v>45132.0</v>
      </c>
      <c r="E4087" t="n" s="0">
        <v>50197.0</v>
      </c>
      <c r="F4087" t="n" s="0">
        <v>47261.0</v>
      </c>
      <c r="G4087" t="n" s="0">
        <v>47133.0</v>
      </c>
    </row>
    <row r="4088">
      <c r="A4088" t="s" s="0">
        <v>4099</v>
      </c>
      <c r="B4088" t="n" s="0">
        <v>1045852.0</v>
      </c>
      <c r="C4088" t="n" s="0">
        <v>45560.0</v>
      </c>
      <c r="D4088" t="n" s="0">
        <v>42664.0</v>
      </c>
      <c r="E4088" t="n" s="0">
        <v>49486.0</v>
      </c>
      <c r="F4088" t="n" s="0">
        <v>38329.0</v>
      </c>
      <c r="G4088" t="n" s="0">
        <v>44852.0</v>
      </c>
    </row>
    <row r="4089">
      <c r="A4089" t="s" s="0">
        <v>4098</v>
      </c>
      <c r="B4089" t="n" s="0">
        <v>1056597.0</v>
      </c>
      <c r="C4089" t="n" s="0">
        <v>42010.0</v>
      </c>
      <c r="D4089" t="n" s="0">
        <v>41302.0</v>
      </c>
      <c r="E4089" t="n" s="0">
        <v>49678.0</v>
      </c>
      <c r="F4089" t="n" s="0">
        <v>36831.0</v>
      </c>
      <c r="G4089" t="n" s="0">
        <v>44337.0</v>
      </c>
    </row>
    <row r="4090">
      <c r="A4090" t="s" s="0">
        <v>4100</v>
      </c>
      <c r="B4090" t="n" s="0">
        <v>1059906.0</v>
      </c>
      <c r="C4090" t="n" s="0">
        <v>43746.0</v>
      </c>
      <c r="D4090" t="n" s="0">
        <v>42803.0</v>
      </c>
      <c r="E4090" t="n" s="0">
        <v>49551.0</v>
      </c>
      <c r="F4090" t="n" s="0">
        <v>41106.0</v>
      </c>
      <c r="G4090" t="n" s="0">
        <v>44795.0</v>
      </c>
    </row>
    <row r="4091">
      <c r="A4091" t="s" s="0">
        <v>4101</v>
      </c>
      <c r="B4091" t="n" s="46">
        <v>1059906.0</v>
      </c>
      <c r="C4091" t="n" s="46">
        <v>43746.0</v>
      </c>
      <c r="D4091" t="n" s="46">
        <v>42803.0</v>
      </c>
      <c r="E4091" t="n" s="46">
        <v>49551.0</v>
      </c>
      <c r="F4091" t="n" s="46">
        <v>41106.0</v>
      </c>
      <c r="G4091" t="n" s="46">
        <v>44795.0</v>
      </c>
    </row>
    <row r="4092">
      <c r="A4092" t="s" s="0">
        <v>4102</v>
      </c>
      <c r="B4092" t="n" s="47">
        <v>1059906.0</v>
      </c>
      <c r="C4092" t="n" s="47">
        <v>43746.0</v>
      </c>
      <c r="D4092" t="n" s="47">
        <v>42803.0</v>
      </c>
      <c r="E4092" t="n" s="47">
        <v>49551.0</v>
      </c>
      <c r="F4092" t="n" s="47">
        <v>41106.0</v>
      </c>
      <c r="G4092" t="n" s="47">
        <v>44795.0</v>
      </c>
    </row>
    <row r="4093">
      <c r="A4093" t="s" s="0">
        <v>4103</v>
      </c>
      <c r="B4093" t="n" s="0">
        <v>1132856.0</v>
      </c>
      <c r="C4093" t="n" s="0">
        <v>31400.0</v>
      </c>
      <c r="D4093" t="n" s="0">
        <v>45427.0</v>
      </c>
      <c r="E4093" t="n" s="0">
        <v>48432.0</v>
      </c>
      <c r="F4093" t="n" s="0">
        <v>51613.0</v>
      </c>
      <c r="G4093" t="n" s="0">
        <v>47452.0</v>
      </c>
    </row>
    <row r="4094">
      <c r="A4094" t="s" s="0">
        <v>4104</v>
      </c>
      <c r="B4094" t="n" s="0">
        <v>1129908.0</v>
      </c>
      <c r="C4094" t="n" s="0">
        <v>43023.0</v>
      </c>
      <c r="D4094" t="n" s="0">
        <v>43313.0</v>
      </c>
      <c r="E4094" t="n" s="0">
        <v>47769.0</v>
      </c>
      <c r="F4094" t="n" s="0">
        <v>47962.0</v>
      </c>
      <c r="G4094" t="n" s="0">
        <v>46731.0</v>
      </c>
    </row>
    <row r="4095">
      <c r="A4095" t="s" s="0">
        <v>4107</v>
      </c>
      <c r="B4095" t="n" s="0">
        <v>1079337.0</v>
      </c>
      <c r="C4095" t="n" s="0">
        <v>50395.0</v>
      </c>
      <c r="D4095" t="n" s="0">
        <v>44716.0</v>
      </c>
      <c r="E4095" t="n" s="0">
        <v>47984.0</v>
      </c>
      <c r="F4095" t="n" s="0">
        <v>47832.0</v>
      </c>
      <c r="G4095" t="n" s="0">
        <v>46729.0</v>
      </c>
    </row>
    <row r="4096">
      <c r="A4096" t="s" s="0">
        <v>4105</v>
      </c>
      <c r="B4096" t="n" s="0">
        <v>1167724.0</v>
      </c>
      <c r="C4096" t="n" s="0">
        <v>46505.0</v>
      </c>
      <c r="D4096" t="n" s="0">
        <v>45359.0</v>
      </c>
      <c r="E4096" t="n" s="0">
        <v>47729.0</v>
      </c>
      <c r="F4096" t="n" s="0">
        <v>59589.0</v>
      </c>
      <c r="G4096" t="n" s="0">
        <v>51546.0</v>
      </c>
    </row>
    <row r="4097">
      <c r="A4097" t="s" s="0">
        <v>4106</v>
      </c>
      <c r="B4097" t="n" s="0">
        <v>1138558.0</v>
      </c>
      <c r="C4097" t="n" s="0">
        <v>42706.0</v>
      </c>
      <c r="D4097" t="n" s="0">
        <v>43358.0</v>
      </c>
      <c r="E4097" t="n" s="0">
        <v>47217.0</v>
      </c>
      <c r="F4097" t="n" s="0">
        <v>51751.0</v>
      </c>
      <c r="G4097" t="n" s="0">
        <v>48312.0</v>
      </c>
    </row>
    <row r="4098">
      <c r="A4098" t="s" s="0">
        <v>4108</v>
      </c>
      <c r="B4098" t="n" s="53">
        <v>1138558.0</v>
      </c>
      <c r="C4098" t="n" s="53">
        <v>42706.0</v>
      </c>
      <c r="D4098" t="n" s="53">
        <v>43358.0</v>
      </c>
      <c r="E4098" t="n" s="53">
        <v>47217.0</v>
      </c>
      <c r="F4098" t="n" s="53">
        <v>51751.0</v>
      </c>
      <c r="G4098" t="n" s="53">
        <v>48312.0</v>
      </c>
    </row>
    <row r="4099">
      <c r="A4099" t="s" s="0">
        <v>4109</v>
      </c>
      <c r="B4099" t="n" s="54">
        <v>1138558.0</v>
      </c>
      <c r="C4099" t="n" s="54">
        <v>42706.0</v>
      </c>
      <c r="D4099" t="n" s="54">
        <v>43358.0</v>
      </c>
      <c r="E4099" t="n" s="54">
        <v>47217.0</v>
      </c>
      <c r="F4099" t="n" s="54">
        <v>51751.0</v>
      </c>
      <c r="G4099" t="n" s="54">
        <v>48312.0</v>
      </c>
    </row>
    <row r="4100">
      <c r="A4100" t="s" s="0">
        <v>4110</v>
      </c>
      <c r="B4100" t="n" s="0">
        <v>1144057.0</v>
      </c>
      <c r="C4100" t="n" s="0">
        <v>28839.0</v>
      </c>
      <c r="D4100" t="n" s="0">
        <v>42715.0</v>
      </c>
      <c r="E4100" t="n" s="0">
        <v>46085.0</v>
      </c>
      <c r="F4100" t="n" s="0">
        <v>41471.0</v>
      </c>
      <c r="G4100" t="n" s="0">
        <v>45937.0</v>
      </c>
    </row>
    <row r="4101">
      <c r="A4101" t="s" s="0">
        <v>4111</v>
      </c>
      <c r="B4101" t="n" s="0">
        <v>1180858.0</v>
      </c>
      <c r="C4101" t="n" s="0">
        <v>39096.0</v>
      </c>
      <c r="D4101" t="n" s="0">
        <v>43583.0</v>
      </c>
      <c r="E4101" t="n" s="0">
        <v>45891.0</v>
      </c>
      <c r="F4101" t="n" s="0">
        <v>48074.0</v>
      </c>
      <c r="G4101" t="n" s="0">
        <v>47363.0</v>
      </c>
    </row>
    <row r="4102">
      <c r="A4102" t="s" s="0">
        <v>4112</v>
      </c>
      <c r="B4102" t="n" s="0">
        <v>1187615.0</v>
      </c>
      <c r="C4102" t="n" s="0">
        <v>52012.0</v>
      </c>
      <c r="D4102" t="n" s="0">
        <v>43101.0</v>
      </c>
      <c r="E4102" t="n" s="0">
        <v>45100.0</v>
      </c>
      <c r="F4102" t="n" s="0">
        <v>55878.0</v>
      </c>
      <c r="G4102" t="n" s="0">
        <v>47459.0</v>
      </c>
    </row>
    <row r="4103">
      <c r="A4103" t="s" s="0">
        <v>4113</v>
      </c>
      <c r="B4103" t="n" s="0">
        <v>1207574.0</v>
      </c>
      <c r="C4103" t="n" s="0">
        <v>47363.0</v>
      </c>
      <c r="D4103" t="n" s="0">
        <v>45080.0</v>
      </c>
      <c r="E4103" t="n" s="0">
        <v>45186.0</v>
      </c>
      <c r="F4103" t="n" s="0">
        <v>48060.0</v>
      </c>
      <c r="G4103" t="n" s="0">
        <v>47438.0</v>
      </c>
    </row>
    <row r="4104">
      <c r="A4104" t="s" s="0">
        <v>4114</v>
      </c>
      <c r="B4104" t="n" s="0">
        <v>1214093.0</v>
      </c>
      <c r="C4104" t="n" s="0">
        <v>44160.0</v>
      </c>
      <c r="D4104" t="n" s="0">
        <v>47176.0</v>
      </c>
      <c r="E4104" t="n" s="0">
        <v>45210.0</v>
      </c>
      <c r="F4104" t="n" s="0">
        <v>55691.0</v>
      </c>
      <c r="G4104" t="n" s="0">
        <v>50311.0</v>
      </c>
    </row>
    <row r="4105">
      <c r="A4105" t="s" s="0">
        <v>4115</v>
      </c>
      <c r="B4105" t="n" s="60">
        <v>1214093.0</v>
      </c>
      <c r="C4105" t="n" s="60">
        <v>44160.0</v>
      </c>
      <c r="D4105" t="n" s="60">
        <v>47176.0</v>
      </c>
      <c r="E4105" t="n" s="60">
        <v>45210.0</v>
      </c>
      <c r="F4105" t="n" s="60">
        <v>55691.0</v>
      </c>
      <c r="G4105" t="n" s="60">
        <v>50311.0</v>
      </c>
    </row>
    <row r="4106">
      <c r="A4106" t="s" s="0">
        <v>4116</v>
      </c>
      <c r="B4106" t="n" s="61">
        <v>1214093.0</v>
      </c>
      <c r="C4106" t="n" s="61">
        <v>44160.0</v>
      </c>
      <c r="D4106" t="n" s="61">
        <v>47176.0</v>
      </c>
      <c r="E4106" t="n" s="61">
        <v>45210.0</v>
      </c>
      <c r="F4106" t="n" s="61">
        <v>55691.0</v>
      </c>
      <c r="G4106" t="n" s="61">
        <v>50311.0</v>
      </c>
    </row>
    <row r="4107">
      <c r="A4107" t="s" s="0">
        <v>4117</v>
      </c>
      <c r="B4107" t="n" s="0">
        <v>1271219.0</v>
      </c>
      <c r="C4107" t="n" s="0">
        <v>31841.0</v>
      </c>
      <c r="D4107" t="n" s="0">
        <v>47701.0</v>
      </c>
      <c r="E4107" t="n" s="0">
        <v>44597.0</v>
      </c>
      <c r="F4107" t="n" s="0">
        <v>63592.0</v>
      </c>
      <c r="G4107" t="n" s="0">
        <v>54349.0</v>
      </c>
    </row>
    <row r="4108">
      <c r="A4108" t="s" s="0">
        <v>4121</v>
      </c>
      <c r="B4108" t="n" s="0">
        <v>1306793.0</v>
      </c>
      <c r="C4108" t="n" s="0">
        <v>41880.0</v>
      </c>
      <c r="D4108" t="n" s="0">
        <v>46670.0</v>
      </c>
      <c r="E4108" t="n" s="0">
        <v>44674.0</v>
      </c>
      <c r="F4108" t="n" s="0">
        <v>61284.0</v>
      </c>
      <c r="G4108" t="n" s="0">
        <v>51145.0</v>
      </c>
    </row>
    <row r="4109">
      <c r="A4109" t="s" s="0">
        <v>4120</v>
      </c>
      <c r="B4109" t="n" s="0">
        <v>1238626.0</v>
      </c>
      <c r="C4109" t="n" s="0">
        <v>43615.0</v>
      </c>
      <c r="D4109" t="n" s="0">
        <v>46899.0</v>
      </c>
      <c r="E4109" t="n" s="0">
        <v>44345.0</v>
      </c>
      <c r="F4109" t="n" s="0">
        <v>50961.0</v>
      </c>
      <c r="G4109" t="n" s="0">
        <v>48250.0</v>
      </c>
    </row>
    <row r="4110">
      <c r="A4110" t="s" s="0">
        <v>4119</v>
      </c>
      <c r="B4110" t="n" s="0">
        <v>1212132.0</v>
      </c>
      <c r="C4110" t="n" s="0">
        <v>45406.0</v>
      </c>
      <c r="D4110" t="n" s="0">
        <v>46183.0</v>
      </c>
      <c r="E4110" t="n" s="0">
        <v>44481.0</v>
      </c>
      <c r="F4110" t="n" s="0">
        <v>43614.0</v>
      </c>
      <c r="G4110" t="n" s="0">
        <v>47024.0</v>
      </c>
    </row>
    <row r="4111">
      <c r="A4111" t="s" s="0">
        <v>4118</v>
      </c>
      <c r="B4111" t="n" s="0">
        <v>1215848.0</v>
      </c>
      <c r="C4111" t="n" s="0">
        <v>47146.0</v>
      </c>
      <c r="D4111" t="n" s="0">
        <v>46433.0</v>
      </c>
      <c r="E4111" t="n" s="0">
        <v>44942.0</v>
      </c>
      <c r="F4111" t="n" s="0">
        <v>43822.0</v>
      </c>
      <c r="G4111" t="n" s="0">
        <v>48092.0</v>
      </c>
    </row>
    <row r="4112">
      <c r="A4112" t="s" s="0">
        <v>4122</v>
      </c>
      <c r="B4112" t="n" s="67">
        <v>1215848.0</v>
      </c>
      <c r="C4112" t="n" s="67">
        <v>47146.0</v>
      </c>
      <c r="D4112" t="n" s="67">
        <v>46433.0</v>
      </c>
      <c r="E4112" t="n" s="67">
        <v>44942.0</v>
      </c>
      <c r="F4112" t="n" s="67">
        <v>43822.0</v>
      </c>
      <c r="G4112" t="n" s="67">
        <v>48092.0</v>
      </c>
    </row>
    <row r="4113">
      <c r="A4113" t="s" s="0">
        <v>4123</v>
      </c>
      <c r="B4113" t="n" s="68">
        <v>1215848.0</v>
      </c>
      <c r="C4113" t="n" s="68">
        <v>47146.0</v>
      </c>
      <c r="D4113" t="n" s="68">
        <v>46433.0</v>
      </c>
      <c r="E4113" t="n" s="68">
        <v>44942.0</v>
      </c>
      <c r="F4113" t="n" s="68">
        <v>43822.0</v>
      </c>
      <c r="G4113" t="n" s="68">
        <v>48092.0</v>
      </c>
    </row>
    <row r="4114">
      <c r="A4114" t="s" s="0">
        <v>4124</v>
      </c>
      <c r="B4114" t="n" s="0">
        <v>1202378.0</v>
      </c>
      <c r="C4114" t="n" s="0">
        <v>30762.0</v>
      </c>
      <c r="D4114" t="n" s="0">
        <v>45939.0</v>
      </c>
      <c r="E4114" t="n" s="0">
        <v>45446.0</v>
      </c>
      <c r="F4114" t="n" s="0">
        <v>33244.0</v>
      </c>
      <c r="G4114" t="n" s="0">
        <v>47480.0</v>
      </c>
    </row>
    <row r="4115">
      <c r="A4115" t="s" s="0">
        <v>4125</v>
      </c>
      <c r="B4115" t="n" s="0">
        <v>1167833.0</v>
      </c>
      <c r="C4115" t="n" s="0">
        <v>46262.0</v>
      </c>
      <c r="D4115" t="n" s="0">
        <v>47959.0</v>
      </c>
      <c r="E4115" t="n" s="0">
        <v>45381.0</v>
      </c>
      <c r="F4115" t="n" s="0">
        <v>25566.0</v>
      </c>
      <c r="G4115" t="n" s="0">
        <v>45722.0</v>
      </c>
    </row>
    <row r="4116">
      <c r="A4116" t="s" s="0">
        <v>4127</v>
      </c>
      <c r="B4116" t="n" s="0">
        <v>1138172.0</v>
      </c>
      <c r="C4116" t="n" s="0">
        <v>49842.0</v>
      </c>
      <c r="D4116" t="n" s="0">
        <v>49293.0</v>
      </c>
      <c r="E4116" t="n" s="0">
        <v>46002.0</v>
      </c>
      <c r="F4116" t="n" s="0">
        <v>32360.0</v>
      </c>
      <c r="G4116" t="n" s="0">
        <v>46758.0</v>
      </c>
    </row>
    <row r="4117">
      <c r="A4117" t="s" s="0">
        <v>4126</v>
      </c>
      <c r="B4117" t="n" s="0">
        <v>1202365.0</v>
      </c>
      <c r="C4117" t="n" s="0">
        <v>45995.0</v>
      </c>
      <c r="D4117" t="n" s="0">
        <v>47957.0</v>
      </c>
      <c r="E4117" t="n" s="0">
        <v>46145.0</v>
      </c>
      <c r="F4117" t="n" s="0">
        <v>43975.0</v>
      </c>
      <c r="G4117" t="n" s="0">
        <v>48809.0</v>
      </c>
    </row>
    <row r="4118">
      <c r="A4118" t="s" s="0">
        <v>4128</v>
      </c>
      <c r="B4118" t="n" s="0">
        <v>1186607.0</v>
      </c>
      <c r="C4118" t="n" s="0">
        <v>47462.0</v>
      </c>
      <c r="D4118" t="n" s="0">
        <v>47008.0</v>
      </c>
      <c r="E4118" t="n" s="0">
        <v>45994.0</v>
      </c>
      <c r="F4118" t="n" s="0">
        <v>39880.0</v>
      </c>
      <c r="G4118" t="n" s="0">
        <v>47786.0</v>
      </c>
    </row>
    <row r="4119">
      <c r="A4119" t="s" s="0">
        <v>4129</v>
      </c>
      <c r="B4119" t="n" s="74">
        <v>1186607.0</v>
      </c>
      <c r="C4119" t="n" s="74">
        <v>47462.0</v>
      </c>
      <c r="D4119" t="n" s="74">
        <v>47008.0</v>
      </c>
      <c r="E4119" t="n" s="74">
        <v>45994.0</v>
      </c>
      <c r="F4119" t="n" s="74">
        <v>39880.0</v>
      </c>
      <c r="G4119" t="n" s="74">
        <v>47786.0</v>
      </c>
    </row>
    <row r="4120">
      <c r="A4120" t="s" s="0">
        <v>4130</v>
      </c>
      <c r="B4120" t="n" s="75">
        <v>1186607.0</v>
      </c>
      <c r="C4120" t="n" s="75">
        <v>47462.0</v>
      </c>
      <c r="D4120" t="n" s="75">
        <v>47008.0</v>
      </c>
      <c r="E4120" t="n" s="75">
        <v>45994.0</v>
      </c>
      <c r="F4120" t="n" s="75">
        <v>39880.0</v>
      </c>
      <c r="G4120" t="n" s="75">
        <v>47786.0</v>
      </c>
    </row>
    <row r="4121">
      <c r="A4121" t="s" s="0">
        <v>4131</v>
      </c>
      <c r="B4121" t="n" s="0">
        <v>1161312.0</v>
      </c>
      <c r="C4121" t="n" s="0">
        <v>29890.0</v>
      </c>
      <c r="D4121" t="n" s="0">
        <v>47969.0</v>
      </c>
      <c r="E4121" t="n" s="0">
        <v>46081.0</v>
      </c>
      <c r="F4121" t="n" s="0">
        <v>39147.0</v>
      </c>
      <c r="G4121" t="n" s="0">
        <v>44364.0</v>
      </c>
    </row>
    <row r="4122">
      <c r="A4122" t="s" s="0">
        <v>4132</v>
      </c>
      <c r="B4122" t="n" s="0">
        <v>1135701.0</v>
      </c>
      <c r="C4122" t="n" s="0">
        <v>42749.0</v>
      </c>
      <c r="D4122" t="n" s="0">
        <v>46792.0</v>
      </c>
      <c r="E4122" t="n" s="0">
        <v>46251.0</v>
      </c>
      <c r="F4122" t="n" s="0">
        <v>39864.0</v>
      </c>
      <c r="G4122" t="n" s="0">
        <v>43697.0</v>
      </c>
    </row>
    <row r="4123">
      <c r="A4123" t="s" s="0">
        <v>4133</v>
      </c>
      <c r="B4123" t="n" s="0">
        <v>1129782.0</v>
      </c>
      <c r="C4123" t="n" s="0">
        <v>46744.0</v>
      </c>
      <c r="D4123" t="n" s="0">
        <v>44475.0</v>
      </c>
      <c r="E4123" t="n" s="0">
        <v>45942.0</v>
      </c>
      <c r="F4123" t="n" s="0">
        <v>41313.0</v>
      </c>
      <c r="G4123" t="n" s="0">
        <v>45128.0</v>
      </c>
    </row>
    <row r="4124">
      <c r="A4124" t="s" s="0">
        <v>4135</v>
      </c>
      <c r="B4124" t="n" s="0">
        <v>1105182.0</v>
      </c>
      <c r="C4124" t="n" s="0">
        <v>47443.0</v>
      </c>
      <c r="D4124" t="n" s="0">
        <v>44682.0</v>
      </c>
      <c r="E4124" t="n" s="0">
        <v>45976.0</v>
      </c>
      <c r="F4124" t="n" s="0">
        <v>28439.0</v>
      </c>
      <c r="G4124" t="n" s="0">
        <v>41022.0</v>
      </c>
    </row>
    <row r="4125">
      <c r="A4125" t="s" s="0">
        <v>4134</v>
      </c>
      <c r="B4125" t="n" s="0">
        <v>1097380.0</v>
      </c>
      <c r="C4125" t="n" s="0">
        <v>48071.0</v>
      </c>
      <c r="D4125" t="n" s="0">
        <v>44053.0</v>
      </c>
      <c r="E4125" t="n" s="0">
        <v>46167.0</v>
      </c>
      <c r="F4125" t="n" s="0">
        <v>29405.0</v>
      </c>
      <c r="G4125" t="n" s="0">
        <v>42199.0</v>
      </c>
    </row>
    <row r="4126">
      <c r="A4126" t="s" s="0">
        <v>4136</v>
      </c>
      <c r="B4126" t="n" s="81">
        <v>1097380.0</v>
      </c>
      <c r="C4126" t="n" s="81">
        <v>48071.0</v>
      </c>
      <c r="D4126" t="n" s="81">
        <v>44053.0</v>
      </c>
      <c r="E4126" t="n" s="81">
        <v>46167.0</v>
      </c>
      <c r="F4126" t="n" s="81">
        <v>29405.0</v>
      </c>
      <c r="G4126" t="n" s="81">
        <v>42199.0</v>
      </c>
    </row>
    <row r="4127">
      <c r="A4127" t="s" s="0">
        <v>4137</v>
      </c>
      <c r="B4127" t="n" s="82">
        <v>1097380.0</v>
      </c>
      <c r="C4127" t="n" s="82">
        <v>48071.0</v>
      </c>
      <c r="D4127" t="n" s="82">
        <v>44053.0</v>
      </c>
      <c r="E4127" t="n" s="82">
        <v>46167.0</v>
      </c>
      <c r="F4127" t="n" s="82">
        <v>29405.0</v>
      </c>
      <c r="G4127" t="n" s="82">
        <v>42199.0</v>
      </c>
    </row>
    <row r="4128">
      <c r="A4128" t="s" s="0">
        <v>4138</v>
      </c>
      <c r="B4128" t="n" s="0">
        <v>1137702.0</v>
      </c>
      <c r="C4128" t="n" s="0">
        <v>30575.0</v>
      </c>
      <c r="D4128" t="n" s="0">
        <v>44860.0</v>
      </c>
      <c r="E4128" t="n" s="0">
        <v>46617.0</v>
      </c>
      <c r="F4128" t="n" s="0">
        <v>39588.0</v>
      </c>
      <c r="G4128" t="n" s="0">
        <v>43893.0</v>
      </c>
    </row>
    <row r="4129">
      <c r="A4129" t="s" s="0">
        <v>4140</v>
      </c>
      <c r="B4129" t="n" s="0">
        <v>1100455.0</v>
      </c>
      <c r="C4129" t="n" s="0">
        <v>38538.0</v>
      </c>
      <c r="D4129" t="n" s="0">
        <v>43541.0</v>
      </c>
      <c r="E4129" t="n" s="0">
        <v>46240.0</v>
      </c>
      <c r="F4129" t="n" s="0">
        <v>37473.0</v>
      </c>
      <c r="G4129" t="n" s="0">
        <v>41047.0</v>
      </c>
    </row>
    <row r="4130">
      <c r="A4130" t="s" s="0">
        <v>4141</v>
      </c>
      <c r="B4130" t="n" s="0">
        <v>1151792.0</v>
      </c>
      <c r="C4130" t="n" s="0">
        <v>46842.0</v>
      </c>
      <c r="D4130" t="n" s="0">
        <v>43840.0</v>
      </c>
      <c r="E4130" t="n" s="0">
        <v>46127.0</v>
      </c>
      <c r="F4130" t="n" s="0">
        <v>46050.0</v>
      </c>
      <c r="G4130" t="n" s="0">
        <v>42671.0</v>
      </c>
    </row>
    <row r="4131">
      <c r="A4131" t="s" s="0">
        <v>4142</v>
      </c>
      <c r="B4131" t="n" s="0">
        <v>1153145.0</v>
      </c>
      <c r="C4131" t="n" s="0">
        <v>48102.0</v>
      </c>
      <c r="D4131" t="n" s="0">
        <v>45560.0</v>
      </c>
      <c r="E4131" t="n" s="0">
        <v>46096.0</v>
      </c>
      <c r="F4131" t="n" s="0">
        <v>51714.0</v>
      </c>
      <c r="G4131" t="n" s="0">
        <v>41935.0</v>
      </c>
    </row>
    <row r="4132">
      <c r="A4132" t="s" s="0">
        <v>4139</v>
      </c>
      <c r="B4132" t="n" s="0">
        <v>1070755.0</v>
      </c>
      <c r="C4132" t="n" s="0">
        <v>48851.0</v>
      </c>
      <c r="D4132" t="n" s="0">
        <v>50808.0</v>
      </c>
      <c r="E4132" t="n" s="0">
        <v>47075.0</v>
      </c>
      <c r="F4132" t="n" s="0">
        <v>46287.0</v>
      </c>
      <c r="G4132" t="n" s="0">
        <v>39849.0</v>
      </c>
    </row>
    <row r="4133">
      <c r="A4133" t="s" s="0">
        <v>4143</v>
      </c>
      <c r="B4133" t="n" s="88">
        <v>1070755.0</v>
      </c>
      <c r="C4133" t="n" s="88">
        <v>48851.0</v>
      </c>
      <c r="D4133" t="n" s="88">
        <v>50808.0</v>
      </c>
      <c r="E4133" t="n" s="88">
        <v>47075.0</v>
      </c>
      <c r="F4133" t="n" s="88">
        <v>46287.0</v>
      </c>
      <c r="G4133" t="n" s="88">
        <v>39849.0</v>
      </c>
    </row>
    <row r="4134">
      <c r="A4134" t="s" s="0">
        <v>4144</v>
      </c>
      <c r="B4134" t="n" s="89">
        <v>1070755.0</v>
      </c>
      <c r="C4134" t="n" s="89">
        <v>48851.0</v>
      </c>
      <c r="D4134" t="n" s="89">
        <v>50808.0</v>
      </c>
      <c r="E4134" t="n" s="89">
        <v>47075.0</v>
      </c>
      <c r="F4134" t="n" s="89">
        <v>46287.0</v>
      </c>
      <c r="G4134" t="n" s="89">
        <v>39849.0</v>
      </c>
    </row>
    <row r="4135">
      <c r="A4135" t="s" s="0">
        <v>4145</v>
      </c>
      <c r="B4135" t="n" s="0">
        <v>1136061.0</v>
      </c>
      <c r="C4135" t="n" s="0">
        <v>34000.0</v>
      </c>
      <c r="D4135" t="n" s="0">
        <v>49367.0</v>
      </c>
      <c r="E4135" t="n" s="0">
        <v>47034.0</v>
      </c>
      <c r="F4135" t="n" s="0">
        <v>48418.0</v>
      </c>
      <c r="G4135" t="n" s="0">
        <v>40099.0</v>
      </c>
    </row>
    <row r="4136">
      <c r="A4136" t="s" s="0">
        <v>4148</v>
      </c>
      <c r="B4136" t="n" s="0">
        <v>1077183.0</v>
      </c>
      <c r="C4136" t="n" s="0">
        <v>41791.0</v>
      </c>
      <c r="D4136" t="n" s="0">
        <v>52665.0</v>
      </c>
      <c r="E4136" t="n" s="0">
        <v>47739.0</v>
      </c>
      <c r="F4136" t="n" s="0">
        <v>48181.0</v>
      </c>
      <c r="G4136" t="n" s="0">
        <v>37771.0</v>
      </c>
    </row>
    <row r="4137">
      <c r="A4137" t="s" s="0">
        <v>4149</v>
      </c>
      <c r="B4137" t="n" s="0">
        <v>1075548.0</v>
      </c>
      <c r="C4137" t="n" s="0">
        <v>49114.0</v>
      </c>
      <c r="D4137" t="n" s="0">
        <v>52704.0</v>
      </c>
      <c r="E4137" t="n" s="0">
        <v>47578.0</v>
      </c>
      <c r="F4137" t="n" s="0">
        <v>40316.0</v>
      </c>
      <c r="G4137" t="n" s="0">
        <v>40010.0</v>
      </c>
    </row>
    <row r="4138">
      <c r="A4138" t="s" s="0">
        <v>4146</v>
      </c>
      <c r="B4138" t="n" s="0">
        <v>1039607.0</v>
      </c>
      <c r="C4138" t="n" s="0">
        <v>50546.0</v>
      </c>
      <c r="D4138" t="n" s="0">
        <v>52857.0</v>
      </c>
      <c r="E4138" t="n" s="0">
        <v>47764.0</v>
      </c>
      <c r="F4138" t="n" s="0">
        <v>34703.0</v>
      </c>
      <c r="G4138" t="n" s="0">
        <v>39708.0</v>
      </c>
    </row>
    <row r="4139">
      <c r="A4139" t="s" s="0">
        <v>4147</v>
      </c>
      <c r="B4139" t="n" s="0">
        <v>1042956.0</v>
      </c>
      <c r="C4139" t="n" s="0">
        <v>48862.0</v>
      </c>
      <c r="D4139" t="n" s="0">
        <v>47721.0</v>
      </c>
      <c r="E4139" t="n" s="0">
        <v>47397.0</v>
      </c>
      <c r="F4139" t="n" s="0">
        <v>41880.0</v>
      </c>
      <c r="G4139" t="n" s="0">
        <v>39363.0</v>
      </c>
    </row>
    <row r="4140">
      <c r="A4140" t="s" s="0">
        <v>4150</v>
      </c>
      <c r="B4140" t="n" s="95">
        <v>1042956.0</v>
      </c>
      <c r="C4140" t="n" s="95">
        <v>48862.0</v>
      </c>
      <c r="D4140" t="n" s="95">
        <v>47721.0</v>
      </c>
      <c r="E4140" t="n" s="95">
        <v>47397.0</v>
      </c>
      <c r="F4140" t="n" s="95">
        <v>41880.0</v>
      </c>
      <c r="G4140" t="n" s="95">
        <v>39363.0</v>
      </c>
    </row>
    <row r="4141">
      <c r="A4141" t="s" s="0">
        <v>4151</v>
      </c>
      <c r="B4141" t="n" s="96">
        <v>1042956.0</v>
      </c>
      <c r="C4141" t="n" s="96">
        <v>48862.0</v>
      </c>
      <c r="D4141" t="n" s="96">
        <v>47721.0</v>
      </c>
      <c r="E4141" t="n" s="96">
        <v>47397.0</v>
      </c>
      <c r="F4141" t="n" s="96">
        <v>41880.0</v>
      </c>
      <c r="G4141" t="n" s="96">
        <v>39363.0</v>
      </c>
    </row>
    <row r="4142">
      <c r="A4142" t="s" s="0">
        <v>4152</v>
      </c>
      <c r="B4142" t="n" s="0">
        <v>951564.0</v>
      </c>
      <c r="C4142" t="n" s="0">
        <v>30526.0</v>
      </c>
      <c r="D4142" t="n" s="0">
        <v>46563.0</v>
      </c>
      <c r="E4142" t="n" s="0">
        <v>47190.0</v>
      </c>
      <c r="F4142" t="n" s="0">
        <v>18137.0</v>
      </c>
      <c r="G4142" t="n" s="0">
        <v>36323.0</v>
      </c>
    </row>
    <row r="4143">
      <c r="A4143" t="s" s="0">
        <v>4155</v>
      </c>
      <c r="B4143" t="n" s="0">
        <v>951506.0</v>
      </c>
      <c r="C4143" t="n" s="0">
        <v>38591.0</v>
      </c>
      <c r="D4143" t="n" s="0">
        <v>43987.0</v>
      </c>
      <c r="E4143" t="n" s="0">
        <v>46746.0</v>
      </c>
      <c r="F4143" t="n" s="0">
        <v>23411.0</v>
      </c>
      <c r="G4143" t="n" s="0">
        <v>37232.0</v>
      </c>
    </row>
    <row r="4144">
      <c r="A4144" t="s" s="0">
        <v>4156</v>
      </c>
      <c r="B4144" t="n" s="0">
        <v>966018.0</v>
      </c>
      <c r="C4144" t="n" s="0">
        <v>44468.0</v>
      </c>
      <c r="D4144" t="n" s="0">
        <v>44192.0</v>
      </c>
      <c r="E4144" t="n" s="0">
        <v>46303.0</v>
      </c>
      <c r="F4144" t="n" s="0">
        <v>26260.0</v>
      </c>
      <c r="G4144" t="n" s="0">
        <v>38485.0</v>
      </c>
    </row>
    <row r="4145">
      <c r="A4145" t="s" s="0">
        <v>4154</v>
      </c>
      <c r="B4145" t="n" s="0">
        <v>920233.0</v>
      </c>
      <c r="C4145" t="n" s="0">
        <v>42289.0</v>
      </c>
      <c r="D4145" t="n" s="0">
        <v>43012.0</v>
      </c>
      <c r="E4145" t="n" s="0">
        <v>46528.0</v>
      </c>
      <c r="F4145" t="n" s="0">
        <v>23295.0</v>
      </c>
      <c r="G4145" t="n" s="0">
        <v>34538.0</v>
      </c>
    </row>
    <row r="4146">
      <c r="A4146" t="s" s="0">
        <v>4153</v>
      </c>
      <c r="B4146" t="n" s="0">
        <v>980985.0</v>
      </c>
      <c r="C4146" t="n" s="0">
        <v>39015.0</v>
      </c>
      <c r="D4146" t="n" s="0">
        <v>43749.0</v>
      </c>
      <c r="E4146" t="n" s="0">
        <v>46583.0</v>
      </c>
      <c r="F4146" t="n" s="0">
        <v>31089.0</v>
      </c>
      <c r="G4146" t="n" s="0">
        <v>37165.0</v>
      </c>
    </row>
    <row r="4147">
      <c r="A4147" t="s" s="0">
        <v>4157</v>
      </c>
      <c r="B4147" t="n" s="102">
        <v>980985.0</v>
      </c>
      <c r="C4147" t="n" s="102">
        <v>39015.0</v>
      </c>
      <c r="D4147" t="n" s="102">
        <v>43749.0</v>
      </c>
      <c r="E4147" t="n" s="102">
        <v>46583.0</v>
      </c>
      <c r="F4147" t="n" s="102">
        <v>31089.0</v>
      </c>
      <c r="G4147" t="n" s="102">
        <v>37165.0</v>
      </c>
    </row>
    <row r="4148">
      <c r="A4148" t="s" s="0">
        <v>4158</v>
      </c>
      <c r="B4148" t="n" s="103">
        <v>980985.0</v>
      </c>
      <c r="C4148" t="n" s="103">
        <v>39015.0</v>
      </c>
      <c r="D4148" t="n" s="103">
        <v>43749.0</v>
      </c>
      <c r="E4148" t="n" s="103">
        <v>46583.0</v>
      </c>
      <c r="F4148" t="n" s="103">
        <v>31089.0</v>
      </c>
      <c r="G4148" t="n" s="103">
        <v>37165.0</v>
      </c>
    </row>
    <row r="4149">
      <c r="A4149" t="s" s="0">
        <v>4159</v>
      </c>
      <c r="B4149" t="n" s="0">
        <v>937015.0</v>
      </c>
      <c r="C4149" t="n" s="0">
        <v>30058.0</v>
      </c>
      <c r="D4149" t="n" s="0">
        <v>43512.0</v>
      </c>
      <c r="E4149" t="n" s="0">
        <v>46076.0</v>
      </c>
      <c r="F4149" t="n" s="0">
        <v>37825.0</v>
      </c>
      <c r="G4149" t="n" s="0">
        <v>35992.0</v>
      </c>
    </row>
    <row r="4150">
      <c r="A4150" t="s" s="0">
        <v>4160</v>
      </c>
      <c r="B4150" t="n" s="0">
        <v>974199.0</v>
      </c>
      <c r="C4150" t="n" s="0">
        <v>39097.0</v>
      </c>
      <c r="D4150" t="n" s="0">
        <v>42870.0</v>
      </c>
      <c r="E4150" t="n" s="0">
        <v>45766.0</v>
      </c>
      <c r="F4150" t="n" s="0">
        <v>43112.0</v>
      </c>
      <c r="G4150" t="n" s="0">
        <v>38044.0</v>
      </c>
    </row>
    <row r="4151">
      <c r="A4151" t="s" s="0">
        <v>4161</v>
      </c>
      <c r="B4151" t="n" s="0">
        <v>922438.0</v>
      </c>
      <c r="C4151" t="n" s="0">
        <v>46363.0</v>
      </c>
      <c r="D4151" t="n" s="0">
        <v>43939.0</v>
      </c>
      <c r="E4151" t="n" s="0">
        <v>46169.0</v>
      </c>
      <c r="F4151" t="n" s="0">
        <v>34050.0</v>
      </c>
      <c r="G4151" t="n" s="0">
        <v>36669.0</v>
      </c>
    </row>
    <row r="4152">
      <c r="A4152" t="s" s="0">
        <v>4162</v>
      </c>
      <c r="B4152" t="n" s="0">
        <v>961598.0</v>
      </c>
      <c r="C4152" t="n" s="0">
        <v>40589.0</v>
      </c>
      <c r="D4152" t="n" s="0">
        <v>42268.0</v>
      </c>
      <c r="E4152" t="n" s="0">
        <v>45924.0</v>
      </c>
      <c r="F4152" t="n" s="0">
        <v>45494.0</v>
      </c>
      <c r="G4152" t="n" s="0">
        <v>38802.0</v>
      </c>
    </row>
    <row r="4153">
      <c r="A4153" t="s" s="0">
        <v>4163</v>
      </c>
      <c r="B4153" t="n" s="0">
        <v>1019228.0</v>
      </c>
      <c r="C4153" t="n" s="0">
        <v>44695.0</v>
      </c>
      <c r="D4153" t="n" s="0">
        <v>42079.0</v>
      </c>
      <c r="E4153" t="n" s="0">
        <v>46089.0</v>
      </c>
      <c r="F4153" t="n" s="0">
        <v>45524.0</v>
      </c>
      <c r="G4153" t="n" s="0">
        <v>41195.0</v>
      </c>
    </row>
    <row r="4154">
      <c r="A4154" t="s" s="0">
        <v>4164</v>
      </c>
      <c r="B4154" t="n" s="109">
        <v>1019228.0</v>
      </c>
      <c r="C4154" t="n" s="109">
        <v>44695.0</v>
      </c>
      <c r="D4154" t="n" s="109">
        <v>42079.0</v>
      </c>
      <c r="E4154" t="n" s="109">
        <v>46089.0</v>
      </c>
      <c r="F4154" t="n" s="109">
        <v>45524.0</v>
      </c>
      <c r="G4154" t="n" s="109">
        <v>41195.0</v>
      </c>
    </row>
    <row r="4155">
      <c r="A4155" t="s" s="0">
        <v>4165</v>
      </c>
      <c r="B4155" t="n" s="110">
        <v>1019228.0</v>
      </c>
      <c r="C4155" t="n" s="110">
        <v>44695.0</v>
      </c>
      <c r="D4155" t="n" s="110">
        <v>42079.0</v>
      </c>
      <c r="E4155" t="n" s="110">
        <v>46089.0</v>
      </c>
      <c r="F4155" t="n" s="110">
        <v>45524.0</v>
      </c>
      <c r="G4155" t="n" s="110">
        <v>41195.0</v>
      </c>
    </row>
    <row r="4156">
      <c r="A4156" t="s" s="0">
        <v>4166</v>
      </c>
      <c r="B4156" t="n" s="0">
        <v>907008.0</v>
      </c>
      <c r="C4156" t="n" s="0">
        <v>29508.0</v>
      </c>
      <c r="D4156" t="n" s="0">
        <v>43200.0</v>
      </c>
      <c r="E4156" t="n" s="0">
        <v>45660.0</v>
      </c>
      <c r="F4156" t="n" s="0">
        <v>36896.0</v>
      </c>
      <c r="G4156" t="n" s="0">
        <v>35319.0</v>
      </c>
    </row>
    <row r="4157">
      <c r="A4157" t="s" s="0">
        <v>4167</v>
      </c>
      <c r="B4157" t="n" s="0">
        <v>987123.0</v>
      </c>
      <c r="C4157" t="n" s="0">
        <v>47604.0</v>
      </c>
      <c r="D4157" t="n" s="0">
        <v>45852.0</v>
      </c>
      <c r="E4157" t="n" s="0">
        <v>46343.0</v>
      </c>
      <c r="F4157" t="n" s="0">
        <v>45825.0</v>
      </c>
      <c r="G4157" t="n" s="0">
        <v>40132.0</v>
      </c>
    </row>
    <row r="4158">
      <c r="A4158" t="s" s="0">
        <v>4168</v>
      </c>
      <c r="B4158" t="n" s="0">
        <v>957688.0</v>
      </c>
      <c r="C4158" t="n" s="0">
        <v>46066.0</v>
      </c>
      <c r="D4158" t="n" s="0">
        <v>45979.0</v>
      </c>
      <c r="E4158" t="n" s="0">
        <v>46704.0</v>
      </c>
      <c r="F4158" t="n" s="0">
        <v>49178.0</v>
      </c>
      <c r="G4158" t="n" s="0">
        <v>37451.0</v>
      </c>
    </row>
    <row r="4159">
      <c r="A4159" t="s" s="0">
        <v>4170</v>
      </c>
      <c r="B4159" t="n" s="0">
        <v>975830.0</v>
      </c>
      <c r="C4159" t="n" s="0">
        <v>41918.0</v>
      </c>
      <c r="D4159" t="n" s="0">
        <v>46169.0</v>
      </c>
      <c r="E4159" t="n" s="0">
        <v>46076.0</v>
      </c>
      <c r="F4159" t="n" s="0">
        <v>46361.0</v>
      </c>
      <c r="G4159" t="n" s="0">
        <v>37463.0</v>
      </c>
    </row>
    <row r="4160">
      <c r="A4160" t="s" s="0">
        <v>4169</v>
      </c>
      <c r="B4160" t="n" s="0">
        <v>993221.0</v>
      </c>
      <c r="C4160" t="n" s="0">
        <v>47410.0</v>
      </c>
      <c r="D4160" t="n" s="0">
        <v>45413.0</v>
      </c>
      <c r="E4160" t="n" s="0">
        <v>44741.0</v>
      </c>
      <c r="F4160" t="n" s="0">
        <v>40139.0</v>
      </c>
      <c r="G4160" t="n" s="0">
        <v>39658.0</v>
      </c>
    </row>
    <row r="4161">
      <c r="A4161" t="s" s="0">
        <v>4171</v>
      </c>
      <c r="B4161" t="n" s="116">
        <v>993221.0</v>
      </c>
      <c r="C4161" t="n" s="116">
        <v>47410.0</v>
      </c>
      <c r="D4161" t="n" s="116">
        <v>45413.0</v>
      </c>
      <c r="E4161" t="n" s="116">
        <v>44741.0</v>
      </c>
      <c r="F4161" t="n" s="116">
        <v>40139.0</v>
      </c>
      <c r="G4161" t="n" s="116">
        <v>39658.0</v>
      </c>
    </row>
    <row r="4162">
      <c r="A4162" t="s" s="0">
        <v>4172</v>
      </c>
      <c r="B4162" t="n" s="117">
        <v>993221.0</v>
      </c>
      <c r="C4162" t="n" s="117">
        <v>47410.0</v>
      </c>
      <c r="D4162" t="n" s="117">
        <v>45413.0</v>
      </c>
      <c r="E4162" t="n" s="117">
        <v>44741.0</v>
      </c>
      <c r="F4162" t="n" s="117">
        <v>40139.0</v>
      </c>
      <c r="G4162" t="n" s="117">
        <v>39658.0</v>
      </c>
    </row>
    <row r="4163">
      <c r="A4163" t="s" s="0">
        <v>4173</v>
      </c>
      <c r="B4163" t="n" s="0">
        <v>947786.0</v>
      </c>
      <c r="C4163" t="n" s="0">
        <v>28506.0</v>
      </c>
      <c r="D4163" t="n" s="0">
        <v>46504.0</v>
      </c>
      <c r="E4163" t="n" s="0">
        <v>44945.0</v>
      </c>
      <c r="F4163" t="n" s="0">
        <v>50767.0</v>
      </c>
      <c r="G4163" t="n" s="0">
        <v>35906.0</v>
      </c>
    </row>
    <row r="4164">
      <c r="A4164" t="s" s="0">
        <v>4174</v>
      </c>
      <c r="B4164" t="n" s="0">
        <v>951443.0</v>
      </c>
      <c r="C4164" t="n" s="0">
        <v>43036.0</v>
      </c>
      <c r="D4164" t="n" s="0">
        <v>45845.0</v>
      </c>
      <c r="E4164" t="n" s="0">
        <v>44638.0</v>
      </c>
      <c r="F4164" t="n" s="0">
        <v>39533.0</v>
      </c>
      <c r="G4164" t="n" s="0">
        <v>37970.0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PREMIUM UNLEADED GASOLINE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2025-06-11T15:25:15Z</dcterms:created>
  <dc:creator>Pierce Leverett</dc:creator>
  <cp:lastModifiedBy>Pierce Leverett</cp:lastModifiedBy>
  <dcterms:modified xsi:type="dcterms:W3CDTF">2025-08-08T01:06:15Z</dcterms:modified>
</cp:coreProperties>
</file>